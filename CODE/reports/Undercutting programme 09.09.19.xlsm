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harts/chart32.xml" ContentType="application/vnd.openxmlformats-officedocument.drawingml.chart+xml"/>
  <Override PartName="/xl/charts/chart33.xml" ContentType="application/vnd.openxmlformats-officedocument.drawingml.chart+xml"/>
  <Override PartName="/xl/pivotTables/pivotTable2.xml" ContentType="application/vnd.openxmlformats-officedocument.spreadsheetml.pivotTable+xml"/>
  <Override PartName="/xl/drawings/drawing3.xml" ContentType="application/vnd.openxmlformats-officedocument.drawing+xml"/>
  <Override PartName="/xl/charts/chart34.xml" ContentType="application/vnd.openxmlformats-officedocument.drawingml.chart+xml"/>
  <Override PartName="/xl/charts/chart35.xml" ContentType="application/vnd.openxmlformats-officedocument.drawingml.chart+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fileSharing userName="Clarke, Connor" algorithmName="SHA-512" hashValue="L6QbKIhs+nYu9/xHzLUl4os5pRVOCiGMW1bSJx48d66N1/hhO/dx0N+rCKWgI/tpokom6eezdwZM857tScO5kQ==" saltValue="ynvgto78Ijc9YaAavVuLJg==" spinCount="100000"/>
  <workbookPr codeName="ThisWorkbook" defaultThemeVersion="124226"/>
  <mc:AlternateContent xmlns:mc="http://schemas.openxmlformats.org/markup-compatibility/2006">
    <mc:Choice Requires="x15">
      <x15ac:absPath xmlns:x15ac="http://schemas.microsoft.com/office/spreadsheetml/2010/11/ac" url="Z:\Road Master SEQ\Planned works from the TRC\"/>
    </mc:Choice>
  </mc:AlternateContent>
  <xr:revisionPtr revIDLastSave="0" documentId="8_{67887BB5-AA2B-4D9D-838F-1BE2B3CC8200}" xr6:coauthVersionLast="41" xr6:coauthVersionMax="41" xr10:uidLastSave="{00000000-0000-0000-0000-000000000000}"/>
  <bookViews>
    <workbookView xWindow="-120" yWindow="-120" windowWidth="25440" windowHeight="15390" tabRatio="388" firstSheet="2" activeTab="2" xr2:uid="{00000000-000D-0000-FFFF-FFFF00000000}"/>
  </bookViews>
  <sheets>
    <sheet name="List" sheetId="18" r:id="rId1"/>
    <sheet name="Summary" sheetId="17" state="hidden" r:id="rId2"/>
    <sheet name="Programme" sheetId="11" r:id="rId3"/>
    <sheet name="Calcs" sheetId="14" state="hidden" r:id="rId4"/>
    <sheet name="Pivot Tables" sheetId="15" state="hidden" r:id="rId5"/>
    <sheet name="Reference" sheetId="2" r:id="rId6"/>
    <sheet name="18-19 Undercutting Priority" sheetId="13" state="hidden" r:id="rId7"/>
    <sheet name="Areas to monitor" sheetId="19" r:id="rId8"/>
    <sheet name="Capital Works Plan" sheetId="20" r:id="rId9"/>
  </sheets>
  <externalReferences>
    <externalReference r:id="rId10"/>
  </externalReferences>
  <definedNames>
    <definedName name="_xlnm._FilterDatabase" localSheetId="6" hidden="1">'18-19 Undercutting Priority'!$A$1:$J$30</definedName>
    <definedName name="_xlnm._FilterDatabase" localSheetId="5" hidden="1">Reference!$A$1:$B$45</definedName>
    <definedName name="_xlnm._FilterDatabase" localSheetId="1" hidden="1">Summary!$B$7:$H$22</definedName>
    <definedName name="Actual">OFFSET([1]PieCht!$C$2,0,0,COUNTA([1]PieCht!$C$2:$C$8),1)</definedName>
    <definedName name="circle">Actual^0</definedName>
    <definedName name="circle2">ROW(OFFSET(Actual,0,0,14))^0</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41595.5207060185</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PartA">MMULT(--(IF(MOD(rng,3)&gt;=1,0,rng/3)=COLUMN(OFFSET([1]PieCht!$A$1,,,,ROWS(Actual)))),Actual)</definedName>
    <definedName name="PartB">MMULT(--(IF(MOD(rng+2,3)&gt;=1,0,INT(rng/3))=COLUMN(OFFSET([1]PieCht!$A$1,,,,ROWS(Plan)))),Plan)</definedName>
    <definedName name="Plan">OFFSET(Actual,,1)</definedName>
    <definedName name="_xlnm.Print_Area" localSheetId="6">'18-19 Undercutting Priority'!$A$1:$K$30</definedName>
    <definedName name="rng">ROW([1]PieCht!$A$2:INDEX([1]PieCht!$A:$A,ROWS(Actual)*3+1,))</definedName>
    <definedName name="rng_0">rng^0-1</definedName>
    <definedName name="Slicer_Year">#N/A</definedName>
  </definedNames>
  <calcPr calcId="191029"/>
  <pivotCaches>
    <pivotCache cacheId="1" r:id="rId11"/>
    <pivotCache cacheId="2" r:id="rId12"/>
  </pivotCaches>
  <fileRecoveryPr repairLoad="1"/>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H129" i="11" l="1"/>
  <c r="E171" i="11" l="1"/>
  <c r="L171" i="11"/>
  <c r="AD171" i="11"/>
  <c r="AF171" i="11"/>
  <c r="AG171" i="11"/>
  <c r="AH171" i="11" s="1"/>
  <c r="E160" i="11" l="1"/>
  <c r="L160" i="11"/>
  <c r="AD160" i="11"/>
  <c r="AF160" i="11"/>
  <c r="AG160" i="11"/>
  <c r="AH160" i="11" s="1"/>
  <c r="AD456" i="11" l="1"/>
  <c r="AD192" i="11"/>
  <c r="AD193" i="11"/>
  <c r="AD418" i="11"/>
  <c r="AD420" i="11"/>
  <c r="AD436" i="11"/>
  <c r="AD443" i="11"/>
  <c r="AD445" i="11"/>
  <c r="AD446" i="11"/>
  <c r="AD212" i="11"/>
  <c r="AD245" i="11"/>
  <c r="AD372" i="11"/>
  <c r="AD312" i="11"/>
  <c r="AD92" i="11"/>
  <c r="AD47" i="11"/>
  <c r="AD196" i="11"/>
  <c r="AD57" i="11"/>
  <c r="AD65" i="11"/>
  <c r="AD66" i="11"/>
  <c r="AD59" i="11"/>
  <c r="AD175" i="11"/>
  <c r="AD24" i="11"/>
  <c r="AD8" i="11"/>
  <c r="AD328" i="11"/>
  <c r="AD251" i="11"/>
  <c r="AD253" i="11"/>
  <c r="AD56" i="11"/>
  <c r="AD161" i="11"/>
  <c r="AD336" i="11"/>
  <c r="AD208" i="11"/>
  <c r="AD452" i="11"/>
  <c r="AD454" i="11"/>
  <c r="AD338" i="11"/>
  <c r="AD25" i="11"/>
  <c r="AD151" i="11"/>
  <c r="AD152" i="11"/>
  <c r="AD121" i="11"/>
  <c r="AD125" i="11"/>
  <c r="AD427" i="11"/>
  <c r="AD428" i="11"/>
  <c r="AD295" i="11"/>
  <c r="AD374" i="11"/>
  <c r="AD235" i="11"/>
  <c r="AD80" i="11"/>
  <c r="AD81" i="11"/>
  <c r="AD101" i="11"/>
  <c r="AD129" i="11"/>
  <c r="AD209" i="11"/>
  <c r="AD54" i="11"/>
  <c r="AD61" i="11"/>
  <c r="AD135" i="11"/>
  <c r="AD136" i="11"/>
  <c r="AD143" i="11"/>
  <c r="AD256" i="11"/>
  <c r="AD300" i="11"/>
  <c r="AD317" i="11"/>
  <c r="AD318" i="11"/>
  <c r="AD115" i="11"/>
  <c r="AD207" i="11"/>
  <c r="AD28" i="11"/>
  <c r="AD40" i="11"/>
  <c r="AD137" i="11"/>
  <c r="AD146" i="11"/>
  <c r="AD341" i="11"/>
  <c r="AD370" i="11"/>
  <c r="AD421" i="11"/>
  <c r="AD84" i="11"/>
  <c r="AD112" i="11"/>
  <c r="AD240" i="11"/>
  <c r="AD249" i="11"/>
  <c r="AD283" i="11"/>
  <c r="AD123" i="11"/>
  <c r="AD229" i="11"/>
  <c r="AD230" i="11"/>
  <c r="AD375" i="11"/>
  <c r="AD14" i="11"/>
  <c r="AD17" i="11"/>
  <c r="AD43" i="11"/>
  <c r="AD132" i="11"/>
  <c r="AD148" i="11"/>
  <c r="AD426" i="11"/>
  <c r="AD5" i="11"/>
  <c r="AD116" i="11"/>
  <c r="AD254" i="11"/>
  <c r="AD255" i="11"/>
  <c r="AD267" i="11"/>
  <c r="AD351" i="11"/>
  <c r="AD390" i="11"/>
  <c r="AD85" i="11"/>
  <c r="AD186" i="11"/>
  <c r="AD291" i="11"/>
  <c r="AD453" i="11"/>
  <c r="AD194" i="11"/>
  <c r="AD199" i="11"/>
  <c r="AD58" i="11"/>
  <c r="AD62" i="11"/>
  <c r="AD45" i="11"/>
  <c r="AD46" i="11"/>
  <c r="AD48" i="11"/>
  <c r="AD281" i="11"/>
  <c r="AD377" i="11"/>
  <c r="AD388" i="11"/>
  <c r="AD191" i="11"/>
  <c r="AD198" i="11"/>
  <c r="AD201" i="11"/>
  <c r="AD204" i="11"/>
  <c r="AD30" i="11"/>
  <c r="AD35" i="11"/>
  <c r="AD144" i="11"/>
  <c r="AD147" i="11"/>
  <c r="AD339" i="11"/>
  <c r="AD349" i="11"/>
  <c r="AD90" i="11"/>
  <c r="AD99" i="11"/>
  <c r="AD100" i="11"/>
  <c r="AD263" i="11"/>
  <c r="AD273" i="11"/>
  <c r="AD190" i="11"/>
  <c r="AD214" i="11"/>
  <c r="AD379" i="11"/>
  <c r="AD380" i="11"/>
  <c r="AD385" i="11"/>
  <c r="AD15" i="11"/>
  <c r="AD36" i="11"/>
  <c r="AD37" i="11"/>
  <c r="AD63" i="11"/>
  <c r="AD69" i="11"/>
  <c r="AD72" i="11"/>
  <c r="AD73" i="11"/>
  <c r="AD75" i="11"/>
  <c r="AD76" i="11"/>
  <c r="AD188" i="11"/>
  <c r="AD189" i="11"/>
  <c r="AD217" i="11"/>
  <c r="AD225" i="11"/>
  <c r="AD248" i="11"/>
  <c r="AD259" i="11"/>
  <c r="AD262" i="11"/>
  <c r="AD275" i="11"/>
  <c r="AD309" i="11"/>
  <c r="AD310" i="11"/>
  <c r="AD315" i="11"/>
  <c r="AD325" i="11"/>
  <c r="AD333" i="11"/>
  <c r="AD342" i="11"/>
  <c r="AD346" i="11"/>
  <c r="AD354" i="11"/>
  <c r="AD355" i="11"/>
  <c r="AD357" i="11"/>
  <c r="AD358" i="11"/>
  <c r="AD365" i="11"/>
  <c r="AD373" i="11"/>
  <c r="AD386" i="11"/>
  <c r="AD392" i="11"/>
  <c r="AD401" i="11"/>
  <c r="AD402" i="11"/>
  <c r="AD409" i="11"/>
  <c r="AD410" i="11"/>
  <c r="AD412" i="11"/>
  <c r="AD415" i="11"/>
  <c r="AD422" i="11"/>
  <c r="AD424" i="11"/>
  <c r="AD429" i="11"/>
  <c r="AD430" i="11"/>
  <c r="AD432" i="11"/>
  <c r="AD440" i="11"/>
  <c r="AD449" i="11"/>
  <c r="AD3" i="11"/>
  <c r="AD4" i="11"/>
  <c r="AD6" i="11"/>
  <c r="AD7" i="11"/>
  <c r="AD10" i="11"/>
  <c r="AD11" i="11"/>
  <c r="AD9" i="11"/>
  <c r="AD12" i="11"/>
  <c r="AD13" i="11"/>
  <c r="AD16" i="11"/>
  <c r="AD18" i="11"/>
  <c r="AD19" i="11"/>
  <c r="AD20" i="11"/>
  <c r="AD21" i="11"/>
  <c r="AD22" i="11"/>
  <c r="AD23" i="11"/>
  <c r="AD26" i="11"/>
  <c r="AD27" i="11"/>
  <c r="AD29" i="11"/>
  <c r="AD31" i="11"/>
  <c r="AD32" i="11"/>
  <c r="AD33" i="11"/>
  <c r="AD34" i="11"/>
  <c r="AD38" i="11"/>
  <c r="AD39" i="11"/>
  <c r="AD41" i="11"/>
  <c r="AD42" i="11"/>
  <c r="AD44" i="11"/>
  <c r="AD49" i="11"/>
  <c r="AD50" i="11"/>
  <c r="AD51" i="11"/>
  <c r="AD52" i="11"/>
  <c r="AD53" i="11"/>
  <c r="AD55" i="11"/>
  <c r="AD60" i="11"/>
  <c r="AD64" i="11"/>
  <c r="AD67" i="11"/>
  <c r="AD68" i="11"/>
  <c r="AD70" i="11"/>
  <c r="AD71" i="11"/>
  <c r="AD74" i="11"/>
  <c r="AD77" i="11"/>
  <c r="AD78" i="11"/>
  <c r="AD79" i="11"/>
  <c r="AD82" i="11"/>
  <c r="AD83" i="11"/>
  <c r="AD86" i="11"/>
  <c r="AD87" i="11"/>
  <c r="AD88" i="11"/>
  <c r="AD89" i="11"/>
  <c r="AD91" i="11"/>
  <c r="AD93" i="11"/>
  <c r="AD94" i="11"/>
  <c r="AD95" i="11"/>
  <c r="AD96" i="11"/>
  <c r="AD97" i="11"/>
  <c r="AD98" i="11"/>
  <c r="AD102" i="11"/>
  <c r="AD103" i="11"/>
  <c r="AD104" i="11"/>
  <c r="AD105" i="11"/>
  <c r="AD106" i="11"/>
  <c r="AD107" i="11"/>
  <c r="AD108" i="11"/>
  <c r="AD109" i="11"/>
  <c r="AD110" i="11"/>
  <c r="AD111" i="11"/>
  <c r="AD113" i="11"/>
  <c r="AD114" i="11"/>
  <c r="AD117" i="11"/>
  <c r="AD118" i="11"/>
  <c r="AD119" i="11"/>
  <c r="AD120" i="11"/>
  <c r="AD122" i="11"/>
  <c r="AD124" i="11"/>
  <c r="AD126" i="11"/>
  <c r="AD127" i="11"/>
  <c r="AD128" i="11"/>
  <c r="AD130" i="11"/>
  <c r="AD131" i="11"/>
  <c r="AD133" i="11"/>
  <c r="AD134" i="11"/>
  <c r="AD138" i="11"/>
  <c r="AD139" i="11"/>
  <c r="AD140" i="11"/>
  <c r="AD141" i="11"/>
  <c r="AD142" i="11"/>
  <c r="AD145" i="11"/>
  <c r="AD149" i="11"/>
  <c r="AD150" i="11"/>
  <c r="AD153" i="11"/>
  <c r="AD154" i="11"/>
  <c r="AD155" i="11"/>
  <c r="AD156" i="11"/>
  <c r="AD157" i="11"/>
  <c r="AD158" i="11"/>
  <c r="AD159" i="11"/>
  <c r="AD162" i="11"/>
  <c r="AD163" i="11"/>
  <c r="AD165" i="11"/>
  <c r="AD164" i="11"/>
  <c r="AD166" i="11"/>
  <c r="AD167" i="11"/>
  <c r="AD168" i="11"/>
  <c r="AD169" i="11"/>
  <c r="AD170" i="11"/>
  <c r="AD172" i="11"/>
  <c r="AD173" i="11"/>
  <c r="AD174" i="11"/>
  <c r="AD176" i="11"/>
  <c r="AD177" i="11"/>
  <c r="AD178" i="11"/>
  <c r="AD179" i="11"/>
  <c r="AD180" i="11"/>
  <c r="AD181" i="11"/>
  <c r="AD182" i="11"/>
  <c r="AD183" i="11"/>
  <c r="AD184" i="11"/>
  <c r="AD185" i="11"/>
  <c r="AD187" i="11"/>
  <c r="AD195" i="11"/>
  <c r="AD197" i="11"/>
  <c r="AD200" i="11"/>
  <c r="AD202" i="11"/>
  <c r="AD203" i="11"/>
  <c r="AD205" i="11"/>
  <c r="AD206" i="11"/>
  <c r="AD210" i="11"/>
  <c r="AD211" i="11"/>
  <c r="AD213" i="11"/>
  <c r="AD215" i="11"/>
  <c r="AD216" i="11"/>
  <c r="AD218" i="11"/>
  <c r="AD219" i="11"/>
  <c r="AD220" i="11"/>
  <c r="AD221" i="11"/>
  <c r="AD222" i="11"/>
  <c r="AD223" i="11"/>
  <c r="AD224" i="11"/>
  <c r="AD226" i="11"/>
  <c r="AD227" i="11"/>
  <c r="AD228" i="11"/>
  <c r="AD231" i="11"/>
  <c r="AD232" i="11"/>
  <c r="AD233" i="11"/>
  <c r="AD234" i="11"/>
  <c r="AD236" i="11"/>
  <c r="AD237" i="11"/>
  <c r="AD238" i="11"/>
  <c r="AD239" i="11"/>
  <c r="AD241" i="11"/>
  <c r="AD242" i="11"/>
  <c r="AD243" i="11"/>
  <c r="AD244" i="11"/>
  <c r="AD246" i="11"/>
  <c r="AD247" i="11"/>
  <c r="AD250" i="11"/>
  <c r="AD252" i="11"/>
  <c r="AD257" i="11"/>
  <c r="AD258" i="11"/>
  <c r="AD260" i="11"/>
  <c r="AD261" i="11"/>
  <c r="AD264" i="11"/>
  <c r="AD265" i="11"/>
  <c r="AD266" i="11"/>
  <c r="AD268" i="11"/>
  <c r="AD269" i="11"/>
  <c r="AD270" i="11"/>
  <c r="AD271" i="11"/>
  <c r="AD272" i="11"/>
  <c r="AD274" i="11"/>
  <c r="AD276" i="11"/>
  <c r="AD277" i="11"/>
  <c r="AD278" i="11"/>
  <c r="AD279" i="11"/>
  <c r="AD280" i="11"/>
  <c r="AD282" i="11"/>
  <c r="AD284" i="11"/>
  <c r="AD285" i="11"/>
  <c r="AD286" i="11"/>
  <c r="AD288" i="11"/>
  <c r="AD289" i="11"/>
  <c r="AD290" i="11"/>
  <c r="AD287" i="11"/>
  <c r="AD292" i="11"/>
  <c r="AD293" i="11"/>
  <c r="AD294" i="11"/>
  <c r="AD296" i="11"/>
  <c r="AD297" i="11"/>
  <c r="AD298" i="11"/>
  <c r="AD299" i="11"/>
  <c r="AD301" i="11"/>
  <c r="AD302" i="11"/>
  <c r="AD303" i="11"/>
  <c r="AD304" i="11"/>
  <c r="AD305" i="11"/>
  <c r="AD306" i="11"/>
  <c r="AD307" i="11"/>
  <c r="AD308" i="11"/>
  <c r="AD311" i="11"/>
  <c r="AD313" i="11"/>
  <c r="AD314" i="11"/>
  <c r="AD316" i="11"/>
  <c r="AD319" i="11"/>
  <c r="AD320" i="11"/>
  <c r="AD321" i="11"/>
  <c r="AD322" i="11"/>
  <c r="AD323" i="11"/>
  <c r="AD324" i="11"/>
  <c r="AD326" i="11"/>
  <c r="AD327" i="11"/>
  <c r="AD329" i="11"/>
  <c r="AD330" i="11"/>
  <c r="AD331" i="11"/>
  <c r="AD332" i="11"/>
  <c r="AD334" i="11"/>
  <c r="AD335" i="11"/>
  <c r="AD337" i="11"/>
  <c r="AD340" i="11"/>
  <c r="AD343" i="11"/>
  <c r="AD344" i="11"/>
  <c r="AD345" i="11"/>
  <c r="AD347" i="11"/>
  <c r="AD348" i="11"/>
  <c r="AD350" i="11"/>
  <c r="AD352" i="11"/>
  <c r="AD353" i="11"/>
  <c r="AD356" i="11"/>
  <c r="AD359" i="11"/>
  <c r="AD360" i="11"/>
  <c r="AD361" i="11"/>
  <c r="AD362" i="11"/>
  <c r="AD363" i="11"/>
  <c r="AD364" i="11"/>
  <c r="AD366" i="11"/>
  <c r="AD367" i="11"/>
  <c r="AD368" i="11"/>
  <c r="AD369" i="11"/>
  <c r="AD371" i="11"/>
  <c r="AD376" i="11"/>
  <c r="AD378" i="11"/>
  <c r="AD381" i="11"/>
  <c r="AD382" i="11"/>
  <c r="AD383" i="11"/>
  <c r="AD384" i="11"/>
  <c r="AD387" i="11"/>
  <c r="AD389" i="11"/>
  <c r="AD391" i="11"/>
  <c r="AD393" i="11"/>
  <c r="AD394" i="11"/>
  <c r="AD395" i="11"/>
  <c r="AD396" i="11"/>
  <c r="AD397" i="11"/>
  <c r="AD398" i="11"/>
  <c r="AD399" i="11"/>
  <c r="AD400" i="11"/>
  <c r="AD403" i="11"/>
  <c r="AD404" i="11"/>
  <c r="AD405" i="11"/>
  <c r="AD406" i="11"/>
  <c r="AD407" i="11"/>
  <c r="AD408" i="11"/>
  <c r="AD411" i="11"/>
  <c r="AD413" i="11"/>
  <c r="AD414" i="11"/>
  <c r="AD416" i="11"/>
  <c r="AD417" i="11"/>
  <c r="AD419" i="11"/>
  <c r="AD423" i="11"/>
  <c r="AD425" i="11"/>
  <c r="AD431" i="11"/>
  <c r="AD433" i="11"/>
  <c r="AD434" i="11"/>
  <c r="AD435" i="11"/>
  <c r="AD437" i="11"/>
  <c r="AD438" i="11"/>
  <c r="AD439" i="11"/>
  <c r="AD441" i="11"/>
  <c r="AD442" i="11"/>
  <c r="AD444" i="11"/>
  <c r="AD447" i="11"/>
  <c r="AD448" i="11"/>
  <c r="AD450" i="11"/>
  <c r="AD451" i="11"/>
  <c r="AD455" i="11"/>
  <c r="AD457" i="11"/>
  <c r="AD458" i="11"/>
  <c r="AD459" i="11"/>
  <c r="E287" i="11" l="1"/>
  <c r="L287" i="11"/>
  <c r="AF287" i="11"/>
  <c r="AG287" i="11"/>
  <c r="AH287" i="11" s="1"/>
  <c r="E89" i="11" l="1"/>
  <c r="L89" i="11"/>
  <c r="AF89" i="11"/>
  <c r="AG89" i="11"/>
  <c r="AH89" i="11" s="1"/>
  <c r="E9" i="11" l="1"/>
  <c r="L9" i="11"/>
  <c r="AF9" i="11"/>
  <c r="AG9" i="11"/>
  <c r="AH9" i="11" s="1"/>
  <c r="E153" i="11"/>
  <c r="L153" i="11"/>
  <c r="AF153" i="11"/>
  <c r="AG153" i="11"/>
  <c r="AH153" i="11" s="1"/>
  <c r="E164" i="11"/>
  <c r="L164" i="11"/>
  <c r="AF164" i="11"/>
  <c r="AG164" i="11"/>
  <c r="AH164" i="11" s="1"/>
  <c r="J2" i="20" l="1"/>
  <c r="J3" i="20"/>
  <c r="J4" i="20"/>
  <c r="J5" i="20"/>
  <c r="J6" i="20"/>
  <c r="J7" i="20"/>
  <c r="J8" i="20"/>
  <c r="J9" i="20"/>
  <c r="J10" i="20"/>
  <c r="J11" i="20"/>
  <c r="J12" i="20"/>
  <c r="J13" i="20"/>
  <c r="J14" i="20"/>
  <c r="J15" i="20"/>
  <c r="J16" i="20"/>
  <c r="J17" i="20"/>
  <c r="J18" i="20"/>
  <c r="J19" i="20"/>
  <c r="J20" i="20"/>
  <c r="J21" i="20"/>
  <c r="J22" i="20"/>
  <c r="J23" i="20"/>
  <c r="J24" i="20"/>
  <c r="J25" i="20"/>
  <c r="J26" i="20"/>
  <c r="J27" i="20"/>
  <c r="J28" i="20"/>
  <c r="E81" i="11" l="1"/>
  <c r="L81" i="11"/>
  <c r="AF81" i="11"/>
  <c r="AG81" i="11"/>
  <c r="AH81" i="11" s="1"/>
  <c r="E375" i="11" l="1"/>
  <c r="L375" i="11"/>
  <c r="AF375" i="11"/>
  <c r="AG375" i="11"/>
  <c r="AH375" i="11" s="1"/>
  <c r="F9" i="20" l="1"/>
  <c r="F3" i="20"/>
  <c r="F4" i="20"/>
  <c r="F5" i="20"/>
  <c r="F6" i="20"/>
  <c r="F7" i="20"/>
  <c r="F8" i="20"/>
  <c r="F10" i="20"/>
  <c r="F13" i="20"/>
  <c r="F12" i="20"/>
  <c r="F15" i="20"/>
  <c r="F16" i="20"/>
  <c r="F18" i="20"/>
  <c r="F19" i="20"/>
  <c r="F20" i="20"/>
  <c r="F22" i="20"/>
  <c r="F23" i="20"/>
  <c r="F24" i="20"/>
  <c r="F25" i="20"/>
  <c r="F26" i="20"/>
  <c r="F27" i="20"/>
  <c r="F28" i="20"/>
  <c r="F29" i="20" l="1"/>
  <c r="E264" i="11" l="1"/>
  <c r="L264" i="11"/>
  <c r="AF264" i="11"/>
  <c r="AG264" i="11"/>
  <c r="AH264" i="11" s="1"/>
  <c r="E268" i="11"/>
  <c r="L268" i="11"/>
  <c r="AF268" i="11"/>
  <c r="AG268" i="11"/>
  <c r="AH268" i="11" s="1"/>
  <c r="L300" i="11" l="1"/>
  <c r="E300" i="11"/>
  <c r="AF300" i="11"/>
  <c r="AG300" i="11"/>
  <c r="AH300" i="11" s="1"/>
  <c r="L295" i="11" l="1"/>
  <c r="E295" i="11"/>
  <c r="AF295" i="11"/>
  <c r="AG295" i="11"/>
  <c r="AH295" i="11" s="1"/>
  <c r="E275" i="11" l="1"/>
  <c r="L275" i="11"/>
  <c r="AF275" i="11"/>
  <c r="AG275" i="11"/>
  <c r="AH275" i="11" s="1"/>
  <c r="D460" i="11"/>
  <c r="E424" i="11"/>
  <c r="L424" i="11"/>
  <c r="AF424" i="11"/>
  <c r="AG424" i="11"/>
  <c r="AH424" i="11" s="1"/>
  <c r="AG413" i="11"/>
  <c r="AH413" i="11" s="1"/>
  <c r="AF413" i="11"/>
  <c r="L413" i="11"/>
  <c r="E413" i="11"/>
  <c r="E396" i="11" l="1"/>
  <c r="L396" i="11"/>
  <c r="AF396" i="11"/>
  <c r="AG396" i="11"/>
  <c r="AH396" i="11" s="1"/>
  <c r="E395" i="11" l="1"/>
  <c r="L395" i="11"/>
  <c r="AF395" i="11"/>
  <c r="AG395" i="11"/>
  <c r="AH395" i="11" s="1"/>
  <c r="E283" i="11" l="1"/>
  <c r="L283" i="11"/>
  <c r="AF283" i="11"/>
  <c r="AG283" i="11"/>
  <c r="AH283" i="11" s="1"/>
  <c r="E255" i="11"/>
  <c r="L255" i="11"/>
  <c r="AF255" i="11"/>
  <c r="AG255" i="11"/>
  <c r="AH255" i="11" s="1"/>
  <c r="E42" i="11" l="1"/>
  <c r="L42" i="11"/>
  <c r="AF42" i="11"/>
  <c r="AG42" i="11"/>
  <c r="AH42" i="11" s="1"/>
  <c r="E33" i="11" l="1"/>
  <c r="L33" i="11"/>
  <c r="AF33" i="11"/>
  <c r="AG33" i="11"/>
  <c r="AH33" i="11" s="1"/>
  <c r="E32" i="11"/>
  <c r="L32" i="11"/>
  <c r="AF32" i="11"/>
  <c r="AG32" i="11"/>
  <c r="AH32" i="11" s="1"/>
  <c r="E30" i="11"/>
  <c r="L30" i="11"/>
  <c r="AF30" i="11"/>
  <c r="AG30" i="11"/>
  <c r="AH30" i="11" s="1"/>
  <c r="E29" i="11"/>
  <c r="L29" i="11"/>
  <c r="AF29" i="11"/>
  <c r="AG29" i="11"/>
  <c r="AH29" i="11" s="1"/>
  <c r="E27" i="11"/>
  <c r="L27" i="11"/>
  <c r="AF27" i="11"/>
  <c r="AG27" i="11"/>
  <c r="AH27" i="11" s="1"/>
  <c r="E459" i="11"/>
  <c r="L459" i="11"/>
  <c r="AF459" i="11"/>
  <c r="AG459" i="11"/>
  <c r="AH459" i="11" s="1"/>
  <c r="E6" i="11"/>
  <c r="L6" i="11"/>
  <c r="AF6" i="11"/>
  <c r="AG6" i="11"/>
  <c r="AH6" i="11" s="1"/>
  <c r="E7" i="11"/>
  <c r="L7" i="11"/>
  <c r="AF7" i="11"/>
  <c r="AG7" i="11"/>
  <c r="AH7" i="11" s="1"/>
  <c r="E186" i="11"/>
  <c r="L186" i="11"/>
  <c r="AF186" i="11"/>
  <c r="AG186" i="11"/>
  <c r="AH186" i="11" s="1"/>
  <c r="L79" i="11" l="1"/>
  <c r="E79" i="11"/>
  <c r="AF79" i="11"/>
  <c r="AG79" i="11"/>
  <c r="AH79" i="11" s="1"/>
  <c r="E77" i="11"/>
  <c r="E78" i="11"/>
  <c r="L77" i="11"/>
  <c r="L78" i="11"/>
  <c r="AF77" i="11"/>
  <c r="AF78" i="11"/>
  <c r="AG77" i="11"/>
  <c r="AH77" i="11" s="1"/>
  <c r="AG78" i="11"/>
  <c r="AH78" i="11" s="1"/>
  <c r="E75" i="11"/>
  <c r="L75" i="11"/>
  <c r="AF75" i="11"/>
  <c r="AG75" i="11"/>
  <c r="AH75" i="11" s="1"/>
  <c r="E109" i="11"/>
  <c r="L109" i="11"/>
  <c r="AF109" i="11"/>
  <c r="AG109" i="11"/>
  <c r="AH109" i="11" s="1"/>
  <c r="E442" i="11"/>
  <c r="L442" i="11"/>
  <c r="AF442" i="11"/>
  <c r="AG442" i="11"/>
  <c r="AH442" i="11" s="1"/>
  <c r="E445" i="11" l="1"/>
  <c r="L445" i="11"/>
  <c r="AF445" i="11"/>
  <c r="AG445" i="11"/>
  <c r="AH445" i="11" s="1"/>
  <c r="E443" i="11"/>
  <c r="L443" i="11"/>
  <c r="AF443" i="11"/>
  <c r="AG443" i="11"/>
  <c r="AH443" i="11" s="1"/>
  <c r="E433" i="11"/>
  <c r="L433" i="11"/>
  <c r="AF433" i="11"/>
  <c r="AG433" i="11"/>
  <c r="AH433" i="11" s="1"/>
  <c r="E431" i="11"/>
  <c r="L431" i="11"/>
  <c r="AF431" i="11"/>
  <c r="AG431" i="11"/>
  <c r="AH431" i="11" s="1"/>
  <c r="E430" i="11"/>
  <c r="L430" i="11"/>
  <c r="AF430" i="11"/>
  <c r="AG430" i="11"/>
  <c r="AH430" i="11" s="1"/>
  <c r="E429" i="11"/>
  <c r="L429" i="11"/>
  <c r="AF429" i="11"/>
  <c r="AG429" i="11"/>
  <c r="AH429" i="11" s="1"/>
  <c r="E64" i="11" l="1"/>
  <c r="L64" i="11"/>
  <c r="AF64" i="11"/>
  <c r="AG64" i="11"/>
  <c r="AH64" i="11" s="1"/>
  <c r="E62" i="11" l="1"/>
  <c r="L62" i="11"/>
  <c r="AF62" i="11"/>
  <c r="AG62" i="11"/>
  <c r="AH62" i="11" s="1"/>
  <c r="E54" i="11"/>
  <c r="L54" i="11"/>
  <c r="AF54" i="11"/>
  <c r="AG54" i="11"/>
  <c r="AH54" i="11" s="1"/>
  <c r="E101" i="11" l="1"/>
  <c r="L101" i="11"/>
  <c r="AF101" i="11"/>
  <c r="AG101" i="11"/>
  <c r="AH101" i="11" s="1"/>
  <c r="E438" i="11"/>
  <c r="L438" i="11"/>
  <c r="AF438" i="11"/>
  <c r="AG438" i="11"/>
  <c r="AH438" i="11" s="1"/>
  <c r="E428" i="11" l="1"/>
  <c r="L428" i="11"/>
  <c r="AF428" i="11"/>
  <c r="AG428" i="11"/>
  <c r="AH428" i="11" s="1"/>
  <c r="E441" i="11"/>
  <c r="L441" i="11"/>
  <c r="AF441" i="11"/>
  <c r="AG441" i="11"/>
  <c r="AH441" i="11" s="1"/>
  <c r="E301" i="11" l="1"/>
  <c r="L301" i="11"/>
  <c r="AF301" i="11"/>
  <c r="AG301" i="11"/>
  <c r="AH301" i="11" s="1"/>
  <c r="E304" i="11"/>
  <c r="L304" i="11"/>
  <c r="AF304" i="11"/>
  <c r="AG304" i="11"/>
  <c r="AH304" i="11" s="1"/>
  <c r="E411" i="11" l="1"/>
  <c r="L411" i="11"/>
  <c r="AF411" i="11"/>
  <c r="AG411" i="11"/>
  <c r="AH411" i="11" s="1"/>
  <c r="E410" i="11"/>
  <c r="L410" i="11"/>
  <c r="AF410" i="11"/>
  <c r="AG410" i="11"/>
  <c r="AH410" i="11" s="1"/>
  <c r="E389" i="11"/>
  <c r="L389" i="11"/>
  <c r="AF389" i="11"/>
  <c r="AG389" i="11"/>
  <c r="AH389" i="11" s="1"/>
  <c r="E391" i="11" l="1"/>
  <c r="L391" i="11"/>
  <c r="AF391" i="11"/>
  <c r="AG391" i="11"/>
  <c r="AH391" i="11" s="1"/>
  <c r="E371" i="11"/>
  <c r="L371" i="11"/>
  <c r="AF371" i="11"/>
  <c r="AG371" i="11"/>
  <c r="AH371" i="11" s="1"/>
  <c r="E392" i="11" l="1"/>
  <c r="L392" i="11"/>
  <c r="AF392" i="11"/>
  <c r="AG392" i="11"/>
  <c r="AH392" i="11" s="1"/>
  <c r="E386" i="11"/>
  <c r="L386" i="11"/>
  <c r="AF386" i="11"/>
  <c r="AG386" i="11"/>
  <c r="AH386" i="11" s="1"/>
  <c r="E373" i="11"/>
  <c r="L373" i="11"/>
  <c r="AF373" i="11"/>
  <c r="AG373" i="11"/>
  <c r="AH373" i="11" s="1"/>
  <c r="E357" i="11"/>
  <c r="L357" i="11"/>
  <c r="AF357" i="11"/>
  <c r="AG357" i="11"/>
  <c r="AH357" i="11" s="1"/>
  <c r="E339" i="11"/>
  <c r="L339" i="11"/>
  <c r="AF339" i="11"/>
  <c r="AG339" i="11"/>
  <c r="AH339" i="11" s="1"/>
  <c r="E68" i="11"/>
  <c r="L68" i="11"/>
  <c r="AF68" i="11"/>
  <c r="AG68" i="11"/>
  <c r="AH68" i="11" s="1"/>
  <c r="E299" i="11" l="1"/>
  <c r="L299" i="11"/>
  <c r="AF299" i="11"/>
  <c r="AG299" i="11"/>
  <c r="AH299" i="11" s="1"/>
  <c r="E297" i="11"/>
  <c r="L297" i="11"/>
  <c r="AF297" i="11"/>
  <c r="AG297" i="11"/>
  <c r="AH297" i="11" s="1"/>
  <c r="E37" i="11" l="1"/>
  <c r="L37" i="11"/>
  <c r="AF37" i="11"/>
  <c r="AG37" i="11"/>
  <c r="AH37" i="11" s="1"/>
  <c r="E209" i="11" l="1"/>
  <c r="L209" i="11"/>
  <c r="AF209" i="11"/>
  <c r="AG209" i="11"/>
  <c r="AH209" i="11" s="1"/>
  <c r="E256" i="11"/>
  <c r="L256" i="11"/>
  <c r="AF256" i="11"/>
  <c r="AG256" i="11"/>
  <c r="AH256" i="11" s="1"/>
  <c r="E305" i="11" l="1"/>
  <c r="L305" i="11"/>
  <c r="AF305" i="11"/>
  <c r="AG305" i="11"/>
  <c r="AH305" i="11" s="1"/>
  <c r="E292" i="11"/>
  <c r="E296" i="11"/>
  <c r="L296" i="11"/>
  <c r="AF296" i="11"/>
  <c r="AG296" i="11"/>
  <c r="AH296" i="11" s="1"/>
  <c r="L292" i="11"/>
  <c r="AF292" i="11"/>
  <c r="AG292" i="11"/>
  <c r="AH292" i="11" s="1"/>
  <c r="E104" i="11" l="1"/>
  <c r="L104" i="11"/>
  <c r="AF104" i="11"/>
  <c r="AG104" i="11"/>
  <c r="AH104" i="11" s="1"/>
  <c r="E95" i="11"/>
  <c r="L95" i="11"/>
  <c r="AF95" i="11"/>
  <c r="AG95" i="11"/>
  <c r="AH95" i="11" s="1"/>
  <c r="E111" i="11"/>
  <c r="L111" i="11"/>
  <c r="AF111" i="11"/>
  <c r="AG111" i="11"/>
  <c r="AH111" i="11" s="1"/>
  <c r="E40" i="11"/>
  <c r="L40" i="11"/>
  <c r="AF40" i="11"/>
  <c r="AG40" i="11"/>
  <c r="AH40" i="11" s="1"/>
  <c r="E12" i="11" l="1"/>
  <c r="L12" i="11"/>
  <c r="AF12" i="11"/>
  <c r="AG12" i="11"/>
  <c r="AH12" i="11" s="1"/>
  <c r="E36" i="11"/>
  <c r="L36" i="11"/>
  <c r="AF36" i="11"/>
  <c r="AG36" i="11"/>
  <c r="AH36" i="11" s="1"/>
  <c r="E17" i="11" l="1"/>
  <c r="L17" i="11"/>
  <c r="AF17" i="11"/>
  <c r="AG17" i="11"/>
  <c r="AH17" i="11" s="1"/>
  <c r="E11" i="11"/>
  <c r="L11" i="11"/>
  <c r="AF11" i="11"/>
  <c r="AG11" i="11"/>
  <c r="AH11" i="11" s="1"/>
  <c r="E147" i="11" l="1"/>
  <c r="L147" i="11"/>
  <c r="AF147" i="11"/>
  <c r="AG147" i="11"/>
  <c r="AH147" i="11" s="1"/>
  <c r="E144" i="11"/>
  <c r="L144" i="11"/>
  <c r="AF144" i="11"/>
  <c r="AG144" i="11"/>
  <c r="AH144" i="11" s="1"/>
  <c r="E158" i="11" l="1"/>
  <c r="L158" i="11"/>
  <c r="AF158" i="11"/>
  <c r="AG158" i="11"/>
  <c r="AH158" i="11" s="1"/>
  <c r="E155" i="11"/>
  <c r="L155" i="11"/>
  <c r="AF155" i="11"/>
  <c r="AG155" i="11"/>
  <c r="AH155" i="11" s="1"/>
  <c r="E142" i="11"/>
  <c r="L142" i="11"/>
  <c r="AF142" i="11"/>
  <c r="AG142" i="11"/>
  <c r="AH142" i="11" s="1"/>
  <c r="E139" i="11"/>
  <c r="L139" i="11"/>
  <c r="AF139" i="11"/>
  <c r="AG139" i="11"/>
  <c r="AH139" i="11" s="1"/>
  <c r="E134" i="11"/>
  <c r="L134" i="11"/>
  <c r="AF134" i="11"/>
  <c r="AG134" i="11"/>
  <c r="AH134" i="11" s="1"/>
  <c r="E148" i="11"/>
  <c r="L148" i="11"/>
  <c r="AF148" i="11"/>
  <c r="AG148" i="11"/>
  <c r="AH148" i="11" s="1"/>
  <c r="E132" i="11"/>
  <c r="L132" i="11"/>
  <c r="AF132" i="11"/>
  <c r="AG132" i="11"/>
  <c r="AH132" i="11" s="1"/>
  <c r="E13" i="11" l="1"/>
  <c r="L13" i="11"/>
  <c r="AF13" i="11"/>
  <c r="AG13" i="11"/>
  <c r="AH13" i="11" s="1"/>
  <c r="E45" i="11" l="1"/>
  <c r="L45" i="11"/>
  <c r="AF45" i="11"/>
  <c r="AG45" i="11"/>
  <c r="AH45" i="11" s="1"/>
  <c r="E59" i="11" l="1"/>
  <c r="L59" i="11"/>
  <c r="AF59" i="11"/>
  <c r="AG59" i="11"/>
  <c r="AH59" i="11" s="1"/>
  <c r="E18" i="11" l="1"/>
  <c r="L18" i="11"/>
  <c r="AF18" i="11"/>
  <c r="AG18" i="11"/>
  <c r="AH18" i="11" s="1"/>
  <c r="E317" i="11" l="1"/>
  <c r="L317" i="11"/>
  <c r="AF317" i="11"/>
  <c r="AG317" i="11"/>
  <c r="AH317" i="11" s="1"/>
  <c r="E188" i="11"/>
  <c r="L188" i="11"/>
  <c r="AF188" i="11"/>
  <c r="AG188" i="11"/>
  <c r="AH188" i="11" s="1"/>
  <c r="E25" i="11" l="1"/>
  <c r="L25" i="11"/>
  <c r="AF25" i="11"/>
  <c r="AG25" i="11"/>
  <c r="AH25" i="11" s="1"/>
  <c r="C6" i="19" l="1"/>
  <c r="E356" i="11"/>
  <c r="L356" i="11"/>
  <c r="AF356" i="11"/>
  <c r="AG356" i="11"/>
  <c r="AH356" i="11" s="1"/>
  <c r="G5" i="19"/>
  <c r="C5" i="19"/>
  <c r="E355" i="11"/>
  <c r="L355" i="11"/>
  <c r="AF355" i="11"/>
  <c r="AG355" i="11"/>
  <c r="AH355" i="11" s="1"/>
  <c r="E39" i="11" l="1"/>
  <c r="L39" i="11"/>
  <c r="AF39" i="11"/>
  <c r="AG39" i="11"/>
  <c r="AH39" i="11" s="1"/>
  <c r="E364" i="11" l="1"/>
  <c r="L364" i="11"/>
  <c r="AF364" i="11"/>
  <c r="AG364" i="11"/>
  <c r="AH364" i="11" s="1"/>
  <c r="G2" i="19"/>
  <c r="C2" i="19"/>
  <c r="C3" i="19"/>
  <c r="G3" i="19"/>
  <c r="G4" i="19"/>
  <c r="G6" i="19"/>
  <c r="G7" i="19"/>
  <c r="G8" i="19"/>
  <c r="G9" i="19"/>
  <c r="G10" i="19"/>
  <c r="G11" i="19"/>
  <c r="G12" i="19"/>
  <c r="G13" i="19"/>
  <c r="G14" i="19"/>
  <c r="G15" i="19"/>
  <c r="G16" i="19"/>
  <c r="G17" i="19"/>
  <c r="G18" i="19"/>
  <c r="G19" i="19"/>
  <c r="G20" i="19"/>
  <c r="G21" i="19"/>
  <c r="G22" i="19"/>
  <c r="G23" i="19"/>
  <c r="G24" i="19"/>
  <c r="G25" i="19"/>
  <c r="G26" i="19"/>
  <c r="G27" i="19"/>
  <c r="G28" i="19"/>
  <c r="C4" i="19"/>
  <c r="C7" i="19"/>
  <c r="C8" i="19"/>
  <c r="C9" i="19"/>
  <c r="C10" i="19"/>
  <c r="C11" i="19"/>
  <c r="C12" i="19"/>
  <c r="C13" i="19"/>
  <c r="C14" i="19"/>
  <c r="C15" i="19"/>
  <c r="C16" i="19"/>
  <c r="C17" i="19"/>
  <c r="C18" i="19"/>
  <c r="C19" i="19"/>
  <c r="C20" i="19"/>
  <c r="C21" i="19"/>
  <c r="C22" i="19"/>
  <c r="C23" i="19"/>
  <c r="C24" i="19"/>
  <c r="C25" i="19"/>
  <c r="C26" i="19"/>
  <c r="C27" i="19"/>
  <c r="C28" i="19"/>
  <c r="E397" i="11" l="1"/>
  <c r="L397" i="11"/>
  <c r="AF397" i="11"/>
  <c r="AG397" i="11"/>
  <c r="AH397" i="11" s="1"/>
  <c r="E422" i="11"/>
  <c r="L422" i="11"/>
  <c r="AF422" i="11"/>
  <c r="AG422" i="11"/>
  <c r="AH422" i="11" s="1"/>
  <c r="E401" i="11" l="1"/>
  <c r="L401" i="11"/>
  <c r="AF401" i="11"/>
  <c r="AG401" i="11"/>
  <c r="AH401" i="11" s="1"/>
  <c r="E399" i="11"/>
  <c r="E400" i="11"/>
  <c r="L399" i="11"/>
  <c r="L400" i="11"/>
  <c r="AF399" i="11"/>
  <c r="AF400" i="11"/>
  <c r="AG399" i="11"/>
  <c r="AH399" i="11" s="1"/>
  <c r="AG400" i="11"/>
  <c r="AH400" i="11" s="1"/>
  <c r="E404" i="11"/>
  <c r="L404" i="11"/>
  <c r="AF404" i="11"/>
  <c r="AG404" i="11"/>
  <c r="AH404" i="11" s="1"/>
  <c r="E285" i="11" l="1"/>
  <c r="L285" i="11"/>
  <c r="AF285" i="11"/>
  <c r="AG285" i="11"/>
  <c r="AH285" i="11" s="1"/>
  <c r="AF190" i="11" l="1"/>
  <c r="AF306" i="11"/>
  <c r="AF307" i="11"/>
  <c r="AF191" i="11"/>
  <c r="AF192" i="11"/>
  <c r="AF418" i="11"/>
  <c r="AF193" i="11"/>
  <c r="AF420" i="11"/>
  <c r="AF308" i="11"/>
  <c r="AF309" i="11"/>
  <c r="AF436" i="11"/>
  <c r="AF446" i="11"/>
  <c r="AF447" i="11"/>
  <c r="AF194" i="11"/>
  <c r="AF195" i="11"/>
  <c r="AF196" i="11"/>
  <c r="AF372" i="11"/>
  <c r="AF312" i="11"/>
  <c r="AF92" i="11"/>
  <c r="AF115" i="11"/>
  <c r="AF116" i="11"/>
  <c r="AF197" i="11"/>
  <c r="AF102" i="11"/>
  <c r="AF310" i="11"/>
  <c r="AF311" i="11"/>
  <c r="AF455" i="11"/>
  <c r="AF198" i="11"/>
  <c r="AF199" i="11"/>
  <c r="AF8" i="11"/>
  <c r="AF200" i="11"/>
  <c r="AF14" i="11"/>
  <c r="AF24" i="11"/>
  <c r="AF38" i="11"/>
  <c r="AF55" i="11"/>
  <c r="AF56" i="11"/>
  <c r="AF117" i="11"/>
  <c r="AF118" i="11"/>
  <c r="AF119" i="11"/>
  <c r="AF120" i="11"/>
  <c r="AF313" i="11"/>
  <c r="AF314" i="11"/>
  <c r="AF315" i="11"/>
  <c r="AF96" i="11"/>
  <c r="AF99" i="11"/>
  <c r="AF201" i="11"/>
  <c r="AF202" i="11"/>
  <c r="AF203" i="11"/>
  <c r="AF204" i="11"/>
  <c r="AF205" i="11"/>
  <c r="AF206" i="11"/>
  <c r="AF208" i="11"/>
  <c r="AF207" i="11"/>
  <c r="AF316" i="11"/>
  <c r="AF318" i="11"/>
  <c r="AF319" i="11"/>
  <c r="AF21" i="11"/>
  <c r="AF26" i="11"/>
  <c r="AF43" i="11"/>
  <c r="AF52" i="11"/>
  <c r="AF121" i="11"/>
  <c r="AF122" i="11"/>
  <c r="AF426" i="11"/>
  <c r="AF3" i="11"/>
  <c r="AF72" i="11"/>
  <c r="AF427" i="11"/>
  <c r="AF80" i="11"/>
  <c r="AF4" i="11"/>
  <c r="AF82" i="11"/>
  <c r="AF449" i="11"/>
  <c r="AF448" i="11"/>
  <c r="AF320" i="11"/>
  <c r="AF183" i="11"/>
  <c r="AF321" i="11"/>
  <c r="AF73" i="11"/>
  <c r="AF444" i="11"/>
  <c r="AF83" i="11"/>
  <c r="AF5" i="11"/>
  <c r="AF450" i="11"/>
  <c r="AF323" i="11"/>
  <c r="AF451" i="11"/>
  <c r="AF84" i="11"/>
  <c r="AF85" i="11"/>
  <c r="AF452" i="11"/>
  <c r="AF322" i="11"/>
  <c r="AF453" i="11"/>
  <c r="AF324" i="11"/>
  <c r="AF210" i="11"/>
  <c r="AF325" i="11"/>
  <c r="AF86" i="11"/>
  <c r="AF184" i="11"/>
  <c r="AF326" i="11"/>
  <c r="AF74" i="11"/>
  <c r="AF185" i="11"/>
  <c r="AF211" i="11"/>
  <c r="AF212" i="11"/>
  <c r="AF327" i="11"/>
  <c r="AF328" i="11"/>
  <c r="AF112" i="11"/>
  <c r="AF213" i="11"/>
  <c r="AF87" i="11"/>
  <c r="AF88" i="11"/>
  <c r="AF76" i="11"/>
  <c r="AF457" i="11"/>
  <c r="AF187" i="11"/>
  <c r="AF214" i="11"/>
  <c r="AF458" i="11"/>
  <c r="AF215" i="11"/>
  <c r="AF329" i="11"/>
  <c r="AF330" i="11"/>
  <c r="AF91" i="11"/>
  <c r="AF90" i="11"/>
  <c r="AF432" i="11"/>
  <c r="AF216" i="11"/>
  <c r="AF123" i="11"/>
  <c r="AF434" i="11"/>
  <c r="AF217" i="11"/>
  <c r="AF124" i="11"/>
  <c r="AF93" i="11"/>
  <c r="AF218" i="11"/>
  <c r="AF219" i="11"/>
  <c r="AF94" i="11"/>
  <c r="AF435" i="11"/>
  <c r="AF437" i="11"/>
  <c r="AF125" i="11"/>
  <c r="AF98" i="11"/>
  <c r="AF220" i="11"/>
  <c r="AF454" i="11"/>
  <c r="AF331" i="11"/>
  <c r="AF332" i="11"/>
  <c r="AF97" i="11"/>
  <c r="AF456" i="11"/>
  <c r="AF221" i="11"/>
  <c r="AF222" i="11"/>
  <c r="AF126" i="11"/>
  <c r="AF223" i="11"/>
  <c r="AF333" i="11"/>
  <c r="AF334" i="11"/>
  <c r="AF224" i="11"/>
  <c r="AF127" i="11"/>
  <c r="AF335" i="11"/>
  <c r="AF439" i="11"/>
  <c r="AF226" i="11"/>
  <c r="AF128" i="11"/>
  <c r="AF440" i="11"/>
  <c r="AF225" i="11"/>
  <c r="AF10" i="11"/>
  <c r="AF100" i="11"/>
  <c r="AF230" i="11"/>
  <c r="AF228" i="11"/>
  <c r="AF336" i="11"/>
  <c r="AF227" i="11"/>
  <c r="AF130" i="11"/>
  <c r="AF229" i="11"/>
  <c r="AF337" i="11"/>
  <c r="AF131" i="11"/>
  <c r="AF133" i="11"/>
  <c r="AF135" i="11"/>
  <c r="AF231" i="11"/>
  <c r="AF53" i="11"/>
  <c r="AF232" i="11"/>
  <c r="AF233" i="11"/>
  <c r="AF234" i="11"/>
  <c r="AF235" i="11"/>
  <c r="AF236" i="11"/>
  <c r="AF58" i="11"/>
  <c r="AF103" i="11"/>
  <c r="AF237" i="11"/>
  <c r="AF238" i="11"/>
  <c r="AF15" i="11"/>
  <c r="AF239" i="11"/>
  <c r="AF240" i="11"/>
  <c r="AF338" i="11"/>
  <c r="AF60" i="11"/>
  <c r="AF16" i="11"/>
  <c r="AF340" i="11"/>
  <c r="AF241" i="11"/>
  <c r="AF105" i="11"/>
  <c r="AF242" i="11"/>
  <c r="AF61" i="11"/>
  <c r="AF243" i="11"/>
  <c r="AF106" i="11"/>
  <c r="AF341" i="11"/>
  <c r="AF46" i="11"/>
  <c r="AF19" i="11"/>
  <c r="AF342" i="11"/>
  <c r="AF107" i="11"/>
  <c r="AF47" i="11"/>
  <c r="AF343" i="11"/>
  <c r="AF244" i="11"/>
  <c r="AF48" i="11"/>
  <c r="AF20" i="11"/>
  <c r="AF136" i="11"/>
  <c r="AF245" i="11"/>
  <c r="AF344" i="11"/>
  <c r="AF108" i="11"/>
  <c r="AF49" i="11"/>
  <c r="AF345" i="11"/>
  <c r="AF137" i="11"/>
  <c r="AF67" i="11"/>
  <c r="AF50" i="11"/>
  <c r="AF425" i="11"/>
  <c r="AF69" i="11"/>
  <c r="AF70" i="11"/>
  <c r="AF346" i="11"/>
  <c r="AF51" i="11"/>
  <c r="AF138" i="11"/>
  <c r="AF22" i="11"/>
  <c r="AF140" i="11"/>
  <c r="AF110" i="11"/>
  <c r="AF23" i="11"/>
  <c r="AF246" i="11"/>
  <c r="AF141" i="11"/>
  <c r="AF143" i="11"/>
  <c r="AF145" i="11"/>
  <c r="AF146" i="11"/>
  <c r="AF347" i="11"/>
  <c r="AF149" i="11"/>
  <c r="AF28" i="11"/>
  <c r="AF57" i="11"/>
  <c r="AF348" i="11"/>
  <c r="AF150" i="11"/>
  <c r="AF247" i="11"/>
  <c r="AF31" i="11"/>
  <c r="AF248" i="11"/>
  <c r="AF151" i="11"/>
  <c r="AF34" i="11"/>
  <c r="AF35" i="11"/>
  <c r="AF113" i="11"/>
  <c r="AF114" i="11"/>
  <c r="AF249" i="11"/>
  <c r="AF250" i="11"/>
  <c r="AF251" i="11"/>
  <c r="AF349" i="11"/>
  <c r="AF252" i="11"/>
  <c r="AF253" i="11"/>
  <c r="AF254" i="11"/>
  <c r="AF257" i="11"/>
  <c r="AF258" i="11"/>
  <c r="AF350" i="11"/>
  <c r="AF259" i="11"/>
  <c r="AF260" i="11"/>
  <c r="AF351" i="11"/>
  <c r="AF41" i="11"/>
  <c r="AF352" i="11"/>
  <c r="AF353" i="11"/>
  <c r="AF152" i="11"/>
  <c r="AF261" i="11"/>
  <c r="AF262" i="11"/>
  <c r="AF354" i="11"/>
  <c r="AF358" i="11"/>
  <c r="AF154" i="11"/>
  <c r="AF263" i="11"/>
  <c r="AF265" i="11"/>
  <c r="AF359" i="11"/>
  <c r="AF266" i="11"/>
  <c r="AF267" i="11"/>
  <c r="AF360" i="11"/>
  <c r="AF361" i="11"/>
  <c r="AF269" i="11"/>
  <c r="AF270" i="11"/>
  <c r="AF44" i="11"/>
  <c r="AF156" i="11"/>
  <c r="AF271" i="11"/>
  <c r="AF272" i="11"/>
  <c r="AF273" i="11"/>
  <c r="AF362" i="11"/>
  <c r="AF363" i="11"/>
  <c r="AF63" i="11"/>
  <c r="AF365" i="11"/>
  <c r="AF274" i="11"/>
  <c r="AF276" i="11"/>
  <c r="AF366" i="11"/>
  <c r="AF277" i="11"/>
  <c r="AF367" i="11"/>
  <c r="AF278" i="11"/>
  <c r="AF279" i="11"/>
  <c r="AF280" i="11"/>
  <c r="AF281" i="11"/>
  <c r="AF282" i="11"/>
  <c r="AF368" i="11"/>
  <c r="AF370" i="11"/>
  <c r="AF369" i="11"/>
  <c r="AF65" i="11"/>
  <c r="AF374" i="11"/>
  <c r="AF376" i="11"/>
  <c r="AF284" i="11"/>
  <c r="AF377" i="11"/>
  <c r="AF286" i="11"/>
  <c r="AF288" i="11"/>
  <c r="AF157" i="11"/>
  <c r="AF289" i="11"/>
  <c r="AF290" i="11"/>
  <c r="AF159" i="11"/>
  <c r="AF291" i="11"/>
  <c r="AF378" i="11"/>
  <c r="AF379" i="11"/>
  <c r="AF161" i="11"/>
  <c r="AF380" i="11"/>
  <c r="AF381" i="11"/>
  <c r="AF382" i="11"/>
  <c r="AF383" i="11"/>
  <c r="AF384" i="11"/>
  <c r="AF293" i="11"/>
  <c r="AF385" i="11"/>
  <c r="AF294" i="11"/>
  <c r="AF387" i="11"/>
  <c r="AF388" i="11"/>
  <c r="AF390" i="11"/>
  <c r="AF298" i="11"/>
  <c r="AF162" i="11"/>
  <c r="AF393" i="11"/>
  <c r="AF394" i="11"/>
  <c r="AF398" i="11"/>
  <c r="AF402" i="11"/>
  <c r="AF403" i="11"/>
  <c r="AF163" i="11"/>
  <c r="AF405" i="11"/>
  <c r="AF406" i="11"/>
  <c r="AF407" i="11"/>
  <c r="AF408" i="11"/>
  <c r="AF409" i="11"/>
  <c r="AF412" i="11"/>
  <c r="AF414" i="11"/>
  <c r="AF415" i="11"/>
  <c r="AF416" i="11"/>
  <c r="AF417" i="11"/>
  <c r="AF66" i="11"/>
  <c r="AF419" i="11"/>
  <c r="AF71" i="11"/>
  <c r="AF129" i="11"/>
  <c r="AF165" i="11"/>
  <c r="AF421" i="11"/>
  <c r="AF166" i="11"/>
  <c r="AF423" i="11"/>
  <c r="AF167" i="11"/>
  <c r="AF168" i="11"/>
  <c r="AF169" i="11"/>
  <c r="AF170" i="11"/>
  <c r="AF172" i="11"/>
  <c r="AF173" i="11"/>
  <c r="AF174" i="11"/>
  <c r="AF175" i="11"/>
  <c r="AF176" i="11"/>
  <c r="AF177" i="11"/>
  <c r="AF178" i="11"/>
  <c r="AF179" i="11"/>
  <c r="AF180" i="11"/>
  <c r="AF181" i="11"/>
  <c r="AF182" i="11"/>
  <c r="AF302" i="11"/>
  <c r="AF303" i="11"/>
  <c r="AF189" i="11"/>
  <c r="C1" i="14" l="1"/>
  <c r="G1" i="14" s="1"/>
  <c r="AG189" i="11"/>
  <c r="AH189" i="11" s="1"/>
  <c r="AG190" i="11"/>
  <c r="AH190" i="11" s="1"/>
  <c r="AG418" i="11"/>
  <c r="AH418" i="11" s="1"/>
  <c r="AG420" i="11"/>
  <c r="AH420" i="11" s="1"/>
  <c r="AG436" i="11"/>
  <c r="AH436" i="11" s="1"/>
  <c r="AG446" i="11"/>
  <c r="AH446" i="11" s="1"/>
  <c r="AG447" i="11"/>
  <c r="AH447" i="11" s="1"/>
  <c r="AG191" i="11"/>
  <c r="AH191" i="11" s="1"/>
  <c r="AG192" i="11"/>
  <c r="AH192" i="11" s="1"/>
  <c r="AG372" i="11"/>
  <c r="AH372" i="11" s="1"/>
  <c r="AG312" i="11"/>
  <c r="AH312" i="11" s="1"/>
  <c r="AG92" i="11"/>
  <c r="AH92" i="11" s="1"/>
  <c r="AG102" i="11"/>
  <c r="AH102" i="11" s="1"/>
  <c r="AG455" i="11"/>
  <c r="AH455" i="11" s="1"/>
  <c r="AG193" i="11"/>
  <c r="AH193" i="11" s="1"/>
  <c r="AG194" i="11"/>
  <c r="AH194" i="11" s="1"/>
  <c r="AG57" i="11"/>
  <c r="AH57" i="11" s="1"/>
  <c r="AG63" i="11"/>
  <c r="AH63" i="11" s="1"/>
  <c r="AG65" i="11"/>
  <c r="AH65" i="11" s="1"/>
  <c r="AG66" i="11"/>
  <c r="AH66" i="11" s="1"/>
  <c r="AG115" i="11"/>
  <c r="AH115" i="11" s="1"/>
  <c r="AG116" i="11"/>
  <c r="AH116" i="11" s="1"/>
  <c r="AG195" i="11"/>
  <c r="AH195" i="11" s="1"/>
  <c r="AG196" i="11"/>
  <c r="AH196" i="11" s="1"/>
  <c r="AG320" i="11"/>
  <c r="AH320" i="11" s="1"/>
  <c r="AG326" i="11"/>
  <c r="AH326" i="11" s="1"/>
  <c r="AG328" i="11"/>
  <c r="AH328" i="11" s="1"/>
  <c r="AG197" i="11"/>
  <c r="AH197" i="11" s="1"/>
  <c r="AG198" i="11"/>
  <c r="AH198" i="11" s="1"/>
  <c r="AG8" i="11"/>
  <c r="AH8" i="11" s="1"/>
  <c r="AG199" i="11"/>
  <c r="AH199" i="11" s="1"/>
  <c r="AG14" i="11"/>
  <c r="AH14" i="11" s="1"/>
  <c r="AG24" i="11"/>
  <c r="AH24" i="11" s="1"/>
  <c r="AG38" i="11"/>
  <c r="AH38" i="11" s="1"/>
  <c r="AG55" i="11"/>
  <c r="AH55" i="11" s="1"/>
  <c r="AG56" i="11"/>
  <c r="AH56" i="11" s="1"/>
  <c r="AG117" i="11"/>
  <c r="AH117" i="11" s="1"/>
  <c r="AG118" i="11"/>
  <c r="AH118" i="11" s="1"/>
  <c r="AG119" i="11"/>
  <c r="AH119" i="11" s="1"/>
  <c r="AG120" i="11"/>
  <c r="AH120" i="11" s="1"/>
  <c r="AG336" i="11"/>
  <c r="AH336" i="11" s="1"/>
  <c r="AG342" i="11"/>
  <c r="AH342" i="11" s="1"/>
  <c r="AG346" i="11"/>
  <c r="AH346" i="11" s="1"/>
  <c r="AG96" i="11"/>
  <c r="AH96" i="11" s="1"/>
  <c r="AG99" i="11"/>
  <c r="AH99" i="11" s="1"/>
  <c r="AG200" i="11"/>
  <c r="AH200" i="11" s="1"/>
  <c r="AG201" i="11"/>
  <c r="AH201" i="11" s="1"/>
  <c r="AG202" i="11"/>
  <c r="AH202" i="11" s="1"/>
  <c r="AG203" i="11"/>
  <c r="AH203" i="11" s="1"/>
  <c r="AG204" i="11"/>
  <c r="AH204" i="11" s="1"/>
  <c r="AG205" i="11"/>
  <c r="AH205" i="11" s="1"/>
  <c r="AG206" i="11"/>
  <c r="AH206" i="11" s="1"/>
  <c r="AG208" i="11"/>
  <c r="AH208" i="11" s="1"/>
  <c r="AG338" i="11"/>
  <c r="AH338" i="11" s="1"/>
  <c r="AG341" i="11"/>
  <c r="AH341" i="11" s="1"/>
  <c r="AG353" i="11"/>
  <c r="AH353" i="11" s="1"/>
  <c r="AG21" i="11"/>
  <c r="AH21" i="11" s="1"/>
  <c r="AG26" i="11"/>
  <c r="AH26" i="11" s="1"/>
  <c r="AG43" i="11"/>
  <c r="AH43" i="11" s="1"/>
  <c r="AG52" i="11"/>
  <c r="AH52" i="11" s="1"/>
  <c r="AG121" i="11"/>
  <c r="AH121" i="11" s="1"/>
  <c r="AG122" i="11"/>
  <c r="AH122" i="11" s="1"/>
  <c r="AG426" i="11"/>
  <c r="AH426" i="11" s="1"/>
  <c r="AG3" i="11"/>
  <c r="AH3" i="11" s="1"/>
  <c r="AG72" i="11"/>
  <c r="AH72" i="11" s="1"/>
  <c r="AG427" i="11"/>
  <c r="AH427" i="11" s="1"/>
  <c r="AG80" i="11"/>
  <c r="AH80" i="11" s="1"/>
  <c r="AG4" i="11"/>
  <c r="AH4" i="11" s="1"/>
  <c r="AG82" i="11"/>
  <c r="AH82" i="11" s="1"/>
  <c r="AG449" i="11"/>
  <c r="AH449" i="11" s="1"/>
  <c r="AG448" i="11"/>
  <c r="AH448" i="11" s="1"/>
  <c r="AG306" i="11"/>
  <c r="AH306" i="11" s="1"/>
  <c r="AG183" i="11"/>
  <c r="AH183" i="11" s="1"/>
  <c r="AG307" i="11"/>
  <c r="AH307" i="11" s="1"/>
  <c r="AG73" i="11"/>
  <c r="AH73" i="11" s="1"/>
  <c r="AG444" i="11"/>
  <c r="AH444" i="11" s="1"/>
  <c r="AG83" i="11"/>
  <c r="AH83" i="11" s="1"/>
  <c r="AG5" i="11"/>
  <c r="AH5" i="11" s="1"/>
  <c r="AG450" i="11"/>
  <c r="AH450" i="11" s="1"/>
  <c r="AG308" i="11"/>
  <c r="AH308" i="11" s="1"/>
  <c r="AG451" i="11"/>
  <c r="AH451" i="11" s="1"/>
  <c r="AG84" i="11"/>
  <c r="AH84" i="11" s="1"/>
  <c r="AG85" i="11"/>
  <c r="AH85" i="11" s="1"/>
  <c r="AG452" i="11"/>
  <c r="AH452" i="11" s="1"/>
  <c r="AG309" i="11"/>
  <c r="AH309" i="11" s="1"/>
  <c r="AG453" i="11"/>
  <c r="AH453" i="11" s="1"/>
  <c r="AG310" i="11"/>
  <c r="AH310" i="11" s="1"/>
  <c r="AG207" i="11"/>
  <c r="AH207" i="11" s="1"/>
  <c r="AG311" i="11"/>
  <c r="AH311" i="11" s="1"/>
  <c r="AG86" i="11"/>
  <c r="AH86" i="11" s="1"/>
  <c r="AG184" i="11"/>
  <c r="AH184" i="11" s="1"/>
  <c r="AG313" i="11"/>
  <c r="AH313" i="11" s="1"/>
  <c r="AG74" i="11"/>
  <c r="AH74" i="11" s="1"/>
  <c r="AG185" i="11"/>
  <c r="AH185" i="11" s="1"/>
  <c r="AG210" i="11"/>
  <c r="AH210" i="11" s="1"/>
  <c r="AG211" i="11"/>
  <c r="AH211" i="11" s="1"/>
  <c r="AG314" i="11"/>
  <c r="AH314" i="11" s="1"/>
  <c r="AG315" i="11"/>
  <c r="AH315" i="11" s="1"/>
  <c r="AG112" i="11"/>
  <c r="AH112" i="11" s="1"/>
  <c r="AG212" i="11"/>
  <c r="AH212" i="11" s="1"/>
  <c r="AG87" i="11"/>
  <c r="AH87" i="11" s="1"/>
  <c r="AG88" i="11"/>
  <c r="AH88" i="11" s="1"/>
  <c r="AG76" i="11"/>
  <c r="AH76" i="11" s="1"/>
  <c r="AG457" i="11"/>
  <c r="AH457" i="11" s="1"/>
  <c r="AG187" i="11"/>
  <c r="AH187" i="11" s="1"/>
  <c r="AG316" i="11"/>
  <c r="AH316" i="11" s="1"/>
  <c r="AG213" i="11"/>
  <c r="AH213" i="11" s="1"/>
  <c r="AG458" i="11"/>
  <c r="AH458" i="11" s="1"/>
  <c r="AG214" i="11"/>
  <c r="AH214" i="11" s="1"/>
  <c r="AG318" i="11"/>
  <c r="AH318" i="11" s="1"/>
  <c r="AG319" i="11"/>
  <c r="AH319" i="11" s="1"/>
  <c r="AG91" i="11"/>
  <c r="AH91" i="11" s="1"/>
  <c r="AG90" i="11"/>
  <c r="AH90" i="11" s="1"/>
  <c r="AG432" i="11"/>
  <c r="AH432" i="11" s="1"/>
  <c r="AG215" i="11"/>
  <c r="AH215" i="11" s="1"/>
  <c r="AG123" i="11"/>
  <c r="AH123" i="11" s="1"/>
  <c r="AG434" i="11"/>
  <c r="AH434" i="11" s="1"/>
  <c r="AG216" i="11"/>
  <c r="AH216" i="11" s="1"/>
  <c r="AG124" i="11"/>
  <c r="AH124" i="11" s="1"/>
  <c r="AG93" i="11"/>
  <c r="AH93" i="11" s="1"/>
  <c r="AG217" i="11"/>
  <c r="AH217" i="11" s="1"/>
  <c r="AG218" i="11"/>
  <c r="AH218" i="11" s="1"/>
  <c r="AG94" i="11"/>
  <c r="AH94" i="11" s="1"/>
  <c r="AG435" i="11"/>
  <c r="AH435" i="11" s="1"/>
  <c r="AG437" i="11"/>
  <c r="AH437" i="11" s="1"/>
  <c r="AG125" i="11"/>
  <c r="AH125" i="11" s="1"/>
  <c r="AG98" i="11"/>
  <c r="AH98" i="11" s="1"/>
  <c r="AG219" i="11"/>
  <c r="AH219" i="11" s="1"/>
  <c r="AG454" i="11"/>
  <c r="AH454" i="11" s="1"/>
  <c r="AG321" i="11"/>
  <c r="AH321" i="11" s="1"/>
  <c r="AG323" i="11"/>
  <c r="AH323" i="11" s="1"/>
  <c r="AG97" i="11"/>
  <c r="AH97" i="11" s="1"/>
  <c r="AG456" i="11"/>
  <c r="AH456" i="11" s="1"/>
  <c r="AG220" i="11"/>
  <c r="AH220" i="11" s="1"/>
  <c r="AG221" i="11"/>
  <c r="AH221" i="11" s="1"/>
  <c r="AG126" i="11"/>
  <c r="AH126" i="11" s="1"/>
  <c r="AG222" i="11"/>
  <c r="AH222" i="11" s="1"/>
  <c r="AG322" i="11"/>
  <c r="AH322" i="11" s="1"/>
  <c r="AG324" i="11"/>
  <c r="AH324" i="11" s="1"/>
  <c r="AG223" i="11"/>
  <c r="AH223" i="11" s="1"/>
  <c r="AG127" i="11"/>
  <c r="AH127" i="11" s="1"/>
  <c r="AG325" i="11"/>
  <c r="AH325" i="11" s="1"/>
  <c r="AG439" i="11"/>
  <c r="AH439" i="11" s="1"/>
  <c r="AG224" i="11"/>
  <c r="AH224" i="11" s="1"/>
  <c r="AG128" i="11"/>
  <c r="AH128" i="11" s="1"/>
  <c r="AG440" i="11"/>
  <c r="AH440" i="11" s="1"/>
  <c r="AG129" i="11"/>
  <c r="AG10" i="11"/>
  <c r="AH10" i="11" s="1"/>
  <c r="AG100" i="11"/>
  <c r="AH100" i="11" s="1"/>
  <c r="AG226" i="11"/>
  <c r="AH226" i="11" s="1"/>
  <c r="AG225" i="11"/>
  <c r="AH225" i="11" s="1"/>
  <c r="AG327" i="11"/>
  <c r="AH327" i="11" s="1"/>
  <c r="AG230" i="11"/>
  <c r="AH230" i="11" s="1"/>
  <c r="AG130" i="11"/>
  <c r="AH130" i="11" s="1"/>
  <c r="AG228" i="11"/>
  <c r="AH228" i="11" s="1"/>
  <c r="AG131" i="11"/>
  <c r="AH131" i="11" s="1"/>
  <c r="AG133" i="11"/>
  <c r="AH133" i="11" s="1"/>
  <c r="AG135" i="11"/>
  <c r="AH135" i="11" s="1"/>
  <c r="AG227" i="11"/>
  <c r="AH227" i="11" s="1"/>
  <c r="AG53" i="11"/>
  <c r="AH53" i="11" s="1"/>
  <c r="AG229" i="11"/>
  <c r="AH229" i="11" s="1"/>
  <c r="AG231" i="11"/>
  <c r="AH231" i="11" s="1"/>
  <c r="AG232" i="11"/>
  <c r="AH232" i="11" s="1"/>
  <c r="AG233" i="11"/>
  <c r="AH233" i="11" s="1"/>
  <c r="AG234" i="11"/>
  <c r="AH234" i="11" s="1"/>
  <c r="AG58" i="11"/>
  <c r="AH58" i="11" s="1"/>
  <c r="AG103" i="11"/>
  <c r="AH103" i="11" s="1"/>
  <c r="AG235" i="11"/>
  <c r="AH235" i="11" s="1"/>
  <c r="AG236" i="11"/>
  <c r="AH236" i="11" s="1"/>
  <c r="AG15" i="11"/>
  <c r="AH15" i="11" s="1"/>
  <c r="AG237" i="11"/>
  <c r="AH237" i="11" s="1"/>
  <c r="AG238" i="11"/>
  <c r="AH238" i="11" s="1"/>
  <c r="AG329" i="11"/>
  <c r="AH329" i="11" s="1"/>
  <c r="AG60" i="11"/>
  <c r="AH60" i="11" s="1"/>
  <c r="AG16" i="11"/>
  <c r="AH16" i="11" s="1"/>
  <c r="AG330" i="11"/>
  <c r="AH330" i="11" s="1"/>
  <c r="AG239" i="11"/>
  <c r="AH239" i="11" s="1"/>
  <c r="AG105" i="11"/>
  <c r="AH105" i="11" s="1"/>
  <c r="AG240" i="11"/>
  <c r="AH240" i="11" s="1"/>
  <c r="AG61" i="11"/>
  <c r="AH61" i="11" s="1"/>
  <c r="AG241" i="11"/>
  <c r="AH241" i="11" s="1"/>
  <c r="AG106" i="11"/>
  <c r="AH106" i="11" s="1"/>
  <c r="AG331" i="11"/>
  <c r="AH331" i="11" s="1"/>
  <c r="AG46" i="11"/>
  <c r="AH46" i="11" s="1"/>
  <c r="AG19" i="11"/>
  <c r="AH19" i="11" s="1"/>
  <c r="AG332" i="11"/>
  <c r="AH332" i="11" s="1"/>
  <c r="AG107" i="11"/>
  <c r="AH107" i="11" s="1"/>
  <c r="AG47" i="11"/>
  <c r="AH47" i="11" s="1"/>
  <c r="AG333" i="11"/>
  <c r="AH333" i="11" s="1"/>
  <c r="AG242" i="11"/>
  <c r="AH242" i="11" s="1"/>
  <c r="AG48" i="11"/>
  <c r="AH48" i="11" s="1"/>
  <c r="AG20" i="11"/>
  <c r="AH20" i="11" s="1"/>
  <c r="AG136" i="11"/>
  <c r="AH136" i="11" s="1"/>
  <c r="AG243" i="11"/>
  <c r="AH243" i="11" s="1"/>
  <c r="AG334" i="11"/>
  <c r="AH334" i="11" s="1"/>
  <c r="AG108" i="11"/>
  <c r="AH108" i="11" s="1"/>
  <c r="AG49" i="11"/>
  <c r="AH49" i="11" s="1"/>
  <c r="AG335" i="11"/>
  <c r="AH335" i="11" s="1"/>
  <c r="AG137" i="11"/>
  <c r="AH137" i="11" s="1"/>
  <c r="AG67" i="11"/>
  <c r="AH67" i="11" s="1"/>
  <c r="AG50" i="11"/>
  <c r="AH50" i="11" s="1"/>
  <c r="AG425" i="11"/>
  <c r="AH425" i="11" s="1"/>
  <c r="AG69" i="11"/>
  <c r="AH69" i="11" s="1"/>
  <c r="AG70" i="11"/>
  <c r="AH70" i="11" s="1"/>
  <c r="AG337" i="11"/>
  <c r="AH337" i="11" s="1"/>
  <c r="AG51" i="11"/>
  <c r="AH51" i="11" s="1"/>
  <c r="AG138" i="11"/>
  <c r="AH138" i="11" s="1"/>
  <c r="AG22" i="11"/>
  <c r="AH22" i="11" s="1"/>
  <c r="AG140" i="11"/>
  <c r="AH140" i="11" s="1"/>
  <c r="AG110" i="11"/>
  <c r="AH110" i="11" s="1"/>
  <c r="AG23" i="11"/>
  <c r="AH23" i="11" s="1"/>
  <c r="AG244" i="11"/>
  <c r="AH244" i="11" s="1"/>
  <c r="AG141" i="11"/>
  <c r="AH141" i="11" s="1"/>
  <c r="AG143" i="11"/>
  <c r="AH143" i="11" s="1"/>
  <c r="AG145" i="11"/>
  <c r="AH145" i="11" s="1"/>
  <c r="AG146" i="11"/>
  <c r="AH146" i="11" s="1"/>
  <c r="AG340" i="11"/>
  <c r="AH340" i="11" s="1"/>
  <c r="AG149" i="11"/>
  <c r="AH149" i="11" s="1"/>
  <c r="AG28" i="11"/>
  <c r="AH28" i="11" s="1"/>
  <c r="AG245" i="11"/>
  <c r="AH245" i="11" s="1"/>
  <c r="AG343" i="11"/>
  <c r="AH343" i="11" s="1"/>
  <c r="AG150" i="11"/>
  <c r="AH150" i="11" s="1"/>
  <c r="AG246" i="11"/>
  <c r="AH246" i="11" s="1"/>
  <c r="AG31" i="11"/>
  <c r="AH31" i="11" s="1"/>
  <c r="AG247" i="11"/>
  <c r="AH247" i="11" s="1"/>
  <c r="AG151" i="11"/>
  <c r="AH151" i="11" s="1"/>
  <c r="AG34" i="11"/>
  <c r="AH34" i="11" s="1"/>
  <c r="AG35" i="11"/>
  <c r="AH35" i="11" s="1"/>
  <c r="AG113" i="11"/>
  <c r="AH113" i="11" s="1"/>
  <c r="AG114" i="11"/>
  <c r="AH114" i="11" s="1"/>
  <c r="AG248" i="11"/>
  <c r="AH248" i="11" s="1"/>
  <c r="AG249" i="11"/>
  <c r="AH249" i="11" s="1"/>
  <c r="AG250" i="11"/>
  <c r="AH250" i="11" s="1"/>
  <c r="AG344" i="11"/>
  <c r="AH344" i="11" s="1"/>
  <c r="AG251" i="11"/>
  <c r="AH251" i="11" s="1"/>
  <c r="AG252" i="11"/>
  <c r="AH252" i="11" s="1"/>
  <c r="AG253" i="11"/>
  <c r="AH253" i="11" s="1"/>
  <c r="AG254" i="11"/>
  <c r="AH254" i="11" s="1"/>
  <c r="AG257" i="11"/>
  <c r="AH257" i="11" s="1"/>
  <c r="AG345" i="11"/>
  <c r="AH345" i="11" s="1"/>
  <c r="AG258" i="11"/>
  <c r="AH258" i="11" s="1"/>
  <c r="AG259" i="11"/>
  <c r="AH259" i="11" s="1"/>
  <c r="AG347" i="11"/>
  <c r="AH347" i="11" s="1"/>
  <c r="AG41" i="11"/>
  <c r="AH41" i="11" s="1"/>
  <c r="AG348" i="11"/>
  <c r="AH348" i="11" s="1"/>
  <c r="AG349" i="11"/>
  <c r="AH349" i="11" s="1"/>
  <c r="AG152" i="11"/>
  <c r="AH152" i="11" s="1"/>
  <c r="AG260" i="11"/>
  <c r="AH260" i="11" s="1"/>
  <c r="AG261" i="11"/>
  <c r="AH261" i="11" s="1"/>
  <c r="AG350" i="11"/>
  <c r="AH350" i="11" s="1"/>
  <c r="AG351" i="11"/>
  <c r="AH351" i="11" s="1"/>
  <c r="AG154" i="11"/>
  <c r="AH154" i="11" s="1"/>
  <c r="AG262" i="11"/>
  <c r="AH262" i="11" s="1"/>
  <c r="AG352" i="11"/>
  <c r="AH352" i="11" s="1"/>
  <c r="AG263" i="11"/>
  <c r="AH263" i="11" s="1"/>
  <c r="AG354" i="11"/>
  <c r="AH354" i="11" s="1"/>
  <c r="AG265" i="11"/>
  <c r="AH265" i="11" s="1"/>
  <c r="AG266" i="11"/>
  <c r="AH266" i="11" s="1"/>
  <c r="AG358" i="11"/>
  <c r="AH358" i="11" s="1"/>
  <c r="AG267" i="11"/>
  <c r="AH267" i="11" s="1"/>
  <c r="AG269" i="11"/>
  <c r="AH269" i="11" s="1"/>
  <c r="AG44" i="11"/>
  <c r="AH44" i="11" s="1"/>
  <c r="AG156" i="11"/>
  <c r="AH156" i="11" s="1"/>
  <c r="AG270" i="11"/>
  <c r="AH270" i="11" s="1"/>
  <c r="AG271" i="11"/>
  <c r="AH271" i="11" s="1"/>
  <c r="AG272" i="11"/>
  <c r="AH272" i="11" s="1"/>
  <c r="AG359" i="11"/>
  <c r="AH359" i="11" s="1"/>
  <c r="AG360" i="11"/>
  <c r="AH360" i="11" s="1"/>
  <c r="AG273" i="11"/>
  <c r="AH273" i="11" s="1"/>
  <c r="AG361" i="11"/>
  <c r="AH361" i="11" s="1"/>
  <c r="AG274" i="11"/>
  <c r="AH274" i="11" s="1"/>
  <c r="AG276" i="11"/>
  <c r="AH276" i="11" s="1"/>
  <c r="AG362" i="11"/>
  <c r="AH362" i="11" s="1"/>
  <c r="AG277" i="11"/>
  <c r="AH277" i="11" s="1"/>
  <c r="AG363" i="11"/>
  <c r="AH363" i="11" s="1"/>
  <c r="AG278" i="11"/>
  <c r="AH278" i="11" s="1"/>
  <c r="AG279" i="11"/>
  <c r="AH279" i="11" s="1"/>
  <c r="AG280" i="11"/>
  <c r="AH280" i="11" s="1"/>
  <c r="AG281" i="11"/>
  <c r="AH281" i="11" s="1"/>
  <c r="AG282" i="11"/>
  <c r="AH282" i="11" s="1"/>
  <c r="AG365" i="11"/>
  <c r="AH365" i="11" s="1"/>
  <c r="AG366" i="11"/>
  <c r="AH366" i="11" s="1"/>
  <c r="AG367" i="11"/>
  <c r="AH367" i="11" s="1"/>
  <c r="AG368" i="11"/>
  <c r="AH368" i="11" s="1"/>
  <c r="AG370" i="11"/>
  <c r="AH370" i="11" s="1"/>
  <c r="AG369" i="11"/>
  <c r="AH369" i="11" s="1"/>
  <c r="AG284" i="11"/>
  <c r="AH284" i="11" s="1"/>
  <c r="AG374" i="11"/>
  <c r="AH374" i="11" s="1"/>
  <c r="AG286" i="11"/>
  <c r="AH286" i="11" s="1"/>
  <c r="AG288" i="11"/>
  <c r="AH288" i="11" s="1"/>
  <c r="AG157" i="11"/>
  <c r="AH157" i="11" s="1"/>
  <c r="AG289" i="11"/>
  <c r="AH289" i="11" s="1"/>
  <c r="AG290" i="11"/>
  <c r="AH290" i="11" s="1"/>
  <c r="AG159" i="11"/>
  <c r="AH159" i="11" s="1"/>
  <c r="AG291" i="11"/>
  <c r="AH291" i="11" s="1"/>
  <c r="AG376" i="11"/>
  <c r="AH376" i="11" s="1"/>
  <c r="AG377" i="11"/>
  <c r="AH377" i="11" s="1"/>
  <c r="AG161" i="11"/>
  <c r="AH161" i="11" s="1"/>
  <c r="AG378" i="11"/>
  <c r="AH378" i="11" s="1"/>
  <c r="AG379" i="11"/>
  <c r="AH379" i="11" s="1"/>
  <c r="AG380" i="11"/>
  <c r="AH380" i="11" s="1"/>
  <c r="AG381" i="11"/>
  <c r="AH381" i="11" s="1"/>
  <c r="AG382" i="11"/>
  <c r="AH382" i="11" s="1"/>
  <c r="AG293" i="11"/>
  <c r="AH293" i="11" s="1"/>
  <c r="AG383" i="11"/>
  <c r="AH383" i="11" s="1"/>
  <c r="AG294" i="11"/>
  <c r="AH294" i="11" s="1"/>
  <c r="AG384" i="11"/>
  <c r="AH384" i="11" s="1"/>
  <c r="AG385" i="11"/>
  <c r="AH385" i="11" s="1"/>
  <c r="AG387" i="11"/>
  <c r="AH387" i="11" s="1"/>
  <c r="AG298" i="11"/>
  <c r="AH298" i="11" s="1"/>
  <c r="AG162" i="11"/>
  <c r="AH162" i="11" s="1"/>
  <c r="AG388" i="11"/>
  <c r="AH388" i="11" s="1"/>
  <c r="AG390" i="11"/>
  <c r="AH390" i="11" s="1"/>
  <c r="AG393" i="11"/>
  <c r="AH393" i="11" s="1"/>
  <c r="AG394" i="11"/>
  <c r="AH394" i="11" s="1"/>
  <c r="AG398" i="11"/>
  <c r="AH398" i="11" s="1"/>
  <c r="AG163" i="11"/>
  <c r="AH163" i="11" s="1"/>
  <c r="AG402" i="11"/>
  <c r="AH402" i="11" s="1"/>
  <c r="AG403" i="11"/>
  <c r="AH403" i="11" s="1"/>
  <c r="AG405" i="11"/>
  <c r="AH405" i="11" s="1"/>
  <c r="AG406" i="11"/>
  <c r="AH406" i="11" s="1"/>
  <c r="AG407" i="11"/>
  <c r="AH407" i="11" s="1"/>
  <c r="AG408" i="11"/>
  <c r="AH408" i="11" s="1"/>
  <c r="AG409" i="11"/>
  <c r="AH409" i="11" s="1"/>
  <c r="AG412" i="11"/>
  <c r="AH412" i="11" s="1"/>
  <c r="AG414" i="11"/>
  <c r="AH414" i="11" s="1"/>
  <c r="AG415" i="11"/>
  <c r="AH415" i="11" s="1"/>
  <c r="AG416" i="11"/>
  <c r="AH416" i="11" s="1"/>
  <c r="AG417" i="11"/>
  <c r="AH417" i="11" s="1"/>
  <c r="AG71" i="11"/>
  <c r="AH71" i="11" s="1"/>
  <c r="AG419" i="11"/>
  <c r="AH419" i="11" s="1"/>
  <c r="AG165" i="11"/>
  <c r="AH165" i="11" s="1"/>
  <c r="AG421" i="11"/>
  <c r="AH421" i="11" s="1"/>
  <c r="AG166" i="11"/>
  <c r="AH166" i="11" s="1"/>
  <c r="AG423" i="11"/>
  <c r="AH423" i="11" s="1"/>
  <c r="AG167" i="11"/>
  <c r="AH167" i="11" s="1"/>
  <c r="AG168" i="11"/>
  <c r="AH168" i="11" s="1"/>
  <c r="AG169" i="11"/>
  <c r="AH169" i="11" s="1"/>
  <c r="AG170" i="11"/>
  <c r="AH170" i="11" s="1"/>
  <c r="AG172" i="11"/>
  <c r="AH172" i="11" s="1"/>
  <c r="AG173" i="11"/>
  <c r="AH173" i="11" s="1"/>
  <c r="AG174" i="11"/>
  <c r="AH174" i="11" s="1"/>
  <c r="AG175" i="11"/>
  <c r="AH175" i="11" s="1"/>
  <c r="AG176" i="11"/>
  <c r="AH176" i="11" s="1"/>
  <c r="AG177" i="11"/>
  <c r="AH177" i="11" s="1"/>
  <c r="AG178" i="11"/>
  <c r="AH178" i="11" s="1"/>
  <c r="AG179" i="11"/>
  <c r="AH179" i="11" s="1"/>
  <c r="AG180" i="11"/>
  <c r="AH180" i="11" s="1"/>
  <c r="AG181" i="11"/>
  <c r="AH181" i="11" s="1"/>
  <c r="AG182" i="11"/>
  <c r="AH182" i="11" s="1"/>
  <c r="AG302" i="11"/>
  <c r="AH302" i="11" s="1"/>
  <c r="AG303" i="11"/>
  <c r="AH303" i="11" s="1"/>
  <c r="A15" i="14"/>
  <c r="B38" i="17" s="1"/>
  <c r="A16" i="14"/>
  <c r="B39" i="17" s="1"/>
  <c r="A17" i="14"/>
  <c r="B40" i="17" s="1"/>
  <c r="A18" i="14"/>
  <c r="B41" i="17" s="1"/>
  <c r="A19" i="14"/>
  <c r="B42" i="17" s="1"/>
  <c r="A6" i="14"/>
  <c r="B29" i="17" s="1"/>
  <c r="A7" i="14"/>
  <c r="B30" i="17" s="1"/>
  <c r="A8" i="14"/>
  <c r="B31" i="17" s="1"/>
  <c r="A9" i="14"/>
  <c r="B32" i="17" s="1"/>
  <c r="A10" i="14"/>
  <c r="B33" i="17" s="1"/>
  <c r="A11" i="14"/>
  <c r="B34" i="17" s="1"/>
  <c r="A12" i="14"/>
  <c r="B35" i="17" s="1"/>
  <c r="A13" i="14"/>
  <c r="B36" i="17" s="1"/>
  <c r="A14" i="14"/>
  <c r="B37" i="17" s="1"/>
  <c r="A5" i="14"/>
  <c r="B28" i="17" s="1"/>
  <c r="B1" i="14"/>
  <c r="A84" i="14"/>
  <c r="J84" i="14" s="1"/>
  <c r="A85" i="14"/>
  <c r="M85" i="14" s="1"/>
  <c r="A86" i="14"/>
  <c r="J86" i="14" s="1"/>
  <c r="A87" i="14"/>
  <c r="A88" i="14"/>
  <c r="K88" i="14" s="1"/>
  <c r="A89" i="14"/>
  <c r="L89" i="14" s="1"/>
  <c r="A90" i="14"/>
  <c r="J90" i="14" s="1"/>
  <c r="A91" i="14"/>
  <c r="J91" i="14" s="1"/>
  <c r="A92" i="14"/>
  <c r="L92" i="14" s="1"/>
  <c r="A93" i="14"/>
  <c r="K93" i="14" s="1"/>
  <c r="A94" i="14"/>
  <c r="J94" i="14" s="1"/>
  <c r="A95" i="14"/>
  <c r="J95" i="14" s="1"/>
  <c r="A96" i="14"/>
  <c r="J96" i="14" s="1"/>
  <c r="A97" i="14"/>
  <c r="J97" i="14" s="1"/>
  <c r="A83" i="14"/>
  <c r="M83" i="14" s="1"/>
  <c r="A65" i="14"/>
  <c r="A66" i="14"/>
  <c r="A67" i="14"/>
  <c r="A68" i="14"/>
  <c r="A69" i="14"/>
  <c r="A70" i="14"/>
  <c r="A71" i="14"/>
  <c r="A72" i="14"/>
  <c r="A73" i="14"/>
  <c r="A74" i="14"/>
  <c r="A75" i="14"/>
  <c r="A76" i="14"/>
  <c r="A77" i="14"/>
  <c r="A78" i="14"/>
  <c r="A64" i="14"/>
  <c r="A46" i="14"/>
  <c r="B9" i="17" s="1"/>
  <c r="A47" i="14"/>
  <c r="B10" i="17" s="1"/>
  <c r="A48" i="14"/>
  <c r="B11" i="17" s="1"/>
  <c r="A49" i="14"/>
  <c r="B12" i="17" s="1"/>
  <c r="A50" i="14"/>
  <c r="B13" i="17" s="1"/>
  <c r="A51" i="14"/>
  <c r="B14" i="17" s="1"/>
  <c r="A52" i="14"/>
  <c r="B15" i="17" s="1"/>
  <c r="A53" i="14"/>
  <c r="B16" i="17" s="1"/>
  <c r="A54" i="14"/>
  <c r="B17" i="17" s="1"/>
  <c r="A55" i="14"/>
  <c r="B18" i="17" s="1"/>
  <c r="A56" i="14"/>
  <c r="B19" i="17" s="1"/>
  <c r="A57" i="14"/>
  <c r="B20" i="17" s="1"/>
  <c r="A58" i="14"/>
  <c r="B21" i="17" s="1"/>
  <c r="A59" i="14"/>
  <c r="B22" i="17" s="1"/>
  <c r="A45" i="14"/>
  <c r="B8" i="17" s="1"/>
  <c r="A26" i="14"/>
  <c r="B49" i="17" s="1"/>
  <c r="A27" i="14"/>
  <c r="B50" i="17" s="1"/>
  <c r="A28" i="14"/>
  <c r="J28" i="14" s="1"/>
  <c r="A29" i="14"/>
  <c r="B52" i="17" s="1"/>
  <c r="A30" i="14"/>
  <c r="B53" i="17" s="1"/>
  <c r="A31" i="14"/>
  <c r="B54" i="17" s="1"/>
  <c r="A32" i="14"/>
  <c r="B55" i="17" s="1"/>
  <c r="A33" i="14"/>
  <c r="J33" i="14" s="1"/>
  <c r="D56" i="17" s="1"/>
  <c r="A34" i="14"/>
  <c r="A35" i="14"/>
  <c r="B58" i="17" s="1"/>
  <c r="A36" i="14"/>
  <c r="J36" i="14" s="1"/>
  <c r="D59" i="17" s="1"/>
  <c r="A37" i="14"/>
  <c r="B60" i="17" s="1"/>
  <c r="A38" i="14"/>
  <c r="J38" i="14" s="1"/>
  <c r="D61" i="17" s="1"/>
  <c r="A39" i="14"/>
  <c r="B62" i="17" s="1"/>
  <c r="A25" i="14"/>
  <c r="B48" i="17" s="1"/>
  <c r="C12" i="14" l="1"/>
  <c r="D35" i="17" s="1"/>
  <c r="E8" i="14"/>
  <c r="F31" i="17" s="1"/>
  <c r="B18" i="14"/>
  <c r="C17" i="14"/>
  <c r="D40" i="17" s="1"/>
  <c r="D16" i="14"/>
  <c r="E39" i="17" s="1"/>
  <c r="B13" i="14"/>
  <c r="D11" i="14"/>
  <c r="E34" i="17" s="1"/>
  <c r="E10" i="14"/>
  <c r="F33" i="17" s="1"/>
  <c r="C11" i="14"/>
  <c r="D34" i="17" s="1"/>
  <c r="C6" i="14"/>
  <c r="D29" i="17" s="1"/>
  <c r="B14" i="14"/>
  <c r="C13" i="14"/>
  <c r="D36" i="17" s="1"/>
  <c r="E11" i="14"/>
  <c r="F34" i="17" s="1"/>
  <c r="C8" i="14"/>
  <c r="D31" i="17" s="1"/>
  <c r="B8" i="14"/>
  <c r="C7" i="14"/>
  <c r="D30" i="17" s="1"/>
  <c r="D6" i="14"/>
  <c r="E29" i="17" s="1"/>
  <c r="B19" i="14"/>
  <c r="C18" i="14"/>
  <c r="D41" i="17" s="1"/>
  <c r="D17" i="14"/>
  <c r="E40" i="17" s="1"/>
  <c r="C9" i="14"/>
  <c r="D32" i="17" s="1"/>
  <c r="D8" i="14"/>
  <c r="E31" i="17" s="1"/>
  <c r="E7" i="14"/>
  <c r="F30" i="17" s="1"/>
  <c r="C5" i="14"/>
  <c r="D28" i="17" s="1"/>
  <c r="D19" i="14"/>
  <c r="E42" i="17" s="1"/>
  <c r="E18" i="14"/>
  <c r="F41" i="17" s="1"/>
  <c r="C19" i="14"/>
  <c r="D42" i="17" s="1"/>
  <c r="D18" i="14"/>
  <c r="E41" i="17" s="1"/>
  <c r="E17" i="14"/>
  <c r="F40" i="17" s="1"/>
  <c r="C14" i="14"/>
  <c r="D37" i="17" s="1"/>
  <c r="D13" i="14"/>
  <c r="E36" i="17" s="1"/>
  <c r="D5" i="14"/>
  <c r="E28" i="17" s="1"/>
  <c r="E19" i="14"/>
  <c r="F42" i="17" s="1"/>
  <c r="B17" i="14"/>
  <c r="C16" i="14"/>
  <c r="D39" i="17" s="1"/>
  <c r="E14" i="14"/>
  <c r="F37" i="17" s="1"/>
  <c r="C15" i="14"/>
  <c r="D38" i="17" s="1"/>
  <c r="D14" i="14"/>
  <c r="E37" i="17" s="1"/>
  <c r="E13" i="14"/>
  <c r="F36" i="17" s="1"/>
  <c r="B11" i="14"/>
  <c r="D9" i="14"/>
  <c r="E32" i="17" s="1"/>
  <c r="B57" i="17"/>
  <c r="D51" i="17"/>
  <c r="B61" i="17"/>
  <c r="D83" i="14"/>
  <c r="B56" i="17"/>
  <c r="J39" i="14"/>
  <c r="D62" i="17" s="1"/>
  <c r="C90" i="14"/>
  <c r="B59" i="17"/>
  <c r="B51" i="17"/>
  <c r="J31" i="14"/>
  <c r="D54" i="17" s="1"/>
  <c r="K90" i="14"/>
  <c r="D86" i="14"/>
  <c r="L86" i="14"/>
  <c r="H94" i="14"/>
  <c r="D97" i="14"/>
  <c r="D85" i="14"/>
  <c r="B89" i="14"/>
  <c r="B93" i="14"/>
  <c r="L97" i="14"/>
  <c r="L85" i="14"/>
  <c r="J89" i="14"/>
  <c r="J93" i="14"/>
  <c r="K87" i="14"/>
  <c r="C95" i="14"/>
  <c r="G87" i="14"/>
  <c r="E92" i="14"/>
  <c r="G95" i="14"/>
  <c r="G84" i="14"/>
  <c r="K91" i="14"/>
  <c r="D88" i="14"/>
  <c r="C96" i="14"/>
  <c r="G85" i="14"/>
  <c r="E93" i="14"/>
  <c r="M93" i="14"/>
  <c r="H85" i="14"/>
  <c r="H88" i="14"/>
  <c r="F89" i="14"/>
  <c r="I92" i="14"/>
  <c r="G96" i="14"/>
  <c r="H97" i="14"/>
  <c r="C89" i="14"/>
  <c r="K89" i="14"/>
  <c r="E97" i="14"/>
  <c r="M97" i="14"/>
  <c r="C85" i="14"/>
  <c r="L88" i="14"/>
  <c r="G89" i="14"/>
  <c r="M92" i="14"/>
  <c r="I93" i="14"/>
  <c r="K96" i="14"/>
  <c r="I97" i="14"/>
  <c r="E88" i="14"/>
  <c r="I88" i="14"/>
  <c r="M88" i="14"/>
  <c r="B92" i="14"/>
  <c r="F92" i="14"/>
  <c r="J92" i="14"/>
  <c r="E84" i="14"/>
  <c r="M84" i="14"/>
  <c r="F88" i="14"/>
  <c r="J88" i="14"/>
  <c r="C91" i="14"/>
  <c r="C92" i="14"/>
  <c r="G92" i="14"/>
  <c r="K92" i="14"/>
  <c r="K95" i="14"/>
  <c r="E96" i="14"/>
  <c r="I96" i="14"/>
  <c r="M96" i="14"/>
  <c r="H84" i="14"/>
  <c r="L84" i="14"/>
  <c r="D96" i="14"/>
  <c r="H96" i="14"/>
  <c r="L96" i="14"/>
  <c r="B84" i="14"/>
  <c r="F84" i="14"/>
  <c r="C87" i="14"/>
  <c r="C88" i="14"/>
  <c r="G88" i="14"/>
  <c r="G91" i="14"/>
  <c r="D92" i="14"/>
  <c r="H92" i="14"/>
  <c r="B96" i="14"/>
  <c r="F96" i="14"/>
  <c r="H83" i="14"/>
  <c r="B85" i="14"/>
  <c r="F85" i="14"/>
  <c r="J85" i="14"/>
  <c r="C86" i="14"/>
  <c r="K86" i="14"/>
  <c r="E89" i="14"/>
  <c r="I89" i="14"/>
  <c r="M89" i="14"/>
  <c r="D93" i="14"/>
  <c r="H93" i="14"/>
  <c r="L93" i="14"/>
  <c r="G94" i="14"/>
  <c r="C97" i="14"/>
  <c r="G97" i="14"/>
  <c r="K97" i="14"/>
  <c r="K83" i="14"/>
  <c r="G86" i="14"/>
  <c r="D90" i="14"/>
  <c r="L90" i="14"/>
  <c r="C94" i="14"/>
  <c r="K94" i="14"/>
  <c r="G83" i="14"/>
  <c r="I85" i="14"/>
  <c r="H86" i="14"/>
  <c r="D89" i="14"/>
  <c r="H89" i="14"/>
  <c r="G90" i="14"/>
  <c r="C93" i="14"/>
  <c r="D94" i="14"/>
  <c r="L94" i="14"/>
  <c r="B97" i="14"/>
  <c r="F97" i="14"/>
  <c r="D87" i="14"/>
  <c r="H87" i="14"/>
  <c r="L87" i="14"/>
  <c r="D95" i="14"/>
  <c r="H95" i="14"/>
  <c r="E86" i="14"/>
  <c r="I86" i="14"/>
  <c r="M86" i="14"/>
  <c r="E87" i="14"/>
  <c r="I87" i="14"/>
  <c r="E90" i="14"/>
  <c r="M90" i="14"/>
  <c r="E91" i="14"/>
  <c r="I91" i="14"/>
  <c r="M91" i="14"/>
  <c r="E94" i="14"/>
  <c r="I94" i="14"/>
  <c r="M94" i="14"/>
  <c r="E95" i="14"/>
  <c r="I95" i="14"/>
  <c r="M95" i="14"/>
  <c r="D91" i="14"/>
  <c r="H91" i="14"/>
  <c r="L91" i="14"/>
  <c r="B86" i="14"/>
  <c r="F86" i="14"/>
  <c r="B87" i="14"/>
  <c r="F87" i="14"/>
  <c r="B90" i="14"/>
  <c r="F90" i="14"/>
  <c r="B91" i="14"/>
  <c r="F91" i="14"/>
  <c r="B94" i="14"/>
  <c r="F94" i="14"/>
  <c r="B95" i="14"/>
  <c r="F95" i="14"/>
  <c r="E83" i="14"/>
  <c r="I83" i="14"/>
  <c r="M65" i="14"/>
  <c r="M66" i="14"/>
  <c r="M67" i="14"/>
  <c r="M69" i="14"/>
  <c r="M70" i="14"/>
  <c r="M71" i="14"/>
  <c r="M72" i="14"/>
  <c r="M73" i="14"/>
  <c r="M74" i="14"/>
  <c r="M75" i="14"/>
  <c r="M76" i="14"/>
  <c r="M77" i="14"/>
  <c r="M78" i="14"/>
  <c r="M64" i="14"/>
  <c r="L65" i="14"/>
  <c r="L66" i="14"/>
  <c r="L67" i="14"/>
  <c r="L68" i="14"/>
  <c r="L69" i="14"/>
  <c r="L70" i="14"/>
  <c r="L71" i="14"/>
  <c r="L72" i="14"/>
  <c r="L73" i="14"/>
  <c r="L74" i="14"/>
  <c r="L75" i="14"/>
  <c r="L77" i="14"/>
  <c r="L78" i="14"/>
  <c r="K67" i="14"/>
  <c r="K68" i="14"/>
  <c r="K69" i="14"/>
  <c r="K70" i="14"/>
  <c r="K71" i="14"/>
  <c r="K72" i="14"/>
  <c r="K73" i="14"/>
  <c r="K74" i="14"/>
  <c r="K75" i="14"/>
  <c r="K76" i="14"/>
  <c r="K77" i="14"/>
  <c r="K78" i="14"/>
  <c r="K64" i="14"/>
  <c r="J65" i="14"/>
  <c r="J66" i="14"/>
  <c r="J67" i="14"/>
  <c r="J69" i="14"/>
  <c r="J70" i="14"/>
  <c r="J71" i="14"/>
  <c r="J72" i="14"/>
  <c r="J73" i="14"/>
  <c r="J74" i="14"/>
  <c r="J75" i="14"/>
  <c r="J76" i="14"/>
  <c r="J77" i="14"/>
  <c r="J78" i="14"/>
  <c r="I64" i="14"/>
  <c r="I66" i="14"/>
  <c r="I67" i="14"/>
  <c r="I68" i="14"/>
  <c r="I69" i="14"/>
  <c r="I70" i="14"/>
  <c r="I72" i="14"/>
  <c r="I73" i="14"/>
  <c r="I74" i="14"/>
  <c r="I75" i="14"/>
  <c r="I76" i="14"/>
  <c r="I77" i="14"/>
  <c r="I78" i="14"/>
  <c r="H65" i="14"/>
  <c r="H66" i="14"/>
  <c r="H67" i="14"/>
  <c r="H68" i="14"/>
  <c r="H69" i="14"/>
  <c r="H70" i="14"/>
  <c r="H72" i="14"/>
  <c r="H73" i="14"/>
  <c r="H74" i="14"/>
  <c r="H75" i="14"/>
  <c r="H76" i="14"/>
  <c r="H77" i="14"/>
  <c r="H78" i="14"/>
  <c r="H64" i="14"/>
  <c r="G65" i="14"/>
  <c r="G66" i="14"/>
  <c r="G67" i="14"/>
  <c r="G68" i="14"/>
  <c r="G69" i="14"/>
  <c r="G70" i="14"/>
  <c r="G71" i="14"/>
  <c r="G72" i="14"/>
  <c r="G73" i="14"/>
  <c r="G75" i="14"/>
  <c r="G76" i="14"/>
  <c r="G77" i="14"/>
  <c r="G78" i="14"/>
  <c r="G64" i="14"/>
  <c r="F65" i="14"/>
  <c r="F66" i="14"/>
  <c r="F67" i="14"/>
  <c r="F68" i="14"/>
  <c r="F69" i="14"/>
  <c r="F70" i="14"/>
  <c r="F71" i="14"/>
  <c r="F72" i="14"/>
  <c r="F73" i="14"/>
  <c r="F75" i="14"/>
  <c r="F76" i="14"/>
  <c r="F77" i="14"/>
  <c r="F78" i="14"/>
  <c r="E65" i="14"/>
  <c r="E67" i="14"/>
  <c r="E68" i="14"/>
  <c r="E69" i="14"/>
  <c r="E70" i="14"/>
  <c r="E71" i="14"/>
  <c r="E72" i="14"/>
  <c r="E73" i="14"/>
  <c r="E74" i="14"/>
  <c r="E75" i="14"/>
  <c r="E76" i="14"/>
  <c r="E77" i="14"/>
  <c r="E78" i="14"/>
  <c r="E64" i="14"/>
  <c r="D66" i="14"/>
  <c r="D67" i="14"/>
  <c r="D68" i="14"/>
  <c r="D69" i="14"/>
  <c r="D70" i="14"/>
  <c r="D71" i="14"/>
  <c r="D72" i="14"/>
  <c r="D73" i="14"/>
  <c r="D74" i="14"/>
  <c r="D75" i="14"/>
  <c r="D76" i="14"/>
  <c r="D77" i="14"/>
  <c r="D78" i="14"/>
  <c r="D64" i="14"/>
  <c r="C66" i="14"/>
  <c r="C67" i="14"/>
  <c r="C68" i="14"/>
  <c r="C69" i="14"/>
  <c r="C70" i="14"/>
  <c r="C71" i="14"/>
  <c r="C72" i="14"/>
  <c r="C73" i="14"/>
  <c r="C74" i="14"/>
  <c r="C75" i="14"/>
  <c r="C76" i="14"/>
  <c r="C77" i="14"/>
  <c r="C78" i="14"/>
  <c r="B66" i="14"/>
  <c r="B67" i="14"/>
  <c r="B68" i="14"/>
  <c r="B70" i="14"/>
  <c r="B71" i="14"/>
  <c r="B72" i="14"/>
  <c r="B73" i="14"/>
  <c r="B74" i="14"/>
  <c r="B75" i="14"/>
  <c r="B76" i="14"/>
  <c r="B77" i="14"/>
  <c r="B78" i="14"/>
  <c r="B65" i="14"/>
  <c r="C10" i="14"/>
  <c r="C65" i="14"/>
  <c r="D84" i="14"/>
  <c r="E66" i="14"/>
  <c r="G93" i="14"/>
  <c r="F64" i="14"/>
  <c r="I84" i="14"/>
  <c r="I71" i="14"/>
  <c r="K84" i="14"/>
  <c r="L83" i="14"/>
  <c r="E16" i="14"/>
  <c r="C64" i="14"/>
  <c r="M87" i="14"/>
  <c r="J87" i="14"/>
  <c r="M47" i="14"/>
  <c r="M48" i="14"/>
  <c r="M50" i="14"/>
  <c r="M51" i="14"/>
  <c r="M53" i="14"/>
  <c r="M54" i="14"/>
  <c r="M56" i="14"/>
  <c r="M57" i="14"/>
  <c r="M58" i="14"/>
  <c r="M59" i="14"/>
  <c r="M45" i="14"/>
  <c r="L46" i="14"/>
  <c r="L47" i="14"/>
  <c r="L48" i="14"/>
  <c r="L49" i="14"/>
  <c r="L50" i="14"/>
  <c r="L51" i="14"/>
  <c r="L52" i="14"/>
  <c r="L53" i="14"/>
  <c r="L54" i="14"/>
  <c r="L55" i="14"/>
  <c r="L56" i="14"/>
  <c r="L58" i="14"/>
  <c r="L59" i="14"/>
  <c r="K48" i="14"/>
  <c r="K49" i="14"/>
  <c r="K50" i="14"/>
  <c r="K51" i="14"/>
  <c r="K52" i="14"/>
  <c r="K53" i="14"/>
  <c r="K54" i="14"/>
  <c r="K55" i="14"/>
  <c r="K56" i="14"/>
  <c r="K57" i="14"/>
  <c r="K58" i="14"/>
  <c r="K59" i="14"/>
  <c r="K45" i="14"/>
  <c r="J46" i="14"/>
  <c r="J47" i="14"/>
  <c r="J48" i="14"/>
  <c r="J50" i="14"/>
  <c r="J51" i="14"/>
  <c r="J53" i="14"/>
  <c r="J54" i="14"/>
  <c r="J56" i="14"/>
  <c r="J57" i="14"/>
  <c r="J58" i="14"/>
  <c r="J59" i="14"/>
  <c r="I47" i="14"/>
  <c r="I48" i="14"/>
  <c r="I49" i="14"/>
  <c r="I50" i="14"/>
  <c r="I51" i="14"/>
  <c r="I53" i="14"/>
  <c r="I54" i="14"/>
  <c r="I55" i="14"/>
  <c r="I56" i="14"/>
  <c r="I57" i="14"/>
  <c r="I58" i="14"/>
  <c r="I59" i="14"/>
  <c r="H46" i="14"/>
  <c r="H47" i="14"/>
  <c r="H48" i="14"/>
  <c r="H49" i="14"/>
  <c r="H50" i="14"/>
  <c r="H51" i="14"/>
  <c r="H53" i="14"/>
  <c r="H54" i="14"/>
  <c r="H55" i="14"/>
  <c r="H56" i="14"/>
  <c r="H57" i="14"/>
  <c r="H58" i="14"/>
  <c r="H59" i="14"/>
  <c r="D47" i="14"/>
  <c r="D48" i="14"/>
  <c r="D49" i="14"/>
  <c r="D50" i="14"/>
  <c r="D51" i="14"/>
  <c r="D52" i="14"/>
  <c r="D53" i="14"/>
  <c r="D54" i="14"/>
  <c r="D55" i="14"/>
  <c r="D56" i="14"/>
  <c r="D57" i="14"/>
  <c r="D58" i="14"/>
  <c r="D59" i="14"/>
  <c r="D45" i="14"/>
  <c r="G46" i="14"/>
  <c r="G47" i="14"/>
  <c r="G48" i="14"/>
  <c r="G50" i="14"/>
  <c r="G51" i="14"/>
  <c r="G52" i="14"/>
  <c r="G53" i="14"/>
  <c r="G54" i="14"/>
  <c r="G55" i="14"/>
  <c r="G56" i="14"/>
  <c r="G57" i="14"/>
  <c r="G58" i="14"/>
  <c r="G59" i="14"/>
  <c r="G45" i="14"/>
  <c r="F46" i="14"/>
  <c r="F47" i="14"/>
  <c r="F48" i="14"/>
  <c r="F49" i="14"/>
  <c r="F50" i="14"/>
  <c r="F51" i="14"/>
  <c r="F52" i="14"/>
  <c r="F53" i="14"/>
  <c r="F54" i="14"/>
  <c r="F55" i="14"/>
  <c r="F56" i="14"/>
  <c r="F57" i="14"/>
  <c r="F58" i="14"/>
  <c r="F59" i="14"/>
  <c r="E46" i="14"/>
  <c r="E48" i="14"/>
  <c r="E49" i="14"/>
  <c r="E50" i="14"/>
  <c r="E51" i="14"/>
  <c r="E52" i="14"/>
  <c r="E53" i="14"/>
  <c r="E54" i="14"/>
  <c r="E55" i="14"/>
  <c r="E58" i="14"/>
  <c r="E59" i="14"/>
  <c r="C47" i="14"/>
  <c r="C48" i="14"/>
  <c r="C49" i="14"/>
  <c r="C50" i="14"/>
  <c r="C51" i="14"/>
  <c r="C52" i="14"/>
  <c r="C53" i="14"/>
  <c r="C54" i="14"/>
  <c r="C55" i="14"/>
  <c r="C56" i="14"/>
  <c r="C57" i="14"/>
  <c r="C58" i="14"/>
  <c r="C59" i="14"/>
  <c r="B46" i="14"/>
  <c r="B47" i="14"/>
  <c r="B48" i="14"/>
  <c r="B49" i="14"/>
  <c r="B51" i="14"/>
  <c r="B52" i="14"/>
  <c r="B53" i="14"/>
  <c r="B54" i="14"/>
  <c r="B55" i="14"/>
  <c r="B56" i="14"/>
  <c r="B57" i="14"/>
  <c r="B58" i="14"/>
  <c r="B59" i="14"/>
  <c r="M68" i="14" l="1"/>
  <c r="M79" i="14" s="1"/>
  <c r="K66" i="14"/>
  <c r="L95" i="14"/>
  <c r="K65" i="14"/>
  <c r="L76" i="14"/>
  <c r="N76" i="14" s="1"/>
  <c r="K85" i="14"/>
  <c r="L64" i="14"/>
  <c r="E9" i="14"/>
  <c r="F32" i="17" s="1"/>
  <c r="G32" i="17" s="1"/>
  <c r="B12" i="14"/>
  <c r="B9" i="14"/>
  <c r="E12" i="14"/>
  <c r="F35" i="17" s="1"/>
  <c r="J64" i="14"/>
  <c r="I65" i="14"/>
  <c r="I79" i="14" s="1"/>
  <c r="J83" i="14"/>
  <c r="H71" i="14"/>
  <c r="H79" i="14" s="1"/>
  <c r="J68" i="14"/>
  <c r="H90" i="14"/>
  <c r="I90" i="14"/>
  <c r="D15" i="14"/>
  <c r="E38" i="17" s="1"/>
  <c r="B15" i="14"/>
  <c r="B5" i="14"/>
  <c r="B16" i="14"/>
  <c r="E15" i="14"/>
  <c r="F38" i="17" s="1"/>
  <c r="B7" i="14"/>
  <c r="B10" i="14"/>
  <c r="E6" i="14"/>
  <c r="F29" i="17" s="1"/>
  <c r="E5" i="14"/>
  <c r="F28" i="17" s="1"/>
  <c r="D10" i="14"/>
  <c r="E33" i="17" s="1"/>
  <c r="B6" i="14"/>
  <c r="D7" i="14"/>
  <c r="E30" i="17" s="1"/>
  <c r="D12" i="14"/>
  <c r="E35" i="17" s="1"/>
  <c r="G35" i="17" s="1"/>
  <c r="G36" i="17"/>
  <c r="G31" i="17"/>
  <c r="G41" i="17"/>
  <c r="G74" i="14"/>
  <c r="G79" i="14" s="1"/>
  <c r="F83" i="14"/>
  <c r="F93" i="14"/>
  <c r="F74" i="14"/>
  <c r="F79" i="14" s="1"/>
  <c r="F39" i="17"/>
  <c r="G39" i="17" s="1"/>
  <c r="D65" i="14"/>
  <c r="E85" i="14"/>
  <c r="C84" i="14"/>
  <c r="C83" i="14"/>
  <c r="N53" i="14"/>
  <c r="N48" i="14"/>
  <c r="P48" i="14" s="1"/>
  <c r="N58" i="14"/>
  <c r="N54" i="14"/>
  <c r="P54" i="14" s="1"/>
  <c r="N59" i="14"/>
  <c r="N51" i="14"/>
  <c r="B64" i="14"/>
  <c r="G42" i="17"/>
  <c r="G37" i="17"/>
  <c r="G40" i="17"/>
  <c r="D33" i="17"/>
  <c r="D43" i="17" s="1"/>
  <c r="N78" i="14"/>
  <c r="N70" i="14"/>
  <c r="C79" i="14"/>
  <c r="N72" i="14"/>
  <c r="N67" i="14"/>
  <c r="G34" i="17"/>
  <c r="N77" i="14"/>
  <c r="N73" i="14"/>
  <c r="E79" i="14"/>
  <c r="N75" i="14"/>
  <c r="N66" i="14"/>
  <c r="B83" i="14"/>
  <c r="B88" i="14"/>
  <c r="B69" i="14"/>
  <c r="N69" i="14" s="1"/>
  <c r="N68" i="14" l="1"/>
  <c r="K79" i="14"/>
  <c r="L79" i="14"/>
  <c r="J79" i="14"/>
  <c r="N64" i="14"/>
  <c r="N65" i="14"/>
  <c r="N71" i="14"/>
  <c r="E43" i="17"/>
  <c r="F43" i="17"/>
  <c r="C42" i="17"/>
  <c r="F13" i="14"/>
  <c r="C36" i="17"/>
  <c r="G38" i="17"/>
  <c r="G28" i="17"/>
  <c r="C37" i="17"/>
  <c r="P59" i="14"/>
  <c r="G29" i="17"/>
  <c r="F18" i="14"/>
  <c r="C41" i="17"/>
  <c r="G30" i="17"/>
  <c r="G33" i="17"/>
  <c r="C34" i="17"/>
  <c r="C31" i="17"/>
  <c r="P58" i="14"/>
  <c r="P51" i="14"/>
  <c r="P53" i="14"/>
  <c r="N74" i="14"/>
  <c r="D20" i="14"/>
  <c r="D79" i="14"/>
  <c r="E20" i="14"/>
  <c r="C20" i="14"/>
  <c r="B79" i="14"/>
  <c r="B20" i="14"/>
  <c r="N79" i="14" l="1"/>
  <c r="O65" i="14" s="1"/>
  <c r="G43" i="17"/>
  <c r="E260" i="11"/>
  <c r="L260" i="11"/>
  <c r="O64" i="14" l="1"/>
  <c r="O74" i="14"/>
  <c r="O75" i="14"/>
  <c r="O66" i="14"/>
  <c r="O77" i="14"/>
  <c r="O70" i="14"/>
  <c r="O68" i="14"/>
  <c r="O67" i="14"/>
  <c r="O76" i="14"/>
  <c r="O69" i="14"/>
  <c r="O71" i="14"/>
  <c r="O72" i="14"/>
  <c r="O78" i="14"/>
  <c r="O73" i="14"/>
  <c r="E253" i="11"/>
  <c r="L253" i="11"/>
  <c r="E234" i="11"/>
  <c r="L234" i="11"/>
  <c r="E233" i="11" l="1"/>
  <c r="L233" i="11"/>
  <c r="E266" i="11" l="1"/>
  <c r="L266" i="11"/>
  <c r="E176" i="11" l="1"/>
  <c r="L176" i="11"/>
  <c r="E166" i="11" l="1"/>
  <c r="L166" i="11"/>
  <c r="E167" i="11"/>
  <c r="L167" i="11"/>
  <c r="E169" i="11"/>
  <c r="L169" i="11"/>
  <c r="E170" i="11"/>
  <c r="L170" i="11"/>
  <c r="E172" i="11"/>
  <c r="L172" i="11"/>
  <c r="E173" i="11"/>
  <c r="L173" i="11"/>
  <c r="E174" i="11" l="1"/>
  <c r="L174" i="11"/>
  <c r="E177" i="11" l="1"/>
  <c r="L177" i="11"/>
  <c r="E179" i="11"/>
  <c r="L179" i="11"/>
  <c r="E157" i="11" l="1"/>
  <c r="L157" i="11"/>
  <c r="E154" i="11"/>
  <c r="L154" i="11"/>
  <c r="E151" i="11"/>
  <c r="L151" i="11"/>
  <c r="E149" i="11"/>
  <c r="L149" i="11"/>
  <c r="E121" i="11" l="1"/>
  <c r="L121" i="11"/>
  <c r="E115" i="11" l="1"/>
  <c r="L115" i="11"/>
  <c r="E390" i="11" l="1"/>
  <c r="L390" i="11"/>
  <c r="E384" i="11"/>
  <c r="L384" i="11"/>
  <c r="E381" i="11"/>
  <c r="L381" i="11"/>
  <c r="E380" i="11"/>
  <c r="L380" i="11"/>
  <c r="E379" i="11"/>
  <c r="L379" i="11"/>
  <c r="L406" i="11"/>
  <c r="E409" i="11" l="1"/>
  <c r="L409" i="11"/>
  <c r="E372" i="11" l="1"/>
  <c r="L372" i="11"/>
  <c r="C46" i="14" l="1"/>
  <c r="E419" i="11"/>
  <c r="L419" i="11"/>
  <c r="E162" i="11" l="1"/>
  <c r="L162" i="11"/>
  <c r="E152" i="11"/>
  <c r="L152" i="11"/>
  <c r="E208" i="11" l="1"/>
  <c r="L208" i="11"/>
  <c r="E227" i="11" l="1"/>
  <c r="E232" i="11"/>
  <c r="L227" i="11"/>
  <c r="L232" i="11"/>
  <c r="E310" i="11" l="1"/>
  <c r="L310" i="11"/>
  <c r="F30" i="13" l="1"/>
  <c r="E435" i="11"/>
  <c r="L435" i="11"/>
  <c r="F29" i="13"/>
  <c r="F28" i="13"/>
  <c r="F27" i="13"/>
  <c r="F26" i="13"/>
  <c r="F24" i="13"/>
  <c r="F25" i="13"/>
  <c r="E175" i="11"/>
  <c r="L175" i="11"/>
  <c r="F15" i="13"/>
  <c r="F16" i="13"/>
  <c r="F17" i="13"/>
  <c r="F18" i="13"/>
  <c r="F19" i="13"/>
  <c r="F20" i="13"/>
  <c r="F21" i="13"/>
  <c r="F22" i="13"/>
  <c r="F23" i="13"/>
  <c r="E161" i="11"/>
  <c r="L161" i="11"/>
  <c r="F14" i="13"/>
  <c r="O11" i="13" s="1"/>
  <c r="F9" i="13"/>
  <c r="F4" i="13"/>
  <c r="O7" i="13" s="1"/>
  <c r="F5" i="13"/>
  <c r="F6" i="13"/>
  <c r="F7" i="13"/>
  <c r="F8" i="13"/>
  <c r="F10" i="13"/>
  <c r="F11" i="13"/>
  <c r="F12" i="13"/>
  <c r="F13" i="13"/>
  <c r="F3" i="13"/>
  <c r="F2" i="13"/>
  <c r="G2" i="13" s="1"/>
  <c r="O9" i="13" l="1"/>
  <c r="O10" i="13"/>
  <c r="O8" i="13"/>
  <c r="O13" i="13"/>
  <c r="O12" i="13"/>
  <c r="N11" i="13"/>
  <c r="P11" i="13" s="1"/>
  <c r="N9" i="13"/>
  <c r="N12" i="13"/>
  <c r="N10" i="13"/>
  <c r="N8" i="13"/>
  <c r="N13" i="13"/>
  <c r="N7" i="13"/>
  <c r="G3" i="13"/>
  <c r="G4" i="13" s="1"/>
  <c r="G5" i="13" s="1"/>
  <c r="G6" i="13" s="1"/>
  <c r="G7" i="13" s="1"/>
  <c r="G8" i="13" s="1"/>
  <c r="G9" i="13" s="1"/>
  <c r="G10" i="13" s="1"/>
  <c r="G11" i="13" s="1"/>
  <c r="G12" i="13" s="1"/>
  <c r="G13" i="13" s="1"/>
  <c r="G14" i="13" s="1"/>
  <c r="G15" i="13" s="1"/>
  <c r="G16" i="13" s="1"/>
  <c r="G17" i="13" s="1"/>
  <c r="G18" i="13" s="1"/>
  <c r="G19" i="13" s="1"/>
  <c r="G20" i="13" s="1"/>
  <c r="G21" i="13" s="1"/>
  <c r="G22" i="13" s="1"/>
  <c r="G23" i="13" s="1"/>
  <c r="G24" i="13" s="1"/>
  <c r="G25" i="13" s="1"/>
  <c r="G26" i="13" s="1"/>
  <c r="G27" i="13" s="1"/>
  <c r="G28" i="13" s="1"/>
  <c r="G29" i="13" s="1"/>
  <c r="G30" i="13" s="1"/>
  <c r="E219" i="11"/>
  <c r="L219" i="11"/>
  <c r="E31" i="14"/>
  <c r="E33" i="14"/>
  <c r="E39" i="14"/>
  <c r="F22" i="17" s="1"/>
  <c r="D31" i="14"/>
  <c r="D33" i="14"/>
  <c r="D38" i="14"/>
  <c r="D39" i="14"/>
  <c r="E22" i="17" s="1"/>
  <c r="C31" i="14"/>
  <c r="C33" i="14"/>
  <c r="C38" i="14"/>
  <c r="C39" i="14"/>
  <c r="E197" i="11"/>
  <c r="L197" i="11"/>
  <c r="E21" i="17" l="1"/>
  <c r="D21" i="17"/>
  <c r="D22" i="17"/>
  <c r="G22" i="17" s="1"/>
  <c r="H22" i="17" s="1"/>
  <c r="P9" i="13"/>
  <c r="P10" i="13"/>
  <c r="P12" i="13"/>
  <c r="P13" i="13"/>
  <c r="O14" i="13"/>
  <c r="N14" i="13"/>
  <c r="P7" i="13"/>
  <c r="P8" i="13"/>
  <c r="E190" i="11"/>
  <c r="L190" i="11"/>
  <c r="P14" i="13" l="1"/>
  <c r="E244" i="11"/>
  <c r="L244" i="11"/>
  <c r="E15" i="11" l="1"/>
  <c r="L15" i="11"/>
  <c r="E16" i="11" l="1"/>
  <c r="L16" i="11"/>
  <c r="E4" i="11"/>
  <c r="L4" i="11"/>
  <c r="E332" i="11"/>
  <c r="L332" i="11"/>
  <c r="E71" i="11" l="1"/>
  <c r="L71" i="11"/>
  <c r="E67" i="11"/>
  <c r="L67" i="11"/>
  <c r="E70" i="11"/>
  <c r="L70" i="11"/>
  <c r="E60" i="11"/>
  <c r="L60" i="11"/>
  <c r="E56" i="11"/>
  <c r="L56" i="11"/>
  <c r="E55" i="11"/>
  <c r="L55" i="11"/>
  <c r="E76" i="11"/>
  <c r="L76" i="11"/>
  <c r="E74" i="11"/>
  <c r="L74" i="11"/>
  <c r="C34" i="14" s="1"/>
  <c r="E73" i="11"/>
  <c r="L73" i="11"/>
  <c r="E72" i="11"/>
  <c r="L72" i="11"/>
  <c r="E454" i="11"/>
  <c r="L454" i="11"/>
  <c r="D34" i="14" l="1"/>
  <c r="E16" i="17" s="1"/>
  <c r="J34" i="14"/>
  <c r="D57" i="17" s="1"/>
  <c r="D16" i="17"/>
  <c r="D17" i="17"/>
  <c r="J55" i="14"/>
  <c r="E34" i="14"/>
  <c r="F33" i="14"/>
  <c r="F40" i="14" s="1"/>
  <c r="G27" i="14" s="1"/>
  <c r="G30" i="14" l="1"/>
  <c r="F16" i="17"/>
  <c r="G16" i="17" s="1"/>
  <c r="H16" i="17" s="1"/>
  <c r="G26" i="14"/>
  <c r="G38" i="14"/>
  <c r="G34" i="14"/>
  <c r="G37" i="14"/>
  <c r="G33" i="14"/>
  <c r="G29" i="14"/>
  <c r="G25" i="14"/>
  <c r="G36" i="14"/>
  <c r="G32" i="14"/>
  <c r="G28" i="14"/>
  <c r="G39" i="14"/>
  <c r="G35" i="14"/>
  <c r="G31" i="14"/>
  <c r="B39" i="14"/>
  <c r="E425" i="11"/>
  <c r="E393" i="11"/>
  <c r="E394" i="11"/>
  <c r="E398" i="11"/>
  <c r="E402" i="11"/>
  <c r="E403" i="11"/>
  <c r="E405" i="11"/>
  <c r="E406" i="11"/>
  <c r="E407" i="11"/>
  <c r="E408" i="11"/>
  <c r="E412" i="11"/>
  <c r="E414" i="11"/>
  <c r="E415" i="11"/>
  <c r="E416" i="11"/>
  <c r="E417" i="11"/>
  <c r="E421" i="11"/>
  <c r="E423" i="11"/>
  <c r="E138" i="11"/>
  <c r="E140" i="11"/>
  <c r="E141" i="11"/>
  <c r="E143" i="11"/>
  <c r="E145" i="11"/>
  <c r="E146" i="11"/>
  <c r="E150" i="11"/>
  <c r="E156" i="11"/>
  <c r="E159" i="11"/>
  <c r="E163" i="11"/>
  <c r="E165" i="11"/>
  <c r="E168" i="11"/>
  <c r="E178" i="11"/>
  <c r="E180" i="11"/>
  <c r="E181" i="11"/>
  <c r="E182" i="11"/>
  <c r="L425" i="11"/>
  <c r="E38" i="14" s="1"/>
  <c r="F21" i="17" s="1"/>
  <c r="G21" i="17" s="1"/>
  <c r="H21" i="17" s="1"/>
  <c r="L393" i="11"/>
  <c r="L394" i="11"/>
  <c r="L398" i="11"/>
  <c r="L402" i="11"/>
  <c r="L403" i="11"/>
  <c r="L405" i="11"/>
  <c r="L407" i="11"/>
  <c r="L408" i="11"/>
  <c r="L412" i="11"/>
  <c r="L414" i="11"/>
  <c r="L415" i="11"/>
  <c r="L416" i="11"/>
  <c r="L417" i="11"/>
  <c r="L421" i="11"/>
  <c r="L423" i="11"/>
  <c r="L138" i="11"/>
  <c r="L140" i="11"/>
  <c r="L141" i="11"/>
  <c r="L143" i="11"/>
  <c r="L145" i="11"/>
  <c r="L146" i="11"/>
  <c r="L150" i="11"/>
  <c r="L156" i="11"/>
  <c r="L159" i="11"/>
  <c r="L163" i="11"/>
  <c r="L165" i="11"/>
  <c r="L168" i="11"/>
  <c r="L178" i="11"/>
  <c r="L180" i="11"/>
  <c r="L181" i="11"/>
  <c r="L182" i="11"/>
  <c r="E426" i="11"/>
  <c r="E52" i="11"/>
  <c r="E3" i="11"/>
  <c r="E427" i="11"/>
  <c r="E53" i="11"/>
  <c r="E192" i="11"/>
  <c r="E5" i="11"/>
  <c r="E193" i="11"/>
  <c r="E196" i="11"/>
  <c r="E309" i="11"/>
  <c r="E184" i="11"/>
  <c r="E57" i="11"/>
  <c r="E58" i="11"/>
  <c r="E185" i="11"/>
  <c r="E455" i="11"/>
  <c r="E456" i="11"/>
  <c r="E61" i="11"/>
  <c r="E117" i="11"/>
  <c r="E432" i="11"/>
  <c r="E434" i="11"/>
  <c r="E63" i="11"/>
  <c r="E203" i="11"/>
  <c r="E437" i="11"/>
  <c r="E436" i="11"/>
  <c r="E8" i="11"/>
  <c r="E207" i="11"/>
  <c r="E439" i="11"/>
  <c r="E440" i="11"/>
  <c r="E10" i="11"/>
  <c r="E212" i="11"/>
  <c r="E65" i="11"/>
  <c r="E444" i="11"/>
  <c r="E66" i="11"/>
  <c r="E218" i="11"/>
  <c r="E220" i="11"/>
  <c r="E69" i="11"/>
  <c r="E14" i="11"/>
  <c r="E222" i="11"/>
  <c r="E446" i="11"/>
  <c r="E447" i="11"/>
  <c r="E226" i="11"/>
  <c r="E228" i="11"/>
  <c r="E231" i="11"/>
  <c r="E235" i="11"/>
  <c r="E335" i="11"/>
  <c r="E334" i="11"/>
  <c r="E236" i="11"/>
  <c r="E237" i="11"/>
  <c r="E238" i="11"/>
  <c r="E336" i="11"/>
  <c r="E337" i="11"/>
  <c r="E239" i="11"/>
  <c r="E240" i="11"/>
  <c r="E338" i="11"/>
  <c r="E241" i="11"/>
  <c r="E242" i="11"/>
  <c r="E243" i="11"/>
  <c r="E340" i="11"/>
  <c r="E245" i="11"/>
  <c r="E246" i="11"/>
  <c r="E247" i="11"/>
  <c r="E248" i="11"/>
  <c r="E249" i="11"/>
  <c r="E250" i="11"/>
  <c r="E251" i="11"/>
  <c r="E252" i="11"/>
  <c r="E341" i="11"/>
  <c r="E254" i="11"/>
  <c r="E342" i="11"/>
  <c r="E343" i="11"/>
  <c r="E257" i="11"/>
  <c r="E344" i="11"/>
  <c r="E258" i="11"/>
  <c r="E345" i="11"/>
  <c r="E346" i="11"/>
  <c r="E259" i="11"/>
  <c r="E347" i="11"/>
  <c r="E348" i="11"/>
  <c r="E349" i="11"/>
  <c r="E261" i="11"/>
  <c r="E262" i="11"/>
  <c r="E350" i="11"/>
  <c r="E351" i="11"/>
  <c r="E352" i="11"/>
  <c r="E263" i="11"/>
  <c r="E265" i="11"/>
  <c r="E353" i="11"/>
  <c r="E267" i="11"/>
  <c r="E269" i="11"/>
  <c r="E270" i="11"/>
  <c r="E271" i="11"/>
  <c r="E272" i="11"/>
  <c r="E273" i="11"/>
  <c r="E274" i="11"/>
  <c r="E276" i="11"/>
  <c r="E277" i="11"/>
  <c r="E278" i="11"/>
  <c r="E279" i="11"/>
  <c r="E280" i="11"/>
  <c r="E366" i="11"/>
  <c r="E281" i="11"/>
  <c r="E368" i="11"/>
  <c r="E370" i="11"/>
  <c r="E382" i="11"/>
  <c r="E298" i="11"/>
  <c r="E303" i="11"/>
  <c r="E418" i="11"/>
  <c r="E420" i="11"/>
  <c r="E191" i="11"/>
  <c r="E194" i="11"/>
  <c r="E198" i="11"/>
  <c r="E199" i="11"/>
  <c r="E201" i="11"/>
  <c r="E204" i="11"/>
  <c r="E211" i="11"/>
  <c r="E214" i="11"/>
  <c r="E216" i="11"/>
  <c r="E223" i="11"/>
  <c r="E229" i="11"/>
  <c r="E189" i="11"/>
  <c r="E195" i="11"/>
  <c r="E200" i="11"/>
  <c r="E202" i="11"/>
  <c r="E205" i="11"/>
  <c r="E206" i="11"/>
  <c r="E210" i="11"/>
  <c r="E213" i="11"/>
  <c r="E215" i="11"/>
  <c r="E217" i="11"/>
  <c r="E221" i="11"/>
  <c r="E224" i="11"/>
  <c r="E225" i="11"/>
  <c r="E230" i="11"/>
  <c r="E449" i="11"/>
  <c r="E450" i="11"/>
  <c r="E452" i="11"/>
  <c r="E448" i="11"/>
  <c r="E451" i="11"/>
  <c r="E453" i="11"/>
  <c r="E457" i="11"/>
  <c r="E458" i="11"/>
  <c r="E306" i="11"/>
  <c r="E307" i="11"/>
  <c r="E308" i="11"/>
  <c r="E312" i="11"/>
  <c r="E316" i="11"/>
  <c r="E311" i="11"/>
  <c r="E313" i="11"/>
  <c r="E314" i="11"/>
  <c r="E315" i="11"/>
  <c r="E118" i="11"/>
  <c r="E119" i="11"/>
  <c r="E116" i="11"/>
  <c r="E120" i="11"/>
  <c r="E123" i="11"/>
  <c r="E125" i="11"/>
  <c r="E128" i="11"/>
  <c r="E129" i="11"/>
  <c r="E131" i="11"/>
  <c r="E135" i="11"/>
  <c r="E136" i="11"/>
  <c r="E122" i="11"/>
  <c r="E124" i="11"/>
  <c r="E126" i="11"/>
  <c r="E127" i="11"/>
  <c r="E130" i="11"/>
  <c r="E133" i="11"/>
  <c r="E137" i="11"/>
  <c r="E19" i="11"/>
  <c r="E21" i="11"/>
  <c r="E24" i="11"/>
  <c r="E28" i="11"/>
  <c r="E34" i="11"/>
  <c r="E41" i="11"/>
  <c r="E43" i="11"/>
  <c r="E44" i="11"/>
  <c r="E20" i="11"/>
  <c r="E183" i="11"/>
  <c r="E187" i="11"/>
  <c r="E320" i="11"/>
  <c r="E323" i="11"/>
  <c r="E325" i="11"/>
  <c r="E327" i="11"/>
  <c r="E328" i="11"/>
  <c r="E331" i="11"/>
  <c r="E333" i="11"/>
  <c r="E324" i="11"/>
  <c r="E330" i="11"/>
  <c r="E329" i="11"/>
  <c r="E326" i="11"/>
  <c r="E319" i="11"/>
  <c r="E318" i="11"/>
  <c r="E321" i="11"/>
  <c r="E322" i="11"/>
  <c r="E354" i="11"/>
  <c r="E358" i="11"/>
  <c r="E359" i="11"/>
  <c r="E360" i="11"/>
  <c r="E361" i="11"/>
  <c r="E362" i="11"/>
  <c r="E363" i="11"/>
  <c r="E365" i="11"/>
  <c r="E367" i="11"/>
  <c r="E369" i="11"/>
  <c r="E374" i="11"/>
  <c r="E376" i="11"/>
  <c r="E377" i="11"/>
  <c r="E378" i="11"/>
  <c r="E383" i="11"/>
  <c r="E385" i="11"/>
  <c r="E387" i="11"/>
  <c r="E388" i="11"/>
  <c r="E22" i="11"/>
  <c r="E23" i="11"/>
  <c r="E26" i="11"/>
  <c r="E31" i="11"/>
  <c r="E35" i="11"/>
  <c r="E38" i="11"/>
  <c r="E82" i="11"/>
  <c r="E83" i="11"/>
  <c r="E85" i="11"/>
  <c r="E86" i="11"/>
  <c r="E88" i="11"/>
  <c r="E90" i="11"/>
  <c r="E94" i="11"/>
  <c r="E97" i="11"/>
  <c r="E99" i="11"/>
  <c r="E103" i="11"/>
  <c r="E105" i="11"/>
  <c r="E110" i="11"/>
  <c r="E112" i="11"/>
  <c r="E114" i="11"/>
  <c r="E80" i="11"/>
  <c r="E84" i="11"/>
  <c r="E87" i="11"/>
  <c r="E91" i="11"/>
  <c r="E92" i="11"/>
  <c r="E93" i="11"/>
  <c r="E96" i="11"/>
  <c r="E98" i="11"/>
  <c r="E100" i="11"/>
  <c r="E102" i="11"/>
  <c r="E106" i="11"/>
  <c r="E107" i="11"/>
  <c r="E108" i="11"/>
  <c r="E113" i="11"/>
  <c r="E282" i="11"/>
  <c r="E284" i="11"/>
  <c r="E286" i="11"/>
  <c r="E288" i="11"/>
  <c r="E289" i="11"/>
  <c r="E290" i="11"/>
  <c r="E291" i="11"/>
  <c r="E293" i="11"/>
  <c r="E294" i="11"/>
  <c r="E302" i="11"/>
  <c r="E46" i="11"/>
  <c r="E47" i="11"/>
  <c r="E48" i="11"/>
  <c r="E49" i="11"/>
  <c r="E50" i="11"/>
  <c r="E51" i="11"/>
  <c r="L51" i="11"/>
  <c r="L50" i="11"/>
  <c r="L49" i="11"/>
  <c r="L48" i="11"/>
  <c r="D36" i="14" s="1"/>
  <c r="E19" i="17" s="1"/>
  <c r="L47" i="11"/>
  <c r="E56" i="14" s="1"/>
  <c r="N56" i="14" s="1"/>
  <c r="L46" i="11"/>
  <c r="C36" i="14" s="1"/>
  <c r="D19" i="17" s="1"/>
  <c r="L302" i="11"/>
  <c r="L294" i="11"/>
  <c r="L293" i="11"/>
  <c r="L291" i="11"/>
  <c r="L290" i="11"/>
  <c r="L289" i="11"/>
  <c r="L288" i="11"/>
  <c r="L286" i="11"/>
  <c r="L284" i="11"/>
  <c r="L282" i="11"/>
  <c r="L82" i="11"/>
  <c r="L83" i="11"/>
  <c r="L85" i="11"/>
  <c r="L86" i="11"/>
  <c r="L88" i="11"/>
  <c r="L90" i="11"/>
  <c r="L94" i="11"/>
  <c r="L97" i="11"/>
  <c r="L99" i="11"/>
  <c r="L103" i="11"/>
  <c r="L105" i="11"/>
  <c r="L110" i="11"/>
  <c r="L112" i="11"/>
  <c r="L114" i="11"/>
  <c r="L80" i="11"/>
  <c r="L84" i="11"/>
  <c r="L87" i="11"/>
  <c r="L91" i="11"/>
  <c r="L92" i="11"/>
  <c r="L93" i="11"/>
  <c r="L96" i="11"/>
  <c r="L98" i="11"/>
  <c r="L100" i="11"/>
  <c r="L102" i="11"/>
  <c r="L106" i="11"/>
  <c r="L107" i="11"/>
  <c r="L108" i="11"/>
  <c r="L113" i="11"/>
  <c r="K47" i="14" l="1"/>
  <c r="C39" i="17"/>
  <c r="P56" i="14"/>
  <c r="J27" i="14"/>
  <c r="D50" i="17" s="1"/>
  <c r="C62" i="17"/>
  <c r="F62" i="17" s="1"/>
  <c r="K39" i="14"/>
  <c r="G19" i="14"/>
  <c r="E47" i="14"/>
  <c r="E27" i="14"/>
  <c r="D27" i="14"/>
  <c r="E36" i="14"/>
  <c r="C27" i="14"/>
  <c r="B31" i="14"/>
  <c r="B33" i="14"/>
  <c r="B38" i="14"/>
  <c r="B34" i="14"/>
  <c r="L38" i="11"/>
  <c r="L35" i="11"/>
  <c r="L31" i="11"/>
  <c r="L26" i="11"/>
  <c r="L23" i="11"/>
  <c r="L22" i="11"/>
  <c r="L183" i="11"/>
  <c r="L187" i="11"/>
  <c r="C28" i="14" s="1"/>
  <c r="L320" i="11"/>
  <c r="L323" i="11"/>
  <c r="L325" i="11"/>
  <c r="L327" i="11"/>
  <c r="L328" i="11"/>
  <c r="L331" i="11"/>
  <c r="L333" i="11"/>
  <c r="L324" i="11"/>
  <c r="L330" i="11"/>
  <c r="L329" i="11"/>
  <c r="L326" i="11"/>
  <c r="L319" i="11"/>
  <c r="L318" i="11"/>
  <c r="L321" i="11"/>
  <c r="L322" i="11"/>
  <c r="L354" i="11"/>
  <c r="L358" i="11"/>
  <c r="L359" i="11"/>
  <c r="L360" i="11"/>
  <c r="L361" i="11"/>
  <c r="L362" i="11"/>
  <c r="L363" i="11"/>
  <c r="L365" i="11"/>
  <c r="L367" i="11"/>
  <c r="L369" i="11"/>
  <c r="L374" i="11"/>
  <c r="L376" i="11"/>
  <c r="L377" i="11"/>
  <c r="L378" i="11"/>
  <c r="L383" i="11"/>
  <c r="L385" i="11"/>
  <c r="L387" i="11"/>
  <c r="N47" i="14" l="1"/>
  <c r="K34" i="14"/>
  <c r="C57" i="17"/>
  <c r="F57" i="17" s="1"/>
  <c r="G14" i="14"/>
  <c r="C61" i="17"/>
  <c r="F61" i="17" s="1"/>
  <c r="K38" i="14"/>
  <c r="G18" i="14"/>
  <c r="C56" i="17"/>
  <c r="F56" i="17" s="1"/>
  <c r="K33" i="14"/>
  <c r="G13" i="14"/>
  <c r="F19" i="17"/>
  <c r="G19" i="17" s="1"/>
  <c r="H19" i="17" s="1"/>
  <c r="C54" i="17"/>
  <c r="F54" i="17" s="1"/>
  <c r="K31" i="14"/>
  <c r="G11" i="14"/>
  <c r="I46" i="14"/>
  <c r="B36" i="14"/>
  <c r="B27" i="14"/>
  <c r="L20" i="11"/>
  <c r="L44" i="11"/>
  <c r="L43" i="11"/>
  <c r="L41" i="11"/>
  <c r="L34" i="11"/>
  <c r="L28" i="11"/>
  <c r="L24" i="11"/>
  <c r="F7" i="14" l="1"/>
  <c r="C30" i="17"/>
  <c r="P47" i="14"/>
  <c r="H52" i="14"/>
  <c r="C50" i="17"/>
  <c r="F50" i="17" s="1"/>
  <c r="G7" i="14"/>
  <c r="K27" i="14"/>
  <c r="C59" i="17"/>
  <c r="F59" i="17" s="1"/>
  <c r="K36" i="14"/>
  <c r="G16" i="14"/>
  <c r="L21" i="11"/>
  <c r="M52" i="14" s="1"/>
  <c r="L19" i="11"/>
  <c r="L191" i="11"/>
  <c r="L194" i="11"/>
  <c r="L198" i="11"/>
  <c r="L199" i="11"/>
  <c r="L201" i="11"/>
  <c r="L204" i="11"/>
  <c r="L211" i="11"/>
  <c r="L214" i="11"/>
  <c r="L216" i="11"/>
  <c r="L223" i="11"/>
  <c r="L229" i="11"/>
  <c r="L189" i="11"/>
  <c r="L195" i="11"/>
  <c r="L200" i="11"/>
  <c r="L202" i="11"/>
  <c r="L205" i="11"/>
  <c r="L206" i="11"/>
  <c r="L210" i="11"/>
  <c r="L213" i="11"/>
  <c r="L215" i="11"/>
  <c r="L217" i="11"/>
  <c r="L221" i="11"/>
  <c r="L224" i="11"/>
  <c r="L225" i="11"/>
  <c r="L230" i="11"/>
  <c r="L449" i="11"/>
  <c r="L450" i="11"/>
  <c r="L452" i="11"/>
  <c r="L448" i="11"/>
  <c r="L451" i="11"/>
  <c r="L453" i="11"/>
  <c r="L457" i="11"/>
  <c r="L458" i="11"/>
  <c r="L306" i="11"/>
  <c r="L307" i="11"/>
  <c r="L308" i="11"/>
  <c r="L312" i="11"/>
  <c r="L316" i="11"/>
  <c r="L311" i="11"/>
  <c r="L313" i="11"/>
  <c r="L314" i="11"/>
  <c r="L315" i="11"/>
  <c r="L118" i="11"/>
  <c r="L119" i="11"/>
  <c r="L116" i="11"/>
  <c r="L120" i="11"/>
  <c r="L123" i="11"/>
  <c r="L125" i="11"/>
  <c r="L128" i="11"/>
  <c r="L129" i="11"/>
  <c r="L131" i="11"/>
  <c r="L135" i="11"/>
  <c r="L136" i="11"/>
  <c r="L122" i="11"/>
  <c r="L124" i="11"/>
  <c r="L126" i="11"/>
  <c r="L127" i="11"/>
  <c r="L130" i="11"/>
  <c r="L133" i="11"/>
  <c r="L137" i="11"/>
  <c r="G49" i="14" l="1"/>
  <c r="G60" i="14" s="1"/>
  <c r="M49" i="14"/>
  <c r="D46" i="14"/>
  <c r="I45" i="14"/>
  <c r="J49" i="14"/>
  <c r="F8" i="14" s="1"/>
  <c r="D37" i="14"/>
  <c r="C37" i="14"/>
  <c r="L280" i="11"/>
  <c r="L278" i="11"/>
  <c r="L277" i="11"/>
  <c r="L276" i="11"/>
  <c r="L274" i="11"/>
  <c r="L272" i="11"/>
  <c r="L271" i="11"/>
  <c r="L270" i="11"/>
  <c r="L269" i="11"/>
  <c r="L265" i="11"/>
  <c r="L262" i="11"/>
  <c r="L259" i="11"/>
  <c r="L258" i="11"/>
  <c r="L252" i="11"/>
  <c r="L251" i="11"/>
  <c r="J45" i="14" s="1"/>
  <c r="L250" i="11"/>
  <c r="L249" i="11"/>
  <c r="L247" i="11"/>
  <c r="L245" i="11"/>
  <c r="C45" i="14" s="1"/>
  <c r="C60" i="14" s="1"/>
  <c r="L241" i="11"/>
  <c r="L240" i="11"/>
  <c r="L239" i="11"/>
  <c r="L237" i="11"/>
  <c r="L235" i="11"/>
  <c r="N49" i="14" l="1"/>
  <c r="D60" i="14"/>
  <c r="H45" i="14"/>
  <c r="H60" i="14" s="1"/>
  <c r="D14" i="17"/>
  <c r="D20" i="17"/>
  <c r="D10" i="17"/>
  <c r="E14" i="17"/>
  <c r="E20" i="17"/>
  <c r="Y303" i="11"/>
  <c r="L303" i="11"/>
  <c r="Y298" i="11"/>
  <c r="L298" i="11"/>
  <c r="Y117" i="11"/>
  <c r="L279" i="11"/>
  <c r="C32" i="17" l="1"/>
  <c r="P49" i="14"/>
  <c r="L257" i="11"/>
  <c r="L261" i="11"/>
  <c r="L263" i="11"/>
  <c r="L267" i="11"/>
  <c r="L273" i="11"/>
  <c r="E45" i="14" s="1"/>
  <c r="L455" i="11"/>
  <c r="L57" i="14" s="1"/>
  <c r="L456" i="11"/>
  <c r="L281" i="11"/>
  <c r="L243" i="11"/>
  <c r="L236" i="11"/>
  <c r="L242" i="11"/>
  <c r="L238" i="11"/>
  <c r="L246" i="11"/>
  <c r="L248" i="11"/>
  <c r="L254" i="11"/>
  <c r="L418" i="11"/>
  <c r="L420" i="11"/>
  <c r="L192" i="11"/>
  <c r="L117" i="11"/>
  <c r="J29" i="14" l="1"/>
  <c r="D52" i="17" s="1"/>
  <c r="C29" i="14"/>
  <c r="D12" i="17" s="1"/>
  <c r="E57" i="14"/>
  <c r="J37" i="14"/>
  <c r="D60" i="17" s="1"/>
  <c r="E29" i="14"/>
  <c r="D29" i="14"/>
  <c r="E37" i="14"/>
  <c r="F20" i="17" s="1"/>
  <c r="G20" i="17" s="1"/>
  <c r="H20" i="17" s="1"/>
  <c r="L69" i="11"/>
  <c r="L66" i="11"/>
  <c r="L65" i="11"/>
  <c r="L63" i="11"/>
  <c r="L61" i="11"/>
  <c r="L58" i="11"/>
  <c r="L57" i="11"/>
  <c r="F16" i="14" l="1"/>
  <c r="N57" i="14"/>
  <c r="F10" i="17"/>
  <c r="F12" i="17"/>
  <c r="E10" i="17"/>
  <c r="E12" i="17"/>
  <c r="F14" i="17"/>
  <c r="G14" i="17" s="1"/>
  <c r="H14" i="17" s="1"/>
  <c r="E60" i="14"/>
  <c r="B29" i="14"/>
  <c r="D35" i="14"/>
  <c r="C35" i="14"/>
  <c r="B37" i="14"/>
  <c r="L52" i="11"/>
  <c r="J35" i="14" s="1"/>
  <c r="D58" i="17" s="1"/>
  <c r="L53" i="11"/>
  <c r="L5" i="11"/>
  <c r="L3" i="11"/>
  <c r="C32" i="14" s="1"/>
  <c r="D11" i="17" s="1"/>
  <c r="L14" i="11"/>
  <c r="J52" i="14" s="1"/>
  <c r="J60" i="14" s="1"/>
  <c r="L10" i="11"/>
  <c r="L8" i="11"/>
  <c r="F17" i="14" l="1"/>
  <c r="C40" i="17"/>
  <c r="P57" i="14"/>
  <c r="G10" i="17"/>
  <c r="H10" i="17" s="1"/>
  <c r="G12" i="17"/>
  <c r="H12" i="17" s="1"/>
  <c r="D18" i="17"/>
  <c r="E18" i="17"/>
  <c r="C52" i="17"/>
  <c r="F52" i="17" s="1"/>
  <c r="G9" i="14"/>
  <c r="K29" i="14"/>
  <c r="I52" i="14"/>
  <c r="J32" i="14"/>
  <c r="D55" i="17" s="1"/>
  <c r="C60" i="17"/>
  <c r="F60" i="17" s="1"/>
  <c r="G17" i="14"/>
  <c r="K37" i="14"/>
  <c r="E35" i="14"/>
  <c r="M55" i="14"/>
  <c r="N55" i="14" s="1"/>
  <c r="E32" i="14"/>
  <c r="D32" i="14"/>
  <c r="C38" i="17" l="1"/>
  <c r="P55" i="14"/>
  <c r="I60" i="14"/>
  <c r="N52" i="14"/>
  <c r="F18" i="17"/>
  <c r="G18" i="17" s="1"/>
  <c r="H18" i="17" s="1"/>
  <c r="F11" i="14"/>
  <c r="F15" i="14"/>
  <c r="F14" i="14"/>
  <c r="B35" i="14"/>
  <c r="B32" i="14"/>
  <c r="L334" i="11"/>
  <c r="L352" i="11"/>
  <c r="L350" i="11"/>
  <c r="L348" i="11"/>
  <c r="L345" i="11"/>
  <c r="L343" i="11"/>
  <c r="F12" i="14" l="1"/>
  <c r="C35" i="17"/>
  <c r="P52" i="14"/>
  <c r="C55" i="17"/>
  <c r="F55" i="17" s="1"/>
  <c r="G12" i="14"/>
  <c r="C58" i="17"/>
  <c r="F58" i="17" s="1"/>
  <c r="G15" i="14"/>
  <c r="K35" i="14"/>
  <c r="K32" i="14"/>
  <c r="L309" i="11"/>
  <c r="L226" i="11" l="1"/>
  <c r="L228" i="11"/>
  <c r="L184" i="11"/>
  <c r="L185" i="11"/>
  <c r="D28" i="14" s="1"/>
  <c r="L427" i="11"/>
  <c r="L434" i="11"/>
  <c r="L437" i="11"/>
  <c r="L436" i="11"/>
  <c r="L439" i="11"/>
  <c r="L447" i="11"/>
  <c r="L426" i="11"/>
  <c r="L432" i="11"/>
  <c r="L440" i="11"/>
  <c r="L444" i="11"/>
  <c r="L446" i="11"/>
  <c r="L335" i="11"/>
  <c r="L337" i="11"/>
  <c r="L338" i="11"/>
  <c r="L341" i="11"/>
  <c r="L353" i="11"/>
  <c r="L366" i="11"/>
  <c r="L368" i="11"/>
  <c r="L370" i="11"/>
  <c r="L382" i="11"/>
  <c r="L336" i="11"/>
  <c r="L340" i="11"/>
  <c r="L342" i="11"/>
  <c r="L344" i="11"/>
  <c r="L346" i="11"/>
  <c r="L347" i="11"/>
  <c r="L349" i="11"/>
  <c r="L351" i="11"/>
  <c r="E17" i="17" l="1"/>
  <c r="E11" i="17"/>
  <c r="J26" i="14"/>
  <c r="D49" i="17" s="1"/>
  <c r="J30" i="14"/>
  <c r="D53" i="17" s="1"/>
  <c r="C30" i="14"/>
  <c r="D13" i="17" s="1"/>
  <c r="M46" i="14"/>
  <c r="B50" i="14"/>
  <c r="N50" i="14" s="1"/>
  <c r="K46" i="14"/>
  <c r="K60" i="14" s="1"/>
  <c r="D30" i="14"/>
  <c r="E28" i="14"/>
  <c r="F11" i="17" s="1"/>
  <c r="G11" i="17" s="1"/>
  <c r="H11" i="17" s="1"/>
  <c r="E26" i="14"/>
  <c r="C26" i="14"/>
  <c r="D26" i="14"/>
  <c r="E30" i="14"/>
  <c r="L196" i="11"/>
  <c r="L203" i="11"/>
  <c r="L220" i="11"/>
  <c r="L231" i="11"/>
  <c r="C25" i="14" s="1"/>
  <c r="L222" i="11"/>
  <c r="D25" i="14" s="1"/>
  <c r="L218" i="11"/>
  <c r="L212" i="11"/>
  <c r="B45" i="14" s="1"/>
  <c r="L207" i="11"/>
  <c r="L45" i="14" s="1"/>
  <c r="L60" i="14" s="1"/>
  <c r="L193" i="11"/>
  <c r="C33" i="17" l="1"/>
  <c r="P50" i="14"/>
  <c r="M60" i="14"/>
  <c r="N46" i="14"/>
  <c r="E9" i="17"/>
  <c r="D9" i="17"/>
  <c r="F15" i="17"/>
  <c r="F13" i="17"/>
  <c r="E8" i="17"/>
  <c r="E15" i="17"/>
  <c r="E13" i="17"/>
  <c r="D8" i="17"/>
  <c r="F17" i="17"/>
  <c r="G17" i="17" s="1"/>
  <c r="H17" i="17" s="1"/>
  <c r="B30" i="14"/>
  <c r="K30" i="14" s="1"/>
  <c r="D15" i="17"/>
  <c r="F45" i="14"/>
  <c r="F60" i="14" s="1"/>
  <c r="J25" i="14"/>
  <c r="D48" i="17" s="1"/>
  <c r="F10" i="14"/>
  <c r="F9" i="14"/>
  <c r="E25" i="14"/>
  <c r="F8" i="17" s="1"/>
  <c r="D40" i="14"/>
  <c r="B26" i="14"/>
  <c r="C40" i="14"/>
  <c r="B28" i="14"/>
  <c r="F6" i="14" l="1"/>
  <c r="C29" i="17"/>
  <c r="P46" i="14"/>
  <c r="N45" i="14"/>
  <c r="G13" i="17"/>
  <c r="H13" i="17" s="1"/>
  <c r="G8" i="17"/>
  <c r="H8" i="17" s="1"/>
  <c r="G15" i="17"/>
  <c r="H15" i="17" s="1"/>
  <c r="C49" i="17"/>
  <c r="F49" i="17" s="1"/>
  <c r="G6" i="14"/>
  <c r="K26" i="14"/>
  <c r="C53" i="17"/>
  <c r="F53" i="17" s="1"/>
  <c r="G10" i="14"/>
  <c r="C51" i="17"/>
  <c r="F51" i="17" s="1"/>
  <c r="K28" i="14"/>
  <c r="G8" i="14"/>
  <c r="F9" i="17"/>
  <c r="G9" i="17" s="1"/>
  <c r="H9" i="17" s="1"/>
  <c r="B60" i="14"/>
  <c r="F19" i="14" s="1"/>
  <c r="E40" i="14"/>
  <c r="B25" i="14"/>
  <c r="G5" i="14" s="1"/>
  <c r="N60" i="14" l="1"/>
  <c r="C28" i="17"/>
  <c r="C43" i="17" s="1"/>
  <c r="P45" i="14"/>
  <c r="F5" i="14"/>
  <c r="B40" i="14"/>
  <c r="H27" i="14" s="1"/>
  <c r="C48" i="17"/>
  <c r="F48" i="17" s="1"/>
  <c r="K25" i="14"/>
  <c r="I39" i="14"/>
  <c r="I36" i="14"/>
  <c r="I33" i="14"/>
  <c r="I34" i="14"/>
  <c r="I38" i="14"/>
  <c r="I31" i="14"/>
  <c r="I27" i="14"/>
  <c r="I29" i="14"/>
  <c r="I37" i="14"/>
  <c r="I32" i="14"/>
  <c r="I35" i="14"/>
  <c r="I26" i="14"/>
  <c r="I30" i="14"/>
  <c r="I28" i="14"/>
  <c r="I25" i="14"/>
  <c r="F20" i="14" l="1"/>
  <c r="P60" i="14"/>
  <c r="P61" i="14" s="1"/>
  <c r="O45" i="14"/>
  <c r="P79" i="14"/>
  <c r="O59" i="14"/>
  <c r="O53" i="14"/>
  <c r="O48" i="14"/>
  <c r="O54" i="14"/>
  <c r="O51" i="14"/>
  <c r="O58" i="14"/>
  <c r="O56" i="14"/>
  <c r="O47" i="14"/>
  <c r="O49" i="14"/>
  <c r="O57" i="14"/>
  <c r="O55" i="14"/>
  <c r="O52" i="14"/>
  <c r="O50" i="14"/>
  <c r="O46" i="14"/>
  <c r="H31" i="14"/>
  <c r="H30" i="14"/>
  <c r="H32" i="14"/>
  <c r="H34" i="14"/>
  <c r="H35" i="14"/>
  <c r="H25" i="14"/>
  <c r="G20" i="14"/>
  <c r="H36" i="14"/>
  <c r="H29" i="14"/>
  <c r="H38" i="14"/>
  <c r="H39" i="14"/>
  <c r="H33" i="14"/>
  <c r="H37" i="14"/>
  <c r="H26" i="14"/>
  <c r="H28" i="14"/>
</calcChain>
</file>

<file path=xl/sharedStrings.xml><?xml version="1.0" encoding="utf-8"?>
<sst xmlns="http://schemas.openxmlformats.org/spreadsheetml/2006/main" count="5423" uniqueCount="867">
  <si>
    <t>Start
(km)</t>
  </si>
  <si>
    <t>End
(km)</t>
  </si>
  <si>
    <t>Ballast Condition
(GPR)</t>
  </si>
  <si>
    <t>Additional track features present</t>
  </si>
  <si>
    <t>Line Section</t>
  </si>
  <si>
    <t>Shorncliffe Line</t>
  </si>
  <si>
    <t>Ferny Grove Line</t>
  </si>
  <si>
    <t>North Coast Line</t>
  </si>
  <si>
    <t>Comments</t>
  </si>
  <si>
    <t>Cleveland Line</t>
  </si>
  <si>
    <t>Track</t>
  </si>
  <si>
    <t>Reason for Site</t>
  </si>
  <si>
    <t>Start Completed Section (km)</t>
  </si>
  <si>
    <t>End Completed Section (km)</t>
  </si>
  <si>
    <t>Date Completed</t>
  </si>
  <si>
    <t>Northgate to Shorncliffe</t>
  </si>
  <si>
    <t>Bowen Hills to Eagle Junction</t>
  </si>
  <si>
    <t>Eagle Junction to Northgate</t>
  </si>
  <si>
    <t>Caboolture to Nambour</t>
  </si>
  <si>
    <t>Beenleigh to Varsity Lakes</t>
  </si>
  <si>
    <t>Bowen Hills to Ferny Grove</t>
  </si>
  <si>
    <t>Bundamba to Box Flat</t>
  </si>
  <si>
    <t>Caboolture to Wamuran</t>
  </si>
  <si>
    <t>Clapham Yard</t>
  </si>
  <si>
    <t>Corinda to Ipswich</t>
  </si>
  <si>
    <t>Eagle Junction to Doomben</t>
  </si>
  <si>
    <t>Fisherman Islands</t>
  </si>
  <si>
    <t>Ipswich to Rosewood</t>
  </si>
  <si>
    <t>Ipswich to Workshops</t>
  </si>
  <si>
    <t>Moolabin Yard &amp; Sidings</t>
  </si>
  <si>
    <t>Normanby Yard &amp; Sidings</t>
  </si>
  <si>
    <t>Northgate to Caboolture</t>
  </si>
  <si>
    <t>Roma St to Bowen Hills (Cent)</t>
  </si>
  <si>
    <t>Roma Street to Corinda</t>
  </si>
  <si>
    <t>Roma Street to Mayne (Exhibit)</t>
  </si>
  <si>
    <t>Roma Street to Sth Brisbane</t>
  </si>
  <si>
    <t>South Brisbane to Park Road</t>
  </si>
  <si>
    <t>Yarrowlea to Ebenezer Mine</t>
  </si>
  <si>
    <t>Box Flat Balloon Loop</t>
  </si>
  <si>
    <t>Petrie to Kippa Ring</t>
  </si>
  <si>
    <t>Darra to Springfield</t>
  </si>
  <si>
    <t>Doomben to Pinkenba</t>
  </si>
  <si>
    <t>Nambour to Tamaree</t>
  </si>
  <si>
    <t>Gympie North to Banks Pocket Interface</t>
  </si>
  <si>
    <t>Redbank Yard &amp; Sidings</t>
  </si>
  <si>
    <t>QR Spur - Salisbury to Acacia Ridge</t>
  </si>
  <si>
    <t>DG Sth Brisbane to Dutton Park</t>
  </si>
  <si>
    <t>DG Roma Street (Dual &amp; 1435 mm)</t>
  </si>
  <si>
    <t>DG Dutton Park to ARTC Interface</t>
  </si>
  <si>
    <t>Airport Jct to Interface</t>
  </si>
  <si>
    <t>Pinkenba Balloon</t>
  </si>
  <si>
    <t>C012</t>
  </si>
  <si>
    <t>C017</t>
  </si>
  <si>
    <t>C018</t>
  </si>
  <si>
    <t>C022</t>
  </si>
  <si>
    <t>C027</t>
  </si>
  <si>
    <t>C028</t>
  </si>
  <si>
    <t>C035</t>
  </si>
  <si>
    <t>C047</t>
  </si>
  <si>
    <t>C048</t>
  </si>
  <si>
    <t>C058</t>
  </si>
  <si>
    <t>C061</t>
  </si>
  <si>
    <t>C062</t>
  </si>
  <si>
    <t>C063</t>
  </si>
  <si>
    <t>C064</t>
  </si>
  <si>
    <t>C073</t>
  </si>
  <si>
    <t>C092</t>
  </si>
  <si>
    <t>C095</t>
  </si>
  <si>
    <t>C116</t>
  </si>
  <si>
    <t>C121</t>
  </si>
  <si>
    <t>C131</t>
  </si>
  <si>
    <t>C135</t>
  </si>
  <si>
    <t>C138</t>
  </si>
  <si>
    <t>C139</t>
  </si>
  <si>
    <t>C143</t>
  </si>
  <si>
    <t>C151</t>
  </si>
  <si>
    <t>C152</t>
  </si>
  <si>
    <t>C162</t>
  </si>
  <si>
    <t>C170</t>
  </si>
  <si>
    <t>C172</t>
  </si>
  <si>
    <t>C173</t>
  </si>
  <si>
    <t>C174</t>
  </si>
  <si>
    <t>C175</t>
  </si>
  <si>
    <t>C181</t>
  </si>
  <si>
    <t>C184</t>
  </si>
  <si>
    <t>C186</t>
  </si>
  <si>
    <t>C219</t>
  </si>
  <si>
    <t>C223</t>
  </si>
  <si>
    <t>C225</t>
  </si>
  <si>
    <t>C232</t>
  </si>
  <si>
    <t>C234</t>
  </si>
  <si>
    <t>C266</t>
  </si>
  <si>
    <t>LRP</t>
  </si>
  <si>
    <t>Up Main</t>
  </si>
  <si>
    <t>Down Main</t>
  </si>
  <si>
    <t>Up Sub</t>
  </si>
  <si>
    <t>Down Sub</t>
  </si>
  <si>
    <t>Dual Gauge</t>
  </si>
  <si>
    <t>Spur</t>
  </si>
  <si>
    <t>Middle Road</t>
  </si>
  <si>
    <t>Single</t>
  </si>
  <si>
    <t>3rd Road</t>
  </si>
  <si>
    <t>Alternate Road</t>
  </si>
  <si>
    <t>Fork</t>
  </si>
  <si>
    <t>Angle</t>
  </si>
  <si>
    <t>Loop</t>
  </si>
  <si>
    <t>Balloon</t>
  </si>
  <si>
    <t>Ballast Condition</t>
  </si>
  <si>
    <t>Clean</t>
  </si>
  <si>
    <t>Moderately Clean</t>
  </si>
  <si>
    <t>Moderately Fouled</t>
  </si>
  <si>
    <t>Fouled</t>
  </si>
  <si>
    <t>Highly Fouled</t>
  </si>
  <si>
    <t>Severely Fouled</t>
  </si>
  <si>
    <t>North Coast</t>
  </si>
  <si>
    <t>Priority</t>
  </si>
  <si>
    <t>HIGH</t>
  </si>
  <si>
    <t>MEDIUM</t>
  </si>
  <si>
    <t>LOW</t>
  </si>
  <si>
    <t>Length (km)</t>
  </si>
  <si>
    <t>Turnouts &amp; Diamonds</t>
  </si>
  <si>
    <t>Yes</t>
  </si>
  <si>
    <t>No</t>
  </si>
  <si>
    <t>Platform</t>
  </si>
  <si>
    <t>WHEN??</t>
  </si>
  <si>
    <t>reasons</t>
  </si>
  <si>
    <t>Geometry condition</t>
  </si>
  <si>
    <t>Platform compliance</t>
  </si>
  <si>
    <t>Drainage issues</t>
  </si>
  <si>
    <t>Field inspection</t>
  </si>
  <si>
    <t>Yeerongpilly to Beenleigh</t>
  </si>
  <si>
    <t>Turnouts</t>
  </si>
  <si>
    <t>Turnouts &amp; Platform</t>
  </si>
  <si>
    <t>Turnouts, Platform &amp; Bridge</t>
  </si>
  <si>
    <t>Bridge and splay rails</t>
  </si>
  <si>
    <t>Lubricators</t>
  </si>
  <si>
    <t>In TRC Projected works. Cess requires reprofiling. Check Undercutting report</t>
  </si>
  <si>
    <t>Recurring Resurf?</t>
  </si>
  <si>
    <t>Confirmed on Site?</t>
  </si>
  <si>
    <t>No longer required</t>
  </si>
  <si>
    <t>In NMP for U/C or Recon (Y/N)</t>
  </si>
  <si>
    <t>Park Road to Murarrie</t>
  </si>
  <si>
    <t>Murarrie to Cleveland</t>
  </si>
  <si>
    <t>Doomben Line</t>
  </si>
  <si>
    <t>Mayne Yard and Sidings</t>
  </si>
  <si>
    <t>Geometry condition, Platform compliance</t>
  </si>
  <si>
    <t>Geometry condition, Field inspection</t>
  </si>
  <si>
    <t>TRC. Resurfaced 11/05/17.
IN NMP to be Undercut from 23.040km to 23.120km -80m</t>
  </si>
  <si>
    <t>Turnouts #724A and #725B in NMP to be replaced - no date allocated</t>
  </si>
  <si>
    <t>Date added</t>
  </si>
  <si>
    <t>Turnout</t>
  </si>
  <si>
    <t>U/C from 37.900 - 37.950 in 2014, from 37.830 - 37.870 in 2015</t>
  </si>
  <si>
    <t>Morayfield Platform</t>
  </si>
  <si>
    <t>Bald Hills Platform</t>
  </si>
  <si>
    <t>Virginia Platform</t>
  </si>
  <si>
    <t>Geebung Platform</t>
  </si>
  <si>
    <t>Bray Park platform</t>
  </si>
  <si>
    <t>Deagon Platform</t>
  </si>
  <si>
    <t>Turnouts, Northgate Platform</t>
  </si>
  <si>
    <t>Sandgate Platform</t>
  </si>
  <si>
    <t>North Boondal Platform</t>
  </si>
  <si>
    <t>Brunswick St Platform</t>
  </si>
  <si>
    <t>Delivery Priority</t>
  </si>
  <si>
    <t>Line</t>
  </si>
  <si>
    <t>Main Line</t>
  </si>
  <si>
    <t>Inner City Line (via Central)</t>
  </si>
  <si>
    <t>Gold Coast / Beenleigh Line</t>
  </si>
  <si>
    <t>Springfield Line</t>
  </si>
  <si>
    <t>Redcliffe Line</t>
  </si>
  <si>
    <t>DG Dutton Park - ARTC Int</t>
  </si>
  <si>
    <t>DG Dutton Park - Fisherman Is</t>
  </si>
  <si>
    <t>LINES</t>
  </si>
  <si>
    <t>Date Updated</t>
  </si>
  <si>
    <t>UNDERCUTTING PROGRAMME</t>
  </si>
  <si>
    <t>Survey Required?</t>
  </si>
  <si>
    <t>Track Lowering</t>
  </si>
  <si>
    <t>Link to TRC and GPR data</t>
  </si>
  <si>
    <t>Tennyson Line</t>
  </si>
  <si>
    <t>1.690 to 1.750</t>
  </si>
  <si>
    <t>Field inspection, Geometry condition</t>
  </si>
  <si>
    <t>Between turnout and bridge</t>
  </si>
  <si>
    <t>21.550 - 21.750</t>
  </si>
  <si>
    <t>23.350 - 23.800</t>
  </si>
  <si>
    <t>25.000 - 25.150</t>
  </si>
  <si>
    <t>26.150 - 26.500</t>
  </si>
  <si>
    <t>26.740 - 26.900</t>
  </si>
  <si>
    <t>Recon of level crossing in NMP for 2021 (26.722 - 26.797)</t>
  </si>
  <si>
    <t>Check ballast for fouling - 2015 GPR shows reasonably clean</t>
  </si>
  <si>
    <t>no</t>
  </si>
  <si>
    <t>Geometry Condition</t>
  </si>
  <si>
    <t>6.300 - 6.500</t>
  </si>
  <si>
    <t>Cannon Hill Platform</t>
  </si>
  <si>
    <t>8.950 - 9.000</t>
  </si>
  <si>
    <t>7.400 - 7.600</t>
  </si>
  <si>
    <t>Was resurfaced 2015. Down to be resurfaced again. In NMP for recon in 2020</t>
  </si>
  <si>
    <t>0.000 - 0.500</t>
  </si>
  <si>
    <t>Buranda Platform</t>
  </si>
  <si>
    <t>0.900 - 1.220</t>
  </si>
  <si>
    <t>Notes:</t>
  </si>
  <si>
    <t>500m with 17</t>
  </si>
  <si>
    <t>2 x 200m with excavators</t>
  </si>
  <si>
    <t>For all SCASs except Inner city and north of Petrie</t>
  </si>
  <si>
    <t>400m with 17</t>
  </si>
  <si>
    <t>2 x 150m with excavators</t>
  </si>
  <si>
    <t>For Inner City SCAS</t>
  </si>
  <si>
    <t>700m with 17</t>
  </si>
  <si>
    <t>For North Coast, north of Petrie</t>
  </si>
  <si>
    <t>N/A</t>
  </si>
  <si>
    <t>T/O # 673C/D.Severely fouled for 1st 200m</t>
  </si>
  <si>
    <t>DG Dutton Park to Lytton Junction</t>
  </si>
  <si>
    <t>DG Lytton Junction to Fisherman Islands</t>
  </si>
  <si>
    <t>From Cancelled works. 
Was resurfaced in late 2017. Monitor top (investigating) - very low priority</t>
  </si>
  <si>
    <t>16.400 - 16.800</t>
  </si>
  <si>
    <t>12.800 - 13.000</t>
  </si>
  <si>
    <t>12.150 - 12.350</t>
  </si>
  <si>
    <t>19.000 - 19.400</t>
  </si>
  <si>
    <t>18.450 - 18.600</t>
  </si>
  <si>
    <t>21.000 - 21.150</t>
  </si>
  <si>
    <t>Goodna Station platform</t>
  </si>
  <si>
    <t>22.640 - 22.880</t>
  </si>
  <si>
    <t>25.540 - 25.900</t>
  </si>
  <si>
    <t>26.900 - 27.350</t>
  </si>
  <si>
    <t>28.000 - 28.200</t>
  </si>
  <si>
    <t>Geometry condition, Drainage issues, Field inspection</t>
  </si>
  <si>
    <t>31.600 - 32.000</t>
  </si>
  <si>
    <t>34.900 - 35.200</t>
  </si>
  <si>
    <t>NMP says track was reconditioned in 2015/2016. TRC and GPR doesn't reflect this. Need to investigate on site condition of ballast</t>
  </si>
  <si>
    <t>Turnout #480</t>
  </si>
  <si>
    <t>2.440 - 2.750</t>
  </si>
  <si>
    <t>2.435 - 2.775</t>
  </si>
  <si>
    <t>Dennis Moreton advised that turouts are full of dirt and coal and, as a result, the track is continually losing top and line</t>
  </si>
  <si>
    <t>Turnouts, Ipswich Station</t>
  </si>
  <si>
    <t>37.200 - 38.150</t>
  </si>
  <si>
    <t>Tentative</t>
  </si>
  <si>
    <t>NMP suggests this was reconditioned in 2014. GPR shows fouled ballast. Investigate</t>
  </si>
  <si>
    <r>
      <t xml:space="preserve">Was reconditioned in 2015. Requires further works at start of platform. </t>
    </r>
    <r>
      <rPr>
        <b/>
        <sz val="10"/>
        <color theme="1"/>
        <rFont val="Arial"/>
        <family val="2"/>
      </rPr>
      <t>Do not touch second half of platform</t>
    </r>
  </si>
  <si>
    <t>2x turnouts</t>
  </si>
  <si>
    <t>Tentatively added / Undercut Complete?</t>
  </si>
  <si>
    <t>GPR shows shallow free draining layer depth. Cant do in July SCAS due in Down track to recon</t>
  </si>
  <si>
    <r>
      <t xml:space="preserve">GPR shows shallow free draining layer depth. Undercutting history shows was undercut in 2016. 
</t>
    </r>
    <r>
      <rPr>
        <b/>
        <sz val="10"/>
        <color theme="1"/>
        <rFont val="Arial"/>
        <family val="2"/>
      </rPr>
      <t>Needs undercut from 9.398 to l/xing (need to remove hoses from greaser). Underground cabling. Require excavators.</t>
    </r>
    <r>
      <rPr>
        <b/>
        <sz val="10"/>
        <color rgb="FFFF0000"/>
        <rFont val="Arial"/>
        <family val="2"/>
      </rPr>
      <t xml:space="preserve"> Planned for 14/07/18</t>
    </r>
  </si>
  <si>
    <r>
      <t xml:space="preserve">In TRC Projected works. Cess requires reprofiling </t>
    </r>
    <r>
      <rPr>
        <b/>
        <sz val="10"/>
        <color theme="1"/>
        <rFont val="Arial"/>
        <family val="2"/>
      </rPr>
      <t xml:space="preserve"> </t>
    </r>
    <r>
      <rPr>
        <b/>
        <sz val="10"/>
        <color rgb="FFFF0000"/>
        <rFont val="Arial"/>
        <family val="2"/>
      </rPr>
      <t>Planned for 14/07/18</t>
    </r>
  </si>
  <si>
    <t>Milton Platform</t>
  </si>
  <si>
    <t>Auchenflower Platform</t>
  </si>
  <si>
    <t>OTV Pad</t>
  </si>
  <si>
    <t>Graceville Platform</t>
  </si>
  <si>
    <t>Corinda Platform</t>
  </si>
  <si>
    <t>Toowong Platform</t>
  </si>
  <si>
    <t>Taringa Platform</t>
  </si>
  <si>
    <t>Indooroopilly Platform</t>
  </si>
  <si>
    <t>Graceville Platform/ Subway</t>
  </si>
  <si>
    <t>#467A/B</t>
  </si>
  <si>
    <t>#455C/D</t>
  </si>
  <si>
    <t>Old Tennyson Platform</t>
  </si>
  <si>
    <t>#488A</t>
  </si>
  <si>
    <t>OTV Pad &amp; Tout</t>
  </si>
  <si>
    <t>Turnoutts</t>
  </si>
  <si>
    <t>Tiurnouts &amp; Dia</t>
  </si>
  <si>
    <t>Tournout</t>
  </si>
  <si>
    <t>Dutton Park Platform</t>
  </si>
  <si>
    <t>Yeerongpilly + Turnouts</t>
  </si>
  <si>
    <t>Fairfield Platform</t>
  </si>
  <si>
    <t>Park Road to Yeerongpilly</t>
  </si>
  <si>
    <t>Corinda to Yeerongpilly</t>
  </si>
  <si>
    <t>10.450 - 10.700</t>
  </si>
  <si>
    <t>10.850 - 10.910</t>
  </si>
  <si>
    <t>13.100 - 13.300</t>
  </si>
  <si>
    <t>14.650 - 15.000</t>
  </si>
  <si>
    <t>17.200 - 17.500</t>
  </si>
  <si>
    <t>Wynnum Central Platform</t>
  </si>
  <si>
    <t>Check fouling levels on site</t>
  </si>
  <si>
    <t>24.100 - 24.350</t>
  </si>
  <si>
    <t>27.570 - 27.700</t>
  </si>
  <si>
    <t>Severely fouled (GPR) from 28.380 - 28.420. Check surrounding on site</t>
  </si>
  <si>
    <t>28.320 - 28.520</t>
  </si>
  <si>
    <t>10.800 - 10.910</t>
  </si>
  <si>
    <t>under turnout</t>
  </si>
  <si>
    <t>Northgate platform</t>
  </si>
  <si>
    <t>severely Fouled</t>
  </si>
  <si>
    <t>Dakabin platform - check clearances</t>
  </si>
  <si>
    <t>Geometry Condition, Platform compliance</t>
  </si>
  <si>
    <t>12.200 - 12.500</t>
  </si>
  <si>
    <t>Hemmant Station Platform</t>
  </si>
  <si>
    <t>12.780 - 13.050</t>
  </si>
  <si>
    <t>13.600 - 14.070</t>
  </si>
  <si>
    <t>16.500 - 16.780</t>
  </si>
  <si>
    <t>Wynnum Platform - check clearances</t>
  </si>
  <si>
    <t>17.950 - 18.330</t>
  </si>
  <si>
    <t>turnout</t>
  </si>
  <si>
    <t>19.050 - 19.200</t>
  </si>
  <si>
    <t>Neutral Sectiion</t>
  </si>
  <si>
    <t>Turnout &amp; diamond - #321</t>
  </si>
  <si>
    <t>#801</t>
  </si>
  <si>
    <t>Windsor Platform</t>
  </si>
  <si>
    <t>Wilston Platform</t>
  </si>
  <si>
    <t>Newmarket Platform</t>
  </si>
  <si>
    <t>Enoggera Platform</t>
  </si>
  <si>
    <t>#324B &amp; #325A/B</t>
  </si>
  <si>
    <t>Mitchelton Platform</t>
  </si>
  <si>
    <t>Lubricator</t>
  </si>
  <si>
    <t>#281A/B</t>
  </si>
  <si>
    <t>#325C/D &amp; 324A</t>
  </si>
  <si>
    <t>Mitchelton Platform, AWS, 326A</t>
  </si>
  <si>
    <t>#332C/D</t>
  </si>
  <si>
    <t>Thomas Street. Check platform clearances</t>
  </si>
  <si>
    <t>Thagoona platform</t>
  </si>
  <si>
    <t>Many recurring geometry issues.
In NMP for recon in 2020 as part of platform project. Track is high
Investigate formation material</t>
  </si>
  <si>
    <t xml:space="preserve">10.350 - 10.420 </t>
  </si>
  <si>
    <t>Mud reported in this area. Investigate ballast condition as GPR reads clean</t>
  </si>
  <si>
    <t>10.500 - 10.620</t>
  </si>
  <si>
    <t>10.750 - 10.880</t>
  </si>
  <si>
    <t>Parts of severely fouled, parts moderately clean</t>
  </si>
  <si>
    <t>11.200 - 11.450</t>
  </si>
  <si>
    <t>12.100 - 12.500</t>
  </si>
  <si>
    <t>QR SPUR</t>
  </si>
  <si>
    <t>12.900 - 12.600</t>
  </si>
  <si>
    <t xml:space="preserve">level crossing </t>
  </si>
  <si>
    <t>Rocklea Platform</t>
  </si>
  <si>
    <t>Pradella Diamond</t>
  </si>
  <si>
    <t>#555A &amp; Culv</t>
  </si>
  <si>
    <t>#554B/A &amp; #552D/C</t>
  </si>
  <si>
    <t>Woodridge Platform &amp; AWS</t>
  </si>
  <si>
    <t>AWS</t>
  </si>
  <si>
    <t>Kingston Platform &amp; #541B</t>
  </si>
  <si>
    <t>#526A</t>
  </si>
  <si>
    <t>#519A &amp; 521 A</t>
  </si>
  <si>
    <t>#504D/C &amp; 505A/B</t>
  </si>
  <si>
    <t>#511D/C</t>
  </si>
  <si>
    <t>High (km)</t>
  </si>
  <si>
    <t>Medium (km)</t>
  </si>
  <si>
    <t>Low (km)</t>
  </si>
  <si>
    <t>SUMMARY</t>
  </si>
  <si>
    <t>Total (km)</t>
  </si>
  <si>
    <t>Total track</t>
  </si>
  <si>
    <t>TOTALS</t>
  </si>
  <si>
    <t>DG Inner City</t>
  </si>
  <si>
    <t>Row Labels</t>
  </si>
  <si>
    <t>Grand Total</t>
  </si>
  <si>
    <t>Sum of Length (km)</t>
  </si>
  <si>
    <t>% of Total Undercutting</t>
  </si>
  <si>
    <t>% of High Priority</t>
  </si>
  <si>
    <t>% of Total Track</t>
  </si>
  <si>
    <t>900m Total</t>
  </si>
  <si>
    <t>700m Total</t>
  </si>
  <si>
    <t>1100m Total</t>
  </si>
  <si>
    <t>Column Labels</t>
  </si>
  <si>
    <t>Turnout 482B</t>
  </si>
  <si>
    <t>In NMP to undercut through 488A points in 2016 (not complete)</t>
  </si>
  <si>
    <t>Dennis Moreton advised that turouts are full of dirt and coal and, as a result, the track is continually losing top and line
In NMP to undercut in 2016 (not complete) through 480A points</t>
  </si>
  <si>
    <t>Platform, overbridges</t>
  </si>
  <si>
    <t>0.550 - 1.150</t>
  </si>
  <si>
    <t>2.030 - 2.130</t>
  </si>
  <si>
    <t>Up to level crossing</t>
  </si>
  <si>
    <t>2.800 - 3.280</t>
  </si>
  <si>
    <t>0.000 - 0.180</t>
  </si>
  <si>
    <t>1.480 - 1.800</t>
  </si>
  <si>
    <t>1.810 - 2.350</t>
  </si>
  <si>
    <t>2.500 - 2.700</t>
  </si>
  <si>
    <t>Need to confirm extents of fouling.
In TRC planning spreadsheet to undercut between 2.520 - 2.600</t>
  </si>
  <si>
    <t>Need to investigate ballast fouling levels</t>
  </si>
  <si>
    <t>Need to investigate ballast fouling levels - GPR only suggests ballast is fouled between 9.100 - 9.350</t>
  </si>
  <si>
    <t>8.550 - 9.050</t>
  </si>
  <si>
    <t>9.100 - 9.500</t>
  </si>
  <si>
    <t>From Level crossing to level crossing.
Need to confirm fouling levels</t>
  </si>
  <si>
    <t>9.970 - 10.100</t>
  </si>
  <si>
    <t>10.900 - 11.200</t>
  </si>
  <si>
    <t>Suggested that this is done with excavator at the same time as the UM section from 0.000 - 0.500</t>
  </si>
  <si>
    <t>Planned Date</t>
  </si>
  <si>
    <t>Drainage works included</t>
  </si>
  <si>
    <r>
      <t xml:space="preserve"> Also required for </t>
    </r>
    <r>
      <rPr>
        <b/>
        <sz val="10"/>
        <color theme="1"/>
        <rFont val="Arial"/>
        <family val="2"/>
      </rPr>
      <t>platform compliance. Track 130mm high</t>
    </r>
  </si>
  <si>
    <t>North Boondal down</t>
  </si>
  <si>
    <t>Validate during Engineering walk</t>
  </si>
  <si>
    <t>Morayfield platform
Validate during Engineering walk</t>
  </si>
  <si>
    <t>Site visit conducted - undercut not required (removed)</t>
  </si>
  <si>
    <t>Site visit conducted - undercut not currently required (removed)</t>
  </si>
  <si>
    <t>Reconditioned 19/05/18</t>
  </si>
  <si>
    <t>0.600 - 0.825</t>
  </si>
  <si>
    <t>Diamond</t>
  </si>
  <si>
    <t>Includes drainage works</t>
  </si>
  <si>
    <t>In TRC Projected works - survey has been requested this area due to twist.
In NMP to be undercut from 1.385km - 1.595km for June 2017.</t>
  </si>
  <si>
    <t>subsurface drain inlets were cleaned out between Down sub and up main</t>
  </si>
  <si>
    <t>Could be shortened to 7.900 - 8.100 and udercut with excavator</t>
  </si>
  <si>
    <t>SCAS</t>
  </si>
  <si>
    <t>Road</t>
  </si>
  <si>
    <t>Start</t>
  </si>
  <si>
    <t>End</t>
  </si>
  <si>
    <t>Length</t>
  </si>
  <si>
    <t>Cumulative Length</t>
  </si>
  <si>
    <t>Shorncliffe</t>
  </si>
  <si>
    <t>Cleveland</t>
  </si>
  <si>
    <t>Western</t>
  </si>
  <si>
    <t>Tennyson</t>
  </si>
  <si>
    <t>Ferny Grove</t>
  </si>
  <si>
    <t>Inner City</t>
  </si>
  <si>
    <t>Gold Coast</t>
  </si>
  <si>
    <t>24.690 - 25.025</t>
  </si>
  <si>
    <t>Beenleigh</t>
  </si>
  <si>
    <t>Bridge</t>
  </si>
  <si>
    <t>Distance (km)</t>
  </si>
  <si>
    <t>Drainage works included. Requires removal of flood rock</t>
  </si>
  <si>
    <t>Completed Date</t>
  </si>
  <si>
    <t>Planned</t>
  </si>
  <si>
    <t>COMPLETED</t>
  </si>
  <si>
    <t>PLANNED</t>
  </si>
  <si>
    <r>
      <t xml:space="preserve">Starting to pump. Mudholes already removed. Extents reduced from 0.650 - 0.900
</t>
    </r>
    <r>
      <rPr>
        <b/>
        <sz val="10"/>
        <color theme="1"/>
        <rFont val="Arial"/>
        <family val="2"/>
      </rPr>
      <t>Undercut planned from 0.610 - 0.730 for 21/07/18</t>
    </r>
  </si>
  <si>
    <r>
      <t xml:space="preserve">In NMP as rerail between 1.319km - 1.500km scheduled for June 2020 and may need to be lowered through platform (currently 44mm high) - opportunity to potentially lower track ready for 60kg rail
</t>
    </r>
    <r>
      <rPr>
        <b/>
        <sz val="10"/>
        <color theme="1"/>
        <rFont val="Arial"/>
        <family val="2"/>
      </rPr>
      <t>Planned to be undercut from 1.300 - 1.600 with MMY17 on 4/11/18</t>
    </r>
  </si>
  <si>
    <t>Planned to undercut full extents with Hi-Rail on 25/11/18</t>
  </si>
  <si>
    <t>Planned to undercut full extents with Excavator on 25/11/18</t>
  </si>
  <si>
    <r>
      <t xml:space="preserve">In NMP to undercut 2018
</t>
    </r>
    <r>
      <rPr>
        <b/>
        <sz val="10"/>
        <color theme="1"/>
        <rFont val="Arial"/>
        <family val="2"/>
      </rPr>
      <t>Planned to undercut 0.650 - 0.800 with excavator on 10/02/19</t>
    </r>
  </si>
  <si>
    <r>
      <t xml:space="preserve">Pumping sleepers according to TRC data. 
In NMP for recon (2017 - not complete). WO:6100097246
</t>
    </r>
    <r>
      <rPr>
        <b/>
        <sz val="10"/>
        <color theme="1"/>
        <rFont val="Arial"/>
        <family val="2"/>
      </rPr>
      <t>Planned to undercut 6.300 - 6.900 with MMY17 on 10/02/19</t>
    </r>
  </si>
  <si>
    <t>Planned to undercut from 1.970 - 2.070 with excavator on 25/11/18</t>
  </si>
  <si>
    <r>
      <t xml:space="preserve">Platform to end of curve. Significant deterioration between TRC runs
</t>
    </r>
    <r>
      <rPr>
        <b/>
        <sz val="10"/>
        <color theme="1"/>
        <rFont val="Arial"/>
        <family val="2"/>
      </rPr>
      <t>Planned to undercut full extents on 07/04/19</t>
    </r>
  </si>
  <si>
    <r>
      <t xml:space="preserve">Turnout
</t>
    </r>
    <r>
      <rPr>
        <b/>
        <sz val="10"/>
        <color theme="1"/>
        <rFont val="Arial"/>
        <family val="2"/>
      </rPr>
      <t>Planned to undercut full extents on 19/05/19</t>
    </r>
  </si>
  <si>
    <t>Planned to undercut 20.880 - 21.100 on 02/06/19</t>
  </si>
  <si>
    <t xml:space="preserve">% Planned </t>
  </si>
  <si>
    <t>SUM</t>
  </si>
  <si>
    <t>Partially Complete</t>
  </si>
  <si>
    <t>Constant manual tamping required</t>
  </si>
  <si>
    <t>Planned to be reconditioned 19/20 from 4.210 - 4.422</t>
  </si>
  <si>
    <t>In NMP to recon in 18/19 from 0.460 - 0.580</t>
  </si>
  <si>
    <r>
      <t xml:space="preserve">Recon planned from 13.327 - 13.382 in  April 2019.
Geometry deteriotating significantly
</t>
    </r>
    <r>
      <rPr>
        <b/>
        <sz val="10"/>
        <color theme="1"/>
        <rFont val="Arial"/>
        <family val="2"/>
      </rPr>
      <t>Planned to undercut from 13.380 - 14.150 on 07/04/19</t>
    </r>
  </si>
  <si>
    <t>Recon planned in 19/20 from 12.140 - 12.500</t>
  </si>
  <si>
    <r>
      <t xml:space="preserve">Pumping sleepers.
</t>
    </r>
    <r>
      <rPr>
        <b/>
        <sz val="10"/>
        <color theme="1"/>
        <rFont val="Arial"/>
        <family val="2"/>
      </rPr>
      <t>On NMP to be reconed in 19/20</t>
    </r>
  </si>
  <si>
    <t>Recon planned in 19/20</t>
  </si>
  <si>
    <t>In NMP to recon in 19/20 from 8.605 - 8.815</t>
  </si>
  <si>
    <t>In TRC Projected works to be undercut. Twist / gauge due to bearers.
Scheduled for recon between 10.579km - 10.944km 19/20 (NMP). Broken into sections for undercutting</t>
  </si>
  <si>
    <t>Scheduled for recon between 10.579km - 10.944km 19/20 (NMP). Broken into sections for undercutting</t>
  </si>
  <si>
    <t>In NMP for recon in 20/21 from 5.130 - 5.329</t>
  </si>
  <si>
    <t>in NMP to be reconditioned from 38.100 - 38.250 and from 38.276 - 38.416 in 20/21</t>
  </si>
  <si>
    <t>in NMP to be reconditioned from 43.850 - 44.100 in 22/23</t>
  </si>
  <si>
    <t>Shallow / rough free draining layer - GPR.
In NMP to be reconditioned from 8.605 - 8.815 in 21/22</t>
  </si>
  <si>
    <t>Y</t>
  </si>
  <si>
    <t>In Capital Plan?</t>
  </si>
  <si>
    <t>P</t>
  </si>
  <si>
    <t>Link</t>
  </si>
  <si>
    <t>Site inspection - very fouled, slight pumping (25/06/18 CC)</t>
  </si>
  <si>
    <r>
      <t xml:space="preserve">Planned to Undercut full extents on 17/03/19.
</t>
    </r>
    <r>
      <rPr>
        <b/>
        <sz val="10"/>
        <color rgb="FFC00000"/>
        <rFont val="Arial"/>
        <family val="2"/>
      </rPr>
      <t>NOT REQUIRED (25/06/18 CC)</t>
    </r>
  </si>
  <si>
    <t>Extents updated (25/06/18 CC)</t>
  </si>
  <si>
    <t>Extents updated (25/06/18 CC). Was undercut from 6.900 - 7.000 in June 2017</t>
  </si>
  <si>
    <t>Extents Updated (25/06/2018 CC)</t>
  </si>
  <si>
    <t>Turnout #602A</t>
  </si>
  <si>
    <t>Turnout requires undercutting  from TOS. Extents updated (25/06/2018 CC)</t>
  </si>
  <si>
    <t>Turnouts #605B, #604A, #603B</t>
  </si>
  <si>
    <t>Ballast is fouled although undercutting this would damage newly installed drainage. Recon would be prefereable (25/06/2018 CC)</t>
  </si>
  <si>
    <t>Site inspection - ballast in okay condition. Diamond is humped</t>
  </si>
  <si>
    <t>Geometry condition, Track Lowering</t>
  </si>
  <si>
    <t>New sleepers recently installed - may just require follow-up tamp. Priority lowered from medium - monitor (25/06/2018 CC)</t>
  </si>
  <si>
    <t>Planned to undercut Full extents on 30/06/19
NOT REQUIRED (25/06/2018 CC)</t>
  </si>
  <si>
    <t>Trinder Park Station</t>
  </si>
  <si>
    <t>link</t>
  </si>
  <si>
    <t>Track Lowering, Platform compliance</t>
  </si>
  <si>
    <t>Palmwoods Platform</t>
  </si>
  <si>
    <t>Need to confirm extents of required track lowering following survey. 260m of lowering required (120mm high) for rerail</t>
  </si>
  <si>
    <t>Planned to undercut 16.900 - 17.700 on 05/08/18</t>
  </si>
  <si>
    <t>Curve between turnouts</t>
  </si>
  <si>
    <t>Validate during Engineering walk.  Extents increased following Engineering walk report from A Chen (16/07/18)</t>
  </si>
  <si>
    <t>Geometry Condition, Field inspection</t>
  </si>
  <si>
    <t>From 45.200 - 45.400 was identified as requiring undercutting during Engineering inspection walk report from A Chen. TRC shows rough top from 45.000 - 45.550 with pumping sleepers within section.</t>
  </si>
  <si>
    <t xml:space="preserve"> identified as requiring undercutting during Engineering inspection walk report from A Chen. Mudhole reported at 45.800</t>
  </si>
  <si>
    <t xml:space="preserve"> identified as requiring undercutting during Engineering inspection walk report from A Chen</t>
  </si>
  <si>
    <t xml:space="preserve"> identified as requiring undercutting during Engineering inspection walk report from A Chen. TRC data suggests track is currently holding top. Mudhole at 48.085</t>
  </si>
  <si>
    <t>Caboolture station</t>
  </si>
  <si>
    <t>Subway, South Brisbane Station</t>
  </si>
  <si>
    <t>Track height limited by subway. Rerail occurred 22/07/18 including replacementof ballast 5m either side. Monitor surrounding ballast in case rerail causes deterioration of geometry due to fouled ballast</t>
  </si>
  <si>
    <t>Not fouled. Not required. Very bad top at lubricator</t>
  </si>
  <si>
    <t xml:space="preserve">Not required </t>
  </si>
  <si>
    <t>Extents updated following site visit 23/07/18 C.C from TOS #632D/C through 631B to platform</t>
  </si>
  <si>
    <t>turnouts and platform</t>
  </si>
  <si>
    <r>
      <t xml:space="preserve">NOT REQUIRED. It appears as though sections have been recently undercut for maintenance (25/06/2018 CC). </t>
    </r>
    <r>
      <rPr>
        <sz val="10"/>
        <color rgb="FFC00000"/>
        <rFont val="Arial"/>
        <family val="2"/>
      </rPr>
      <t>Survey slew report linked fyi</t>
    </r>
  </si>
  <si>
    <t>#526B</t>
  </si>
  <si>
    <t>Extents increased from 11.550 - 11.700 (CC 30/07/18) mudholes forming and drainage required</t>
  </si>
  <si>
    <t>#535B</t>
  </si>
  <si>
    <t>#537A and #537B</t>
  </si>
  <si>
    <t>#540A &amp; #541A</t>
  </si>
  <si>
    <t>#542B &amp; AWS</t>
  </si>
  <si>
    <r>
      <t xml:space="preserve">In NMP to undercut
</t>
    </r>
    <r>
      <rPr>
        <b/>
        <sz val="10"/>
        <color theme="1"/>
        <rFont val="Arial"/>
        <family val="2"/>
      </rPr>
      <t>Planned to undercut 16.900 - 18.280 on 05/08/18</t>
    </r>
  </si>
  <si>
    <r>
      <t xml:space="preserve">Track pumping. Mud hole forming.
Recently resurfaced
</t>
    </r>
    <r>
      <rPr>
        <b/>
        <sz val="10"/>
        <color theme="1"/>
        <rFont val="Arial"/>
        <family val="2"/>
      </rPr>
      <t>Planned to undercut 31.750 - 31.900 with excavator on 21/10/18. Tentative due to lack of resources</t>
    </r>
  </si>
  <si>
    <t>From 36.100 - 36.400 was undercut in December 2017. Through Edens Landing platform has been resurfaced in June 16 and again in June 17</t>
  </si>
  <si>
    <t>Edens Landing Platform</t>
  </si>
  <si>
    <t>Extents updated from 27.550 - 27.750km to iclude track from bridge to spring of curve. Worst section from 27.470 - 27.750 - ballast very fouled and mudholes appear to have been removed. Poorly graded from 27.750 - 27.850km</t>
  </si>
  <si>
    <t>Fouled but appears to be holding top. Monitor</t>
  </si>
  <si>
    <r>
      <t xml:space="preserve">some sections have been undercut recently. </t>
    </r>
    <r>
      <rPr>
        <b/>
        <sz val="10"/>
        <color theme="1"/>
        <rFont val="Arial"/>
        <family val="2"/>
      </rPr>
      <t>Fouled from 28.530 - 28.550 and from 28.570 - 28.600. All under scope for undercutting project (maintnenance undercut may be require) CC 06/08/18</t>
    </r>
  </si>
  <si>
    <t>Extents redeuced from 35.200 06/08/18 CC</t>
  </si>
  <si>
    <t>Only 30m of fouling - mainenance CC 6/8/18</t>
  </si>
  <si>
    <t>Track has been reconditioned</t>
  </si>
  <si>
    <t>Turnout #451</t>
  </si>
  <si>
    <t>Extents changed from 15.000 - 15.450 AF, NH 6/8/18</t>
  </si>
  <si>
    <t>No Longer required NH 06/08/18</t>
  </si>
  <si>
    <t>Only turnout is fouled with coal dust. Not required NH AF 06/08/18</t>
  </si>
  <si>
    <t xml:space="preserve">Priority upgraded from Medium following site validation. Extents increased from 20.450 - 20.600 (06/08/18 NH, AF) </t>
  </si>
  <si>
    <t>Gailes platform. Check clearances. Appears to have been recently undercut. Not required AF, NH 06/08/18</t>
  </si>
  <si>
    <r>
      <t xml:space="preserve">Very rough, but LRI indicates recon is required. Investigate. </t>
    </r>
    <r>
      <rPr>
        <b/>
        <sz val="10"/>
        <color theme="1"/>
        <rFont val="Arial"/>
        <family val="2"/>
      </rPr>
      <t>Has been reconditioned, though patches of rounsing ballast are evident. Problem area for Russell Brown but requires further formation works, not undercutting 06/08/18</t>
    </r>
  </si>
  <si>
    <t>Mud hole forming. End of platform to 11.020 has been undercut</t>
  </si>
  <si>
    <t>Severely fouled on site NH AF 06/08/18</t>
  </si>
  <si>
    <t>Above extents separated as this section is a lower priority</t>
  </si>
  <si>
    <t>LINE</t>
  </si>
  <si>
    <t>Jun</t>
  </si>
  <si>
    <t>Jul</t>
  </si>
  <si>
    <t>Aug</t>
  </si>
  <si>
    <t>Sep</t>
  </si>
  <si>
    <t>Oct</t>
  </si>
  <si>
    <t>Nov</t>
  </si>
  <si>
    <t>Dec</t>
  </si>
  <si>
    <t>Jan</t>
  </si>
  <si>
    <t>Feb</t>
  </si>
  <si>
    <t>Mar</t>
  </si>
  <si>
    <t>Apr</t>
  </si>
  <si>
    <t>May</t>
  </si>
  <si>
    <t>PLANNED UNDERCUTTING</t>
  </si>
  <si>
    <t>COMPLETED UNDERCUTTING</t>
  </si>
  <si>
    <t>Length Completed (km)</t>
  </si>
  <si>
    <t xml:space="preserve">LOW </t>
  </si>
  <si>
    <t>TOTAL</t>
  </si>
  <si>
    <t>Total</t>
  </si>
  <si>
    <t>18/19 Plan</t>
  </si>
  <si>
    <t>Validated Undercutting</t>
  </si>
  <si>
    <t>Month</t>
  </si>
  <si>
    <t>Month Number</t>
  </si>
  <si>
    <t>Year</t>
  </si>
  <si>
    <t>Slicer Year</t>
  </si>
  <si>
    <t>2018-19</t>
  </si>
  <si>
    <t>2019-20</t>
  </si>
  <si>
    <t>Current Year</t>
  </si>
  <si>
    <t>Completed undercutting</t>
  </si>
  <si>
    <t>Financial Year</t>
  </si>
  <si>
    <t>Month2</t>
  </si>
  <si>
    <t>% of planned for line YTD</t>
  </si>
  <si>
    <t>% of total planned</t>
  </si>
  <si>
    <t>% of total complete</t>
  </si>
  <si>
    <t>% fouled ballast removed</t>
  </si>
  <si>
    <t>Validated (km)</t>
  </si>
  <si>
    <t>% Validated</t>
  </si>
  <si>
    <t xml:space="preserve">In TRC Projected works to be undercut.
In NMP to rerail between 9.366km - 9.711km. </t>
  </si>
  <si>
    <t>Planned Machine</t>
  </si>
  <si>
    <t>MMY17</t>
  </si>
  <si>
    <t>CAT14T</t>
  </si>
  <si>
    <t>GLH14T Hi-Rail</t>
  </si>
  <si>
    <t>Not fouled. Not required.</t>
  </si>
  <si>
    <t>Appears as though a bad weld may be causing issues</t>
  </si>
  <si>
    <t>Rounded ballast over culverts. Very fouled from 76.400 - 76.450, then very small ballast for remainder</t>
  </si>
  <si>
    <t>patches of rounded ballast - not very fouled</t>
  </si>
  <si>
    <t>culverts</t>
  </si>
  <si>
    <t>mudhole at 73.845. losing top. Multiple resurfaces through secton</t>
  </si>
  <si>
    <t>65.800 - 67.100 broken up to prioritise. All is very fouled but some areas are holding top better than others
Multiple clay holes and fouled ballast. Recurring issues with track geometry</t>
  </si>
  <si>
    <t>65.800 - 67.100 broken up to prioritise. All is very fouled but some areas are holding top better than others</t>
  </si>
  <si>
    <t>Updated extents from 30.650 - 31.100 and increased priority to medium following deterioration of geometry between Jan and Jun TRC runs (CC)</t>
  </si>
  <si>
    <t>Engineering report - RJ and MC. Not losing top at this time</t>
  </si>
  <si>
    <t>Track buckle occurred Feb 2018 - resurfacing machine cannot pack it properly (don Xu). In NMP to be reconditioned in 20/21. Added in place of DS 19/09/18 CC</t>
  </si>
  <si>
    <t>IN NMP to be reconditioned from 6.485 - 6.745 in 22/23.  DS removed to allow for UM undercut 9/09/18 CC</t>
  </si>
  <si>
    <t>Dennis Moreton advised that turouts are full of dirt and coal and, as a result, the track is continually losing top and line (turnout not being undercut)</t>
  </si>
  <si>
    <r>
      <rPr>
        <b/>
        <sz val="10"/>
        <color theme="1"/>
        <rFont val="Arial"/>
        <family val="2"/>
      </rPr>
      <t xml:space="preserve">Awaiting confirmation that relay has occurred. If so, remove. </t>
    </r>
    <r>
      <rPr>
        <sz val="10"/>
        <color theme="1"/>
        <rFont val="Arial"/>
        <family val="2"/>
      </rPr>
      <t xml:space="preserve">Cant through curve is creating TW10 issues
</t>
    </r>
    <r>
      <rPr>
        <b/>
        <sz val="10"/>
        <color theme="1"/>
        <rFont val="Arial"/>
        <family val="2"/>
      </rPr>
      <t>Planned to undercut 27.880 - 28.080 on 02/06/19</t>
    </r>
  </si>
  <si>
    <t>Planned to undercut 8.100 - 8.300 with Hi-Rail on 3/02/19. Not fouled 24/09/18 CC`</t>
  </si>
  <si>
    <t>Indooroopilly Station</t>
  </si>
  <si>
    <t>Mud Hole removal</t>
  </si>
  <si>
    <r>
      <t xml:space="preserve">NMP - recon - 25.116km - Middle Road - Ballast Deck Bridge  - Replace timber sleepers with full depth concrete (splays and LPC internal guards). No scheduled timeframe. </t>
    </r>
    <r>
      <rPr>
        <b/>
        <sz val="10"/>
        <color theme="1"/>
        <rFont val="Arial"/>
        <family val="2"/>
      </rPr>
      <t>Mud hole was removed 24/09/18 at 25.035km</t>
    </r>
  </si>
  <si>
    <t>Mud Hole</t>
  </si>
  <si>
    <t>Mud hole removed 24/09/18. WO 6100225836. Completed by Bart Daniels</t>
  </si>
  <si>
    <t>yes</t>
  </si>
  <si>
    <r>
      <t xml:space="preserve">From Cancelled works
In NMP to undercut from 0.160 - 0.248 in 2017, 0.440 - 0.600 in June 2018 (none complete)
</t>
    </r>
    <r>
      <rPr>
        <b/>
        <sz val="10"/>
        <color theme="1"/>
        <rFont val="Arial"/>
        <family val="2"/>
      </rPr>
      <t>Planned to undercut 0.080 - 0.180 on 26/11/18 and 0.280 - 0.380 on 17/06/19</t>
    </r>
    <r>
      <rPr>
        <sz val="10"/>
        <color theme="1"/>
        <rFont val="Arial"/>
        <family val="2"/>
      </rPr>
      <t xml:space="preserve"> (26/11/18 cancelled CC 02/10/18)</t>
    </r>
  </si>
  <si>
    <r>
      <t xml:space="preserve">Need to confirm extents of fouling. Was undercut in 2012 from 1.650 - 1.750
</t>
    </r>
    <r>
      <rPr>
        <b/>
        <sz val="10"/>
        <color theme="1"/>
        <rFont val="Arial"/>
        <family val="2"/>
      </rPr>
      <t>Planned to Undercut from 1.520 - 1.620 on 04/03/19,  1.620 - 1.720 on 26/11/18 and 1.420 - 1.520 on 17/06/19 (26/11/18 Cancelled CC 02/10/18)</t>
    </r>
  </si>
  <si>
    <t>Severely fouled ballast. Seems to be holding top at present. Monitor</t>
  </si>
  <si>
    <t>Severe fouling. Currently not losing top</t>
  </si>
  <si>
    <t>Moderate fouling observed (08/10/18 CC)</t>
  </si>
  <si>
    <t>Not fouled. May have been recently reballasted (08/10/18 CC)</t>
  </si>
  <si>
    <r>
      <t xml:space="preserve">In NMP for recon in 19/20. </t>
    </r>
    <r>
      <rPr>
        <b/>
        <sz val="10"/>
        <color theme="1"/>
        <rFont val="Arial"/>
        <family val="2"/>
      </rPr>
      <t>Recon has been pushed out (CC 30/07/18). Requested to move to April 2019 SCAS. Recon planned for April 19</t>
    </r>
  </si>
  <si>
    <t>Recently tamped. water pooling next to track at toe of ballast. Drainage improvements required (08/10/18 CC)</t>
  </si>
  <si>
    <t>Priority lowered to Medium</t>
  </si>
  <si>
    <t>Alderley Platform</t>
  </si>
  <si>
    <t>Was undercut in March 2018</t>
  </si>
  <si>
    <t>Was undercut on 09/04/17</t>
  </si>
  <si>
    <t>Planned to undercut 7.750 - 8.100 on 28/04/19. Priority lowered from HIGH (08/10/18 CC)</t>
  </si>
  <si>
    <t>Severely fouled with pumping sleepers throughout platform. Fouling stops at 2.890km, though moderate - high fouling continues towards Bowen Hills from 2.760. If longer section required, continue inbound (08/10/18 CC). In NMP for 20/21 relay</t>
  </si>
  <si>
    <t>Very fouled. Lift and pack of turnout not sufficient - dirt (30/07/18 CC). The priority is from 8.140 - 8.260 and includes the turnout. In NMP for 20/21 relay</t>
  </si>
  <si>
    <t>Pumping but ballast appears okay through turnout</t>
  </si>
  <si>
    <t>Cancelled</t>
  </si>
  <si>
    <t>If Cancelled, Original Planned date</t>
  </si>
  <si>
    <r>
      <t xml:space="preserve">Significant deteriorations between TRC runs. In NMP to be undercut from 24.270km to 24.350km.
</t>
    </r>
    <r>
      <rPr>
        <b/>
        <sz val="10"/>
        <color theme="1"/>
        <rFont val="Arial"/>
        <family val="2"/>
      </rPr>
      <t>Planned to be undercut from 24.100 - 24.400 on 07/04/18 (24.300 - 24.370 already complete)
300 - 370m has been done</t>
    </r>
  </si>
  <si>
    <r>
      <t xml:space="preserve">In NMP to undercut from 13.020 - 13.800 in 2019. Extents updated from 13.100 - 13.300. clean patch between 13.240 - 13.365 18/10/18 CC
</t>
    </r>
    <r>
      <rPr>
        <b/>
        <sz val="10"/>
        <color theme="1"/>
        <rFont val="Arial"/>
        <family val="2"/>
      </rPr>
      <t>Planned to undercut from 13.000 - 13.800 with MMY17 on 3/3/19</t>
    </r>
  </si>
  <si>
    <t>Planned to undercut 10.800 - 10.950 on 16/06/19. New ballast</t>
  </si>
  <si>
    <r>
      <t xml:space="preserve">In TRC planning spreadhseet to undercut from 27.600 - 27.620. Multiple mud holes cut out. Drainage improvements required. Check GPR when it comes in 18/10/18 CC
</t>
    </r>
    <r>
      <rPr>
        <b/>
        <sz val="10"/>
        <color theme="1"/>
        <rFont val="Arial"/>
        <family val="2"/>
      </rPr>
      <t>Planned to undercut 27.550 - 27.700 on 16/06/19</t>
    </r>
  </si>
  <si>
    <t>Planned to undercut 37.260 - 37.400 on 30/06/19. Not required</t>
  </si>
  <si>
    <t>resurfaced 18/02/2016. Ben Phillips advised that they have undercut it in the past but new mud holes are forming</t>
  </si>
  <si>
    <t>Planned to undercut full extents on 17/03/19. Mudhole forming NH 01/08/18 CANCELLED due to lack of resources</t>
  </si>
  <si>
    <r>
      <t xml:space="preserve">In NMP to be undercut from 15.870 - 15.940. No date specified (was 2017)
</t>
    </r>
    <r>
      <rPr>
        <b/>
        <sz val="10"/>
        <color theme="1"/>
        <rFont val="Arial"/>
        <family val="2"/>
      </rPr>
      <t>Planned to undercut 15.200 - 15.750 on 02/06/19. from 700 - 900 is done (not required). 260 to 730 needs doing - Lou</t>
    </r>
  </si>
  <si>
    <t>Raised in planning meeting - Nev Hall</t>
  </si>
  <si>
    <t xml:space="preserve">Mud Holes present. TSR has been erected through worst area (Richard Marschke). Remediation works planned for 17/09/18 to keep until a SCAS can be organised. </t>
  </si>
  <si>
    <t>Bart Daniels - maintenance undercut mudhole</t>
  </si>
  <si>
    <t>Planned to undercut full extents with MMY17 on 25/11/18. Problems with MMY17 following overhaul.</t>
  </si>
  <si>
    <t>Gailes platform</t>
  </si>
  <si>
    <t>Last 10m of Bald Hills Platform</t>
  </si>
  <si>
    <t>Has this been undercut previously? NMP says yes, undercutting history says no. added to NMP for recon/relay</t>
  </si>
  <si>
    <t>Dennis Morton advised of undercutting required. TRC dtaa confirms</t>
  </si>
  <si>
    <t>Bart Daniels removed mudhole</t>
  </si>
  <si>
    <t>Ballast Condition
(GPR 2015)</t>
  </si>
  <si>
    <t>Ballast Condition (GPR 2018)</t>
  </si>
  <si>
    <r>
      <t xml:space="preserve">Priority upgraded from LOW following site validation (25/06/2018 CC). </t>
    </r>
    <r>
      <rPr>
        <b/>
        <sz val="10"/>
        <color theme="1"/>
        <rFont val="Arial"/>
        <family val="2"/>
      </rPr>
      <t>Extends increased from 14.100 - 14.250 following TRC data review</t>
    </r>
  </si>
  <si>
    <t>Banoon Station</t>
  </si>
  <si>
    <t>Priority lowered from Medium folliowing TRC data review</t>
  </si>
  <si>
    <r>
      <t xml:space="preserve">Extents updated following site visit 23/07/18 A.S. Severely fouled, poorly graded, pumping and round ballast throughout. Dig Cess between Dn &amp; DG if possible and drain under cable trough. </t>
    </r>
    <r>
      <rPr>
        <b/>
        <sz val="10"/>
        <color theme="1"/>
        <rFont val="Arial"/>
        <family val="2"/>
      </rPr>
      <t>Priority lowered frollowing TRC data review - holding top (CC 04/01/19)</t>
    </r>
  </si>
  <si>
    <r>
      <t xml:space="preserve">Extents updated following site visit 23/07/18. </t>
    </r>
    <r>
      <rPr>
        <b/>
        <sz val="10"/>
        <color theme="1"/>
        <rFont val="Arial"/>
        <family val="2"/>
      </rPr>
      <t xml:space="preserve"> Priority Lowered following TRC data review (CC 04/01/19)</t>
    </r>
  </si>
  <si>
    <t>Platform clearances checked with 2017 inspection. Okay. Ballast slightly fouled (25/06/18 CC). No longer required following TRC data review (CC 04/01/19)</t>
  </si>
  <si>
    <t>Very Low priority (25/06/18 CC).  No longer required following TRC data review (CC 04/01/19)</t>
  </si>
  <si>
    <t>Extents Updated (25/06/2018 CC). Very Low priority</t>
  </si>
  <si>
    <t>turnouts</t>
  </si>
  <si>
    <t>Kuraby Station</t>
  </si>
  <si>
    <t>resurfaced 10/02/18. Improved following resurface. Monitor and increase priority as required</t>
  </si>
  <si>
    <r>
      <t xml:space="preserve">GPR - severe fouling occurring from 28.930km. </t>
    </r>
    <r>
      <rPr>
        <b/>
        <sz val="10"/>
        <color theme="1"/>
        <rFont val="Arial"/>
        <family val="2"/>
      </rPr>
      <t>Priority lowered following TRC data review (CC 04/01/19)</t>
    </r>
  </si>
  <si>
    <t>Resurfaced between December and Feb 2018. Need to check fouling levels on site</t>
  </si>
  <si>
    <t>#525A, bridge</t>
  </si>
  <si>
    <t>turnouts and diamond</t>
  </si>
  <si>
    <t>Pumping sleepers according to last TRC run. No longer required following revision of new GPR and TRC data</t>
  </si>
  <si>
    <t>Identified as very fouled ballast on site. Several mudholes have been repeatedly removed. Cancelled in place of higher priority. Do together with 17.950 - 18.500 if possible</t>
  </si>
  <si>
    <t>Need to check fouling levels. Not fouled according to both GPR runs</t>
  </si>
  <si>
    <t>%complete</t>
  </si>
  <si>
    <t>8.300 - 8.600</t>
  </si>
  <si>
    <t>mudhole removed 9.800 - 9.835 29/11/18</t>
  </si>
  <si>
    <t>9.700  9.900</t>
  </si>
  <si>
    <t>18.500 - 18.900</t>
  </si>
  <si>
    <t>.</t>
  </si>
  <si>
    <t>In NMP for undercutting (2017 - not complete). Resurfaced 07/18. many recurring resurfaces prior</t>
  </si>
  <si>
    <t>8.300 - 8.500</t>
  </si>
  <si>
    <t>Very highly fouled. Just resurfaced (10/7/18 &amp; 11/08)</t>
  </si>
  <si>
    <t>8.760 - 9.000</t>
  </si>
  <si>
    <t>From back of turnout for 40m (towards level crossing). Do with 8.760 - 9.000)</t>
  </si>
  <si>
    <t>According to GPR severely fouled from 17.400. Check on site</t>
  </si>
  <si>
    <t>22.500 - 22.820</t>
  </si>
  <si>
    <r>
      <t xml:space="preserve">Mild fouling for most. Moderate fouling for 20m at end of platform (08/10/18 CC). </t>
    </r>
    <r>
      <rPr>
        <b/>
        <sz val="10"/>
        <color theme="1"/>
        <rFont val="Arial"/>
        <family val="2"/>
      </rPr>
      <t>Recently resurfaced. Good geometry. (07/01/19 CC)</t>
    </r>
  </si>
  <si>
    <r>
      <t xml:space="preserve">Mud hole formaing at 6.260km near water pipe. Investigate (08/10/18 CC). </t>
    </r>
    <r>
      <rPr>
        <b/>
        <sz val="10"/>
        <color theme="1"/>
        <rFont val="Arial"/>
        <family val="2"/>
      </rPr>
      <t>Recently resurfaced. Good geometry. GPR says severely fouled from 6.200 (patchy before) (07/01/19 CC)</t>
    </r>
  </si>
  <si>
    <t>geometry deteriorated slightly from Jan to October 2018</t>
  </si>
  <si>
    <r>
      <t xml:space="preserve">Was undercut from 5.180 - 5.465 in 2015. Slight - moderate fouling observed (08/10/18 CC). </t>
    </r>
    <r>
      <rPr>
        <b/>
        <sz val="10"/>
        <color theme="1"/>
        <rFont val="Arial"/>
        <family val="2"/>
      </rPr>
      <t>Very Low priority</t>
    </r>
  </si>
  <si>
    <t>Alderley Platform, level crossing</t>
  </si>
  <si>
    <t>5.300 - 5.600</t>
  </si>
  <si>
    <t>8.450 - 8.750</t>
  </si>
  <si>
    <t>Check with platform clearances. 5 stations too high in platform by max 112mm</t>
  </si>
  <si>
    <t>Need to check fouling levels on site</t>
  </si>
  <si>
    <t>Check fouling levels on site. TRC data review = no longer required</t>
  </si>
  <si>
    <t>GPR - clean 2018. no longer required for this reason</t>
  </si>
  <si>
    <t>Wacol Station, Level crossing. Recently resurfaced (CC 09/01/19)</t>
  </si>
  <si>
    <t>Track is pumping. GPR show patch of clean ballast between 28.050 and 28.100. Recently resurfaced 09/01/19 CC. monitor</t>
  </si>
  <si>
    <r>
      <t xml:space="preserve">Need to confirm extents of fouling. Twist 10 in section. 
In TRC planning spreadhseet to undercut between 2.100 - 2.300
</t>
    </r>
    <r>
      <rPr>
        <b/>
        <sz val="10"/>
        <color theme="1"/>
        <rFont val="Arial"/>
        <family val="2"/>
      </rPr>
      <t>Planned to undercut 1.800 - 2.150 on 04/03/19. Undercut 1.970 - 2.010 &amp; 2.180 - 2.200 on 24/11/18</t>
    </r>
  </si>
  <si>
    <t>From Engineering walking inspection JR &amp; CV.</t>
  </si>
  <si>
    <t>Not required - not fouled</t>
  </si>
  <si>
    <r>
      <t xml:space="preserve">Very rough - check
</t>
    </r>
    <r>
      <rPr>
        <b/>
        <sz val="10"/>
        <color theme="1"/>
        <rFont val="Arial"/>
        <family val="2"/>
      </rPr>
      <t>Planning to undercut 664B Points and 19.170 - 19.200 with excavator on 16/06/19</t>
    </r>
    <r>
      <rPr>
        <sz val="10"/>
        <color theme="1"/>
        <rFont val="Arial"/>
        <family val="2"/>
      </rPr>
      <t>. Works planned to be done on turnout. Don't undercut</t>
    </r>
  </si>
  <si>
    <t>turnouts x 3 #670D/C, #667A, #669A. Skip from 18.770 - 18.660 -clean</t>
  </si>
  <si>
    <t>In NMP for recon 2024. mudhole removed 22.508 - 22.521. turnout to platform 2 (loop)</t>
  </si>
  <si>
    <t>diamond, turnouts</t>
  </si>
  <si>
    <t>review of TRC - no longer required</t>
  </si>
  <si>
    <t>deteriorated between jan and oct 18</t>
  </si>
  <si>
    <t>fouled from 7.900 - 8.060 according to 2018  GPR</t>
  </si>
  <si>
    <t>appears to have been resurfaced recently (11/01/18 CC). Needs lowering for platform compliance, although not included in high level platform upgrade project. End of platform track is up to 100mm high</t>
  </si>
  <si>
    <t>check fouling levels</t>
  </si>
  <si>
    <t>deteriorated between jan and oct 18. priority increased from Loq 11/01/19 CC</t>
  </si>
  <si>
    <t>21/22</t>
  </si>
  <si>
    <t>Oxley platform</t>
  </si>
  <si>
    <t>check fouling. Not really required at this point monitor</t>
  </si>
  <si>
    <t>resurfaced. No longer required</t>
  </si>
  <si>
    <t>Darra Platform</t>
  </si>
  <si>
    <t xml:space="preserve">Wacol platform (after level crossing) and finish before TOS. </t>
  </si>
  <si>
    <t>up to bridge. Resurfaced Aug 18</t>
  </si>
  <si>
    <t>In NMP to recon in 20/21 from 33.136 - 33.400. Update NMP and undercutting programme as required</t>
  </si>
  <si>
    <t>Improved following resurf. No longer required. Monitor</t>
  </si>
  <si>
    <r>
      <t xml:space="preserve">rough track.  Bad top and line. </t>
    </r>
    <r>
      <rPr>
        <b/>
        <sz val="10"/>
        <color theme="1"/>
        <rFont val="Arial"/>
        <family val="2"/>
      </rPr>
      <t>Clean ballast from 35.780 - 35.810. track appears to be sitting high. Monitor straight. No longer required following updated GPR and TRC data. Monitor</t>
    </r>
  </si>
  <si>
    <t>video shows fresh ballast</t>
  </si>
  <si>
    <t>GPR says ballast is fairly clean? TRC is fine</t>
  </si>
  <si>
    <t>Geometry Condition, Field inspection, Track Lowering</t>
  </si>
  <si>
    <t>turnout is high with twist defects. If possible also do platform</t>
  </si>
  <si>
    <t>Twist / gauge due to bearers
Scheduled for recon between 10.579km - 10.944km 19/20 (NMP). Broken into sections for undercutting. Has been fixed 11/01/19 CC</t>
  </si>
  <si>
    <t>decreased priority following TRC data review</t>
  </si>
  <si>
    <t>No Longer required - Merv visited site and says ballast is clean. Resurfaced in Oct 18 but already rough (Jan 19). According to Nick's pivot table was last undercut in some sections in 2012. Keep an eye on this one</t>
  </si>
  <si>
    <r>
      <t xml:space="preserve">In NMP to undercut in 2016 (not complete) </t>
    </r>
    <r>
      <rPr>
        <b/>
        <sz val="10"/>
        <color theme="1"/>
        <rFont val="Arial"/>
        <family val="2"/>
      </rPr>
      <t>Joshi observed severe contamination and potential mudhole following Engineering walk</t>
    </r>
    <r>
      <rPr>
        <sz val="10"/>
        <color theme="1"/>
        <rFont val="Arial"/>
        <family val="2"/>
      </rPr>
      <t>. Twist 10 defect registered at 1.450km. Twist 3 also bad.</t>
    </r>
  </si>
  <si>
    <t>turnout #669A</t>
  </si>
  <si>
    <t>turnout getting upgraded to sekisuis in coming years</t>
  </si>
  <si>
    <t xml:space="preserve">resurfaced 7/10/15, 30/3/16, late 2017/early 2018. Include #667B and crossover in plan. Turnout 667 getting upgraded to concrete bearers in coming years which will require formation upgrades. </t>
  </si>
  <si>
    <t xml:space="preserve"> In NMP for Recon June 2021 through Park Road platform. From back of turnout onwards</t>
  </si>
  <si>
    <t>not required - level crossing is the culprit according to TRC data</t>
  </si>
  <si>
    <t>Richard Marschke reported mudhole in this area. TRC shows "too wet" and lost lock. No deterioration between Jan and October runs. Priority lowered from high. Monitor</t>
  </si>
  <si>
    <t>Mud hole removed - Bart Daniels</t>
  </si>
  <si>
    <t>turnout was removed at 3.900km. Extents updated following this and priority lowered</t>
  </si>
  <si>
    <t>Recurring resurf this area. Recon of bridge ends planned for 18/19. Rerail planned with 60kg rail from 12.045 - 12.366. Track is sitting high through platform and lowering is required prior to rerail (talk to Sam Korhonen for planning). Ideally would relay through here. hold off until further notice and update</t>
  </si>
  <si>
    <t>Recurring resurf this area. GPR cuts out a lot 2018</t>
  </si>
  <si>
    <t>Severely fouled ballast. Seems to be holding top at present. Monitor. No deterioration of geometry between Jan and Oct 18</t>
  </si>
  <si>
    <t>RJ and MC identified site. Improved from jan to oct 18</t>
  </si>
  <si>
    <t>In NMP to be undercut from 46.000 - 47.300 in 2019. holding top</t>
  </si>
  <si>
    <t xml:space="preserve"> identified as requiring undercutting during Engineering inspection walk report from A Chen. Deteriorated slightly between jand and oct 18</t>
  </si>
  <si>
    <t>priority lowered following TRC run in Oct 18</t>
  </si>
  <si>
    <t>Wooloowin station.  In prgramme for low platform upgrade priority lowered following oct 18 TRC run</t>
  </si>
  <si>
    <t>In NMP to undercut from 23.300 - 23.400. Recon done in 2015 just prio (23.320 - 23.350). This is a level crossing CC 15/01/19</t>
  </si>
  <si>
    <t>updated extents to match GPR data. Very low priority</t>
  </si>
  <si>
    <t>Narangba station, level xing</t>
  </si>
  <si>
    <t>severely fouled from 37.750km</t>
  </si>
  <si>
    <t>bridge</t>
  </si>
  <si>
    <t>Planned to undercut full extends with excavato on 3/02/19. Fouling limited to extents CC 24/09/18. priority lowered following review of October TRC data</t>
  </si>
  <si>
    <t>Wooloowin station was reconned up to 6.750</t>
  </si>
  <si>
    <t>Eagle Junction, turnouts</t>
  </si>
  <si>
    <t>bridges</t>
  </si>
  <si>
    <t>Eagle Junction Station</t>
  </si>
  <si>
    <t>Not really feasible to undercut due to cutting</t>
  </si>
  <si>
    <t>priority lowered following TRC review - Oct 18</t>
  </si>
  <si>
    <t>Deteriorations in top between TRC runs. priority lowered following oct 18 review of TRC data</t>
  </si>
  <si>
    <t>In NMP to undercut in 2016 (not complete). Updated extents following GPR review (was 0.300 - 0.700). From frontage of #610B</t>
  </si>
  <si>
    <t>Need to check fouling levels. Pumping sleepers according to Oct 18 TRC run. Recon planned from 19.052 - 19.200. Site visit = not required</t>
  </si>
  <si>
    <t>Deteriorating. Site visit - not required (NH)</t>
  </si>
  <si>
    <t>In NMP to recondition 40.170 - 40.340 in 20/21. update extents of undercutting if required. Turnout to be relayed.. Not required</t>
  </si>
  <si>
    <t>resurfaced 27/11/17. Site visit - not require NH 16/01/19</t>
  </si>
  <si>
    <t xml:space="preserve">Do together with 18.500  - 18.605 if possible. </t>
  </si>
  <si>
    <t>Low speed track at Caboolture.. Don't prioritise for undercutting</t>
  </si>
  <si>
    <t>From Niel Doran - confirm with new GPR data. Not required following review of latest TRC data (Oct 18). Monitor</t>
  </si>
  <si>
    <t>extents have been reduced from 68.550 - 68.800 due to previous undercutting works. Maybe do together with previous site. Deteriorated between Jan and Oct 18</t>
  </si>
  <si>
    <t>level crossing (end)</t>
  </si>
  <si>
    <t>slightly fouled with some degradation. Geometry is reasonably good. In cutting. Very low priority</t>
  </si>
  <si>
    <t>GPR shows clean. Site inspection discovered very fouled shoulder and patches of fouling. And rounded ballast Multiple resurfaces from 73.500 - 74.000. If 900m section required, combine with 73.800 - 74.000. deteriorated between Jan and Oct 18</t>
  </si>
  <si>
    <t>drainage improvements required.. Cutting</t>
  </si>
  <si>
    <t>Confirm track heights - appears as though lots of ballast below track. Fouled through turnout with clay hole in frontage deteriorated significantly from Jan to Oct 18. check if fouling continues to 110.600. increased priority CC 16/01/19</t>
  </si>
  <si>
    <t>recently resurfaced. Keep in plan.. Later years</t>
  </si>
  <si>
    <t>up to 147.250 completed during SCAS in June 2018. Remaining section. Recently resurfaced - priority lowered 16/01/19 CC</t>
  </si>
  <si>
    <r>
      <t xml:space="preserve">Cess requires reprofiling. </t>
    </r>
    <r>
      <rPr>
        <b/>
        <sz val="10"/>
        <color theme="1"/>
        <rFont val="Arial"/>
        <family val="2"/>
      </rPr>
      <t>Cable troughing</t>
    </r>
    <r>
      <rPr>
        <sz val="10"/>
        <color theme="1"/>
        <rFont val="Arial"/>
        <family val="2"/>
      </rPr>
      <t>. Deteriorated since June run (Oct 18)</t>
    </r>
  </si>
  <si>
    <t>deterioration from Jan to Oct 18</t>
  </si>
  <si>
    <t>Deteriorated significantly from Jan 18 to Oct 18. increased priority 17/01/19 CC</t>
  </si>
  <si>
    <t>Boondal Station</t>
  </si>
  <si>
    <t>Turnout #326A</t>
  </si>
  <si>
    <t>from level crossing to platform (through turnout)</t>
  </si>
  <si>
    <t>In NMP to undercut from 2.100 - 2.500 in 2017 (not complete). Severely fouled from 2.100 - 2.190 according to 2018 GPR</t>
  </si>
  <si>
    <t>Very bad line and twist. Formation issue. Ballast okay. NH</t>
  </si>
  <si>
    <t>Formation issue. Ballast okay NH</t>
  </si>
  <si>
    <t>Confirmed extents on Engineering walk AS 23/01/19</t>
  </si>
  <si>
    <t xml:space="preserve">Joshi and Joe Dwyer - Contaminated ballast with sections starting to pump. Ground needs to be lowered to subgrade level and reinstate cess earth drainage. Undercut and drainage profile. </t>
  </si>
  <si>
    <t>Field Inspection</t>
  </si>
  <si>
    <t>Joshi and Joe Dwyer - Top issue by the UTX and ballast contaminated</t>
  </si>
  <si>
    <r>
      <t xml:space="preserve">GPR shows shallow FDL depth. Was resurfaced 25/02/16. </t>
    </r>
    <r>
      <rPr>
        <b/>
        <sz val="10"/>
        <color rgb="FFFF0000"/>
        <rFont val="Arial"/>
        <family val="2"/>
      </rPr>
      <t>Planned for 14/07/18. Undercutting missed Deagon platform 8.480 - 8.670)</t>
    </r>
    <r>
      <rPr>
        <sz val="10"/>
        <color theme="1"/>
        <rFont val="Arial"/>
        <family val="2"/>
      </rPr>
      <t>. Geometry has improved. Will be relayed</t>
    </r>
  </si>
  <si>
    <t>fouled</t>
  </si>
  <si>
    <t>Joshi and Jow Dwyer - Ballast contaminated to arrange undercutting. Cess needs to be reprofiled for drainage runoff. Profile damaged due to natural erosion or heavy vehicle wheel mark. Skip Bridge 8m approach to bridge end as formation capping has been done.</t>
  </si>
  <si>
    <t>Joshi and Joe Dwyer - Inbetween the two bridges. Skip Bridge 8m approach to bridge end as formation capping has been done.</t>
  </si>
  <si>
    <t xml:space="preserve">Joshi and Joe Dwyer - Contaminated ballast </t>
  </si>
  <si>
    <t>High</t>
  </si>
  <si>
    <t>Confirmed by Joshi and Joe Dwyer</t>
  </si>
  <si>
    <t>Joshi and Joe Dwyer</t>
  </si>
  <si>
    <t>Keperra Platform</t>
  </si>
  <si>
    <t>Platform, turnout</t>
  </si>
  <si>
    <t>GPR cuts out a lot 2018</t>
  </si>
  <si>
    <t>N/a</t>
  </si>
  <si>
    <t>In between splay set at Ascot - Joshi and Joe Dwyer</t>
  </si>
  <si>
    <t>NO</t>
  </si>
  <si>
    <t>Planned to undercut from 24.300 - 25.000 on 17/03/19
In NMP to recon from 24.960 - 25.162. Update NMP following undercut if required
Extents Updated to include platform following site inspection. Worst section is the 50m or so off end of platform - mudhole which is causing a twist 10 defect (see photo in link) 25/06/2018 CC</t>
  </si>
  <si>
    <r>
      <rPr>
        <sz val="10"/>
        <color theme="1"/>
        <rFont val="Arial"/>
        <family val="2"/>
      </rPr>
      <t xml:space="preserve">Very fouled ballast. </t>
    </r>
    <r>
      <rPr>
        <sz val="10"/>
        <color theme="1"/>
        <rFont val="Arial"/>
        <family val="2"/>
      </rPr>
      <t>Planned to undercut 34.900 - 35.500 on 30/06/19</t>
    </r>
  </si>
  <si>
    <r>
      <rPr>
        <sz val="10"/>
        <color theme="1"/>
        <rFont val="Arial"/>
        <family val="2"/>
      </rPr>
      <t>Planned to undercut full extents on 18/05/19</t>
    </r>
    <r>
      <rPr>
        <sz val="10"/>
        <color theme="1"/>
        <rFont val="Arial"/>
        <family val="2"/>
      </rPr>
      <t>. Extents could be increased - all the same. Priority decreased to LOW - NH, AF 6/8/18</t>
    </r>
  </si>
  <si>
    <r>
      <rPr>
        <sz val="10"/>
        <color theme="1"/>
        <rFont val="Arial"/>
        <family val="2"/>
      </rPr>
      <t xml:space="preserve">Planned to undercut full extents with 14T on 13/01/19. </t>
    </r>
    <r>
      <rPr>
        <sz val="10"/>
        <color theme="1"/>
        <rFont val="Arial"/>
        <family val="2"/>
      </rPr>
      <t>Not fouled 06/08/18 CC</t>
    </r>
  </si>
  <si>
    <t>Check heights - appears as if there its lots of ballast below track. Localised mudholes throughout with b grade ballast between. Also, pipe under access road at 139.205 should be checked. Location of mudhole coincides with pipe - may be blocked/broken. Mudholes appear to have been rectified. remove from plan. 16/01/19 CC</t>
  </si>
  <si>
    <t>Joshi and Joe. End of Nudgee Rd Recon to T/out #2</t>
  </si>
  <si>
    <t>Joshi &amp; Joe - B Grade Ballast (Platform 1). Fouling levels vary according to GPR</t>
  </si>
  <si>
    <t>Joshi &amp; Joe - B Grade Ballast (Platform 2). Fouling levels vary according to GPR</t>
  </si>
  <si>
    <t>Not feasible with uncercutter</t>
  </si>
  <si>
    <t>was in NMP for turnout replacement #269A. No date specified</t>
  </si>
  <si>
    <t>Drainage required - LW</t>
  </si>
  <si>
    <t>In TRC planning spreadhseet to be resurfaced. Was identified In GM walk as contaminated with pumping sleepers. Confirm fouling extents - gpr says clean but fouling sleepers are evident in video
"Mtce crossing being done 16-02-19 and whole cuve resurfaced .Ballast clean should be ok then Has had minimal resurfacing" - LW</t>
  </si>
  <si>
    <t>Very bad T&amp;L. Exclude turnouts Drainage required Need scupper holes under cable troughing 11.400 to 11.500km - LW</t>
  </si>
  <si>
    <t>severely fouled from 30.550 onwards in 2015 GPR. Check on site. Deteriorated between Jan and Oct 18 runs. Some drainage required - LW</t>
  </si>
  <si>
    <t>U/C from 37.270 - 37.300 31/8/14. In NMP for turnout upgrade and formation repairs from 37.201km - 37.321km in June 2020. Include turnout if done before turnout upgrade - LW</t>
  </si>
  <si>
    <t>deterioration between jan and oct 18 - Extend to 41.050km - LW</t>
  </si>
  <si>
    <t>recently resurfaced. Checked by LW</t>
  </si>
  <si>
    <t>Do 49.800 to 49.890 (bridge 49.880 to 50.000-recent recondition) Do 50.150 to 50.300km</t>
  </si>
  <si>
    <t>deterioated significantly since jan (Oct 18). Exclude turnouts (recent reconditions which I thought included drainage Upul Ginige) A couple of follow up tamps may fix. - LW</t>
  </si>
  <si>
    <t>Eng walk - CC</t>
  </si>
  <si>
    <t>Eagle junction station. Deteriorated between Jan and Oct 18. resurfaced and awaiting feb run. Opex doing resleeper up to platform</t>
  </si>
  <si>
    <t>from eng walk - AS</t>
  </si>
  <si>
    <t>from eng walk - AS. High priotrity based on fouling levels - low priority based on track geometry</t>
  </si>
  <si>
    <t>eng walk - AS. Poorly graded ballast</t>
  </si>
  <si>
    <t>eng walk - AS. Foul / Poorly graded ballast. High priority based on fouling levels, low based on track geometry</t>
  </si>
  <si>
    <t>eng walk - AS</t>
  </si>
  <si>
    <t>awatiting Nev's comments - recon required</t>
  </si>
  <si>
    <t xml:space="preserve">Needs a recon - not until 2022. </t>
  </si>
  <si>
    <t>severely fouled in areas. Very bad top. Needs recon - Nev</t>
  </si>
  <si>
    <t>Rapid deterioration of geometry. GPR says clean from 46.760 - 46.840.. Check. Not required - Nev</t>
  </si>
  <si>
    <t>deteriorated between jan and oct 18. Resurface. Keep an eye on it</t>
  </si>
  <si>
    <t>Top deteriorated slightly from Jan to Oct 18. Skip turnout</t>
  </si>
  <si>
    <t>check if fouling continues to 27.000. If so, extend limits (skip 26.600 - 26.700. Done)</t>
  </si>
  <si>
    <t>between turnouts. Peter Hall says ongoing problems in area</t>
  </si>
  <si>
    <t>In NMP to be reconditioned though Ipswich Station (37.664 - 37.900) in 21/22. Can continue to 38.414km if longer section required - fouled but holding top</t>
  </si>
  <si>
    <t>Needs drainage between tracks</t>
  </si>
  <si>
    <t>turnouts were reconned and across oxley road bridge was done too. Not required</t>
  </si>
  <si>
    <t>up to bridge. Not required - NH</t>
  </si>
  <si>
    <t>Moderately clean</t>
  </si>
  <si>
    <t>From Neil Doran. Lou confirming what is the cause of roughness - formation or ballast</t>
  </si>
  <si>
    <t>field inspection</t>
  </si>
  <si>
    <t>From Neil Doran and Richard Marschke. Confirm</t>
  </si>
  <si>
    <t>confirmed by Neil doran</t>
  </si>
  <si>
    <t>From Andy Chen - high priority - severe pumping</t>
  </si>
  <si>
    <r>
      <t xml:space="preserve">Drainage improvements required from 3.780 - Bridge. Excavate Cess drain at toe of ballast. Poorly graded ballast. </t>
    </r>
    <r>
      <rPr>
        <b/>
        <sz val="10"/>
        <color theme="1"/>
        <rFont val="Arial"/>
        <family val="2"/>
      </rPr>
      <t>Priority decreased following TRC data review</t>
    </r>
    <r>
      <rPr>
        <sz val="10"/>
        <color theme="1"/>
        <rFont val="Arial"/>
        <family val="2"/>
      </rPr>
      <t>. Vegetation growing. AF 11/02/19</t>
    </r>
  </si>
  <si>
    <t>Extents increased from 28.650 - 28.750 following TRC data review. Priority increased from medium (CC 04/01/19). Not required</t>
  </si>
  <si>
    <t>In NMP to undercut in 2016 (not complete)
In NMP to recon from 0.479 - 0.582 in 20/21. Update NMP / undercutting programme as required. Full of coal dust - vaccuum not undercut</t>
  </si>
  <si>
    <t>New turnouts - not required NH</t>
  </si>
  <si>
    <t>CHECK</t>
  </si>
  <si>
    <t>Planned to undercut 11.340 - 11.900 on 19/05/19. Fouled in parts with worst being 11.350 - 11.436. Drainage works required. Embankment has been poisoned caused erosion into drain. Postponed to 19/20 due to change in priorities/ 11.300 - 11.900 planned</t>
  </si>
  <si>
    <r>
      <t xml:space="preserve">Extents of Uncercutting reduced from 43.050 due to recon planned from 43.105 - 43.298 in 19/20. Once recon is complete check and change extents if required. </t>
    </r>
    <r>
      <rPr>
        <b/>
        <sz val="10"/>
        <color theme="1"/>
        <rFont val="Arial"/>
        <family val="2"/>
      </rPr>
      <t>High priority from 43.300 - 43.650. Med/low from 43.650 - 43.750. planned to undercut 43.300 - 44.100 13/10/19</t>
    </r>
  </si>
  <si>
    <t>Added by AS (260219).  Track has been lifted multiple times due to ongoing top and line issues and is now sitting approx 200mm high in sections (ongoing TSR site in summer). Proposed to undercut curve and monitor for movement.  Tentatively added 200m formation improvement in NMP for 23/24.  Test holes to be dug Fri 1/03/19 to check ballast depths to ensure track can be lowered as planned.  ND to program into Aug 19 SCAS.</t>
  </si>
  <si>
    <t>Grass in track
Planned to excavate 8.900 - 9.500 with MMY17 on 9/02/18. done 8.900 - 9.200, 9.430 - 9.560</t>
  </si>
  <si>
    <t>Track misalignment</t>
  </si>
  <si>
    <r>
      <t xml:space="preserve">Recurring resurf through T/Os.
In NMP as turnout replacements for #724B and #725A. No date specified
</t>
    </r>
    <r>
      <rPr>
        <b/>
        <sz val="10"/>
        <color theme="1"/>
        <rFont val="Arial"/>
        <family val="2"/>
      </rPr>
      <t>Back of Diamond Shorncliffe end needs horizontal top improvement Cable troughing both sides. Through 722 points planned for 31/05/2020</t>
    </r>
  </si>
  <si>
    <t>mud holes present. Undercutting 21.550 - 21.750 on 19/01/20, 21.750 - 22.260 on 17/01/21</t>
  </si>
  <si>
    <r>
      <t xml:space="preserve">In NMP to be reconditioned from 19.100 - 19.200 in conjunction with rerail in 21/22. Following undercutting update / remove from NMP if required. </t>
    </r>
    <r>
      <rPr>
        <b/>
        <sz val="10"/>
        <color theme="1"/>
        <rFont val="Arial"/>
        <family val="2"/>
      </rPr>
      <t>Platform in good condition. Decrease priority to Low - NH, AF 06/08/18</t>
    </r>
    <r>
      <rPr>
        <sz val="10"/>
        <color theme="1"/>
        <rFont val="Arial"/>
        <family val="2"/>
      </rPr>
      <t>.
09/05/19 Geometry deteriorated significantly between runs. Engineering walk reported mudholes through area (CV &amp; RJ) 21/05/19</t>
    </r>
  </si>
  <si>
    <t>Riverview Platform, bridge</t>
  </si>
  <si>
    <t>Engineering inspection - CV &amp; RJ - "Intermittent pockets of pumping ballast. Low Priority"</t>
  </si>
  <si>
    <t>Cancelled due to machine break down</t>
  </si>
  <si>
    <t>Severely fouled. Mud holes forming - mud from 8.720 - 8.790 (08/10/18 CC). Mud hole removal completed by RJ</t>
  </si>
  <si>
    <t>In NMP to undercut from 8.880 - 9.000 in 2017 (not complete). Bart - lift and pack. Requested undercutting</t>
  </si>
  <si>
    <t>10.000 - 10.100 reported as severely fouled by C. Valente on engineering walk 22.06.19. Priority upgraded from Low to Medium</t>
  </si>
  <si>
    <t>fouled from 1.51 - 1.86 according to 2018 GPR. TSR in place 17/01/19. Resurfaced 16/02/19. June TRC run shows huge improvement. Monitor for formation failure following undercutting 04/07/19 CC</t>
  </si>
  <si>
    <t>Section</t>
  </si>
  <si>
    <t>Planned Start km</t>
  </si>
  <si>
    <t>Planned End km</t>
  </si>
  <si>
    <t>Date Planned</t>
  </si>
  <si>
    <t>Actual Start km</t>
  </si>
  <si>
    <t>Actual End km</t>
  </si>
  <si>
    <t>Audit Complete?</t>
  </si>
  <si>
    <t xml:space="preserve">Western </t>
  </si>
  <si>
    <t>NCL</t>
  </si>
  <si>
    <t xml:space="preserve">Gold Coast </t>
  </si>
  <si>
    <t>Planned length (m)</t>
  </si>
  <si>
    <t>Actual length (m)</t>
  </si>
  <si>
    <t>Skip 4.900 - 5.600</t>
  </si>
  <si>
    <t>Skip 38.400 - 38.500</t>
  </si>
  <si>
    <t>Skip 9.000 - 9.560</t>
  </si>
  <si>
    <t>Skip 4.500 - 5.050</t>
  </si>
  <si>
    <t>From culvert. Very very fouled. Mud holes forming (see linked photo). Currently holding top but risk of rain event causing track to deteriorate rapidly. Rerail planned for December 2018, planned to undercut 4.480 - 5.150. Capital</t>
  </si>
  <si>
    <t>Worst patch 19.380 - 19.440. Identified as hih priotrity by AF, OC and NH</t>
  </si>
  <si>
    <t xml:space="preserve"> SPLIT IN 2 Extents increased following Engineering walk report from A Chen (16/07/18). Suspected mudhole in GIJ between 41.340 - 41.360. Planed to undercut 41.000 - 41.450 25/08/19 &amp; 41.450 - 42.100 on 05/04/2020</t>
  </si>
  <si>
    <t>SPLIT IN 2  Extents increased following Engineering walk report from A Chen (16/07/18). Suspected mudhole in GIJ between 41.340 - 41.360. Planed to undercut 41.000 - 41.450 25/08/19 &amp; 41.450 - 42.100 on 05/04/2020</t>
  </si>
  <si>
    <t>Skip 21.300 - 21.550</t>
  </si>
  <si>
    <t>Combined with above following engineering inspection 11/07/19</t>
  </si>
  <si>
    <t>Bad mud hole @ 21.000. Priority upgraded from Medium following site validation. Extents increased from 21.000 - 21.150 (06/08/18 NH, AF)  Recently resurfaced 09/01/19 CC. Combined with below following engineering inspection 11/07/19</t>
  </si>
  <si>
    <t>Down for rerail and curve is offline - LW. No longer respacing sleepers - rerailing with 50kg and relaying through platform. Review requirement for undercut following works</t>
  </si>
  <si>
    <t>TMC &amp; TOC &amp; Superintendant request</t>
  </si>
  <si>
    <r>
      <t xml:space="preserve">fouling levels vary
Richard Marschke reported mudhole in this area. TRC shows loss of top at location of mudhole. Resurfaced 02/08/2017 (3.000 - 3.110)
</t>
    </r>
    <r>
      <rPr>
        <b/>
        <sz val="10"/>
        <color theme="1"/>
        <rFont val="Arial"/>
        <family val="2"/>
      </rPr>
      <t>RM to confirm on site whether it should remain in plan. Track slews required. DX organsing tfor slews during xmas 2019 closure - NH 15/07/19</t>
    </r>
  </si>
  <si>
    <r>
      <t xml:space="preserve">Improved significantly Jan 19. </t>
    </r>
    <r>
      <rPr>
        <b/>
        <sz val="10"/>
        <color rgb="FF000000"/>
        <rFont val="Arial"/>
        <family val="2"/>
      </rPr>
      <t>Extend from 2.420 to 2.470 NH (up to bridge) 15/07/19</t>
    </r>
  </si>
  <si>
    <t>Checkeed on site by NH 15/07/19. Med priority</t>
  </si>
  <si>
    <t>checked on site by NH 15/07/19. Low Priority</t>
  </si>
  <si>
    <t>Planned to undercut extents with Hi-Rail on 3/3/19. Mud hole being removed November 2019</t>
  </si>
  <si>
    <t>Woodridge station</t>
  </si>
  <si>
    <t>Deterioration in TRC from Oct 18 - Jun 19</t>
  </si>
  <si>
    <t>No PVC here - check on site. Geometry deterioated rapildy</t>
  </si>
  <si>
    <t>Runcorn Station</t>
  </si>
  <si>
    <t>Geometry deteriorated from Oct 18 - JUN 19 cc 17/07/19</t>
  </si>
  <si>
    <t>38.370 to 38.480km is done - LW. Site  visit confirmed ballast is clean athrough the cutting. Lou suspects rail memory is causing top issues. Resurfaced prior to site visit. Monitor surrounding area for deterioration. Consider rmoving from 19/20 plan. when undercutting, confirm track heighrs as ballast is deep particularly over the culvert at 38.190 - 38.225. may need to install ballast retaining structure at culvert. CC 22/07/19</t>
  </si>
  <si>
    <t>48.700 to 49.150km is done - LW. Currently holding top CC. Lower priority and monitor 22/07/19</t>
  </si>
  <si>
    <t>Drainage required Cable troughing - LW. TRC deteriorated from Jan to July 19 CC 22/07/19</t>
  </si>
  <si>
    <t>Old maintanance crossing here. 10.750 - 10.776 only area of fouling</t>
  </si>
  <si>
    <t>Track geometry deteriorated from June to October 2018. Monitor. NH - looks like its done 25/07/19</t>
  </si>
  <si>
    <t>In NMP to undercut in 2016 (not complete). Resurfaced July 18. Priority from 1.400 - 1.600. tunrout is getting undercut as part of works in May closure - update. NH 1.553 - 1.600 looks done 25/7/19</t>
  </si>
  <si>
    <t>NH - clean. Not required. 25/7/19</t>
  </si>
  <si>
    <r>
      <t xml:space="preserve">Worst section between 15.400 - 15.650 but included entire curve. Cant quite rough, Patches of Severely fouled and moderately clean according to 2018 GPR. Check on site. </t>
    </r>
    <r>
      <rPr>
        <b/>
        <sz val="10"/>
        <color theme="1"/>
        <rFont val="Arial"/>
        <family val="2"/>
      </rPr>
      <t xml:space="preserve">Geometry is good now CC 17/07/19. </t>
    </r>
    <r>
      <rPr>
        <sz val="10"/>
        <color theme="1"/>
        <rFont val="Arial"/>
        <family val="2"/>
      </rPr>
      <t>NH ballast degraded but nothing urgent 25/7/19</t>
    </r>
  </si>
  <si>
    <t>turnouts are on steel. Don't undercut LW 25/7/19</t>
  </si>
  <si>
    <t>Appears as though it is mostly due to culvert. LW - checked 25/07/19</t>
  </si>
  <si>
    <t>planned to do from 44.850 - 44.860. LW checked - low priority 25/7/19</t>
  </si>
  <si>
    <t>RJ - severely fouled but holding top from Engineering Inspection 05/08/19</t>
  </si>
  <si>
    <t>Planned to undercut 13.030 - 14.000 on 16/06/19. skipped 13.730 - 13.820</t>
  </si>
  <si>
    <t>deteriorated slightly from Jan to Oct 18. Validated on Engineering walk by AS - rounded ballast and pumping track. Confirming whether undercut should extend back further to 1.200/1.300km as requested by JF CC 05/08/19</t>
  </si>
  <si>
    <t>In NMP to undercut in 2016 (not complete). Priority upgraded to high following Oct 18 TRC review. Severely fouled in places according to 2018 GPR. Engineering walk AS - fouled from 3.320 - 3.330 3.395 - 3.500 23/01/19. Services currently running down 6ft. Can't complete with MMY17 due to this. CC 05/08/19</t>
  </si>
  <si>
    <t>recently resurfaced.. Geometry now in good condition. Monitor. Eng walk - 14.600 - 14.670 AS. New turnout has new ballast - a lot of maintenance undercutting has been done. Don’t do this NH 07/08/19 only a small amount</t>
  </si>
  <si>
    <t>17.950 - 18.030 done. Holding top. Low priority NH 07/08/19</t>
  </si>
  <si>
    <r>
      <t xml:space="preserve">In NMP to recon 19/20 from 8.669 - 8.848. Check extents completed and adjust extents accordingly if requirement for undercutting remains. </t>
    </r>
    <r>
      <rPr>
        <b/>
        <sz val="10"/>
        <color rgb="FFFF0000"/>
        <rFont val="Arial"/>
        <family val="2"/>
      </rPr>
      <t>UPDATE: not getting reconditioned. Now high priority for undercut. Must be done as part of 19/20 programme. Update extents following u/cut adjacent.  Cancelled due to CRR impacts CC 9/8/19</t>
    </r>
  </si>
  <si>
    <r>
      <t xml:space="preserve">Planned to undercut 605B, 604A &amp; 603B Points on 17/03/19.  Cancelled due to CRR impacts CC 9/8/19
</t>
    </r>
    <r>
      <rPr>
        <sz val="10"/>
        <color theme="1"/>
        <rFont val="Arial"/>
        <family val="2"/>
      </rPr>
      <t xml:space="preserve">Requires undercutting from last long bearer of #605B to frontage area of #605A as well as turnout switch area of #603B. Has recently been resleepered with Sekisui bearers and should be undercut as a high priority (25/06/2018 CC). </t>
    </r>
    <r>
      <rPr>
        <b/>
        <sz val="10"/>
        <color theme="1"/>
        <rFont val="Arial"/>
        <family val="2"/>
      </rPr>
      <t>CANCELLED due to lack of resources</t>
    </r>
  </si>
  <si>
    <t>Impacted by CRR</t>
  </si>
  <si>
    <t>Severely fouled with sections of pumping sleepers. Drainage improvements required. Vegetation growing through ballast at platform. Mud hole is forming in platform (08/10/18 CC). In NMP for 19/20 relay. Relay cancelled. Undercut required CC 09/08/19</t>
  </si>
  <si>
    <t>Capital</t>
  </si>
  <si>
    <t>severely fouled in parts. Ben Phillips reports issues between 29.100 - 29.200. He has said it is a high priotity for him</t>
  </si>
  <si>
    <t>NH - track requires lowering to fix cant ramp and grade issues. extents may change following survey results.</t>
  </si>
  <si>
    <t>Dan Green to confirm extents and priority. May include tunrouts. Curve fouled and repeated resurf - DG 6/08/19. Continue to 22.900km - NH 28/8/19. do in winter please</t>
  </si>
  <si>
    <t>Line has deteriorated between Jan and Oct 18. TSR implemented 26/08/19. Extents increased to include entire TSR area. Need to check ballast on site CC 30/08/19. Priority increased to High</t>
  </si>
  <si>
    <r>
      <t xml:space="preserve">Planned to be undercut - full extents. This has been identified as a very high priority as it keeps losing top and is muddy. Drainage works required. R. Joshi recommends installation of subsoil drainage. </t>
    </r>
    <r>
      <rPr>
        <b/>
        <sz val="10"/>
        <color theme="1"/>
        <rFont val="Arial"/>
        <family val="2"/>
      </rPr>
      <t>Tentative due to lack of resources (cancelled 02/10/18) DG says very bad and def needs doing. curves tigh</t>
    </r>
    <r>
      <rPr>
        <sz val="10"/>
        <color theme="1"/>
        <rFont val="Arial"/>
        <family val="2"/>
      </rPr>
      <t>t track centres 9/09/19</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</si>
</sst>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quot;$&quot;* #,##0.00_-;_-&quot;$&quot;* &quot;-&quot;??_-;_-@_-"/>
    <numFmt numFmtId="43" formatCode="_-* #,##0.00_-;\-* #,##0.00_-;_-* &quot;-&quot;??_-;_-@_-"/>
    <numFmt numFmtId="164" formatCode="0.000"/>
    <numFmt numFmtId="165" formatCode="d/mm/yyyy;@"/>
    <numFmt numFmtId="166" formatCode="d/m/yyyy;@"/>
    <numFmt numFmtId="167" formatCode="_-* #,##0_-;\-* #,##0_-;_-* &quot;-&quot;??_-;_-@_-"/>
    <numFmt numFmtId="168" formatCode="0.0%"/>
    <numFmt numFmtId="169" formatCode="0%;\(0%\)"/>
    <numFmt numFmtId="170" formatCode="mmm"/>
  </numFmts>
  <fonts count="47" x14ac:knownFonts="1">
    <font>
      <sz val="10"/>
      <color theme="1"/>
      <name val="Arial"/>
      <family val="2"/>
    </font>
    <font>
      <b/>
      <sz val="10"/>
      <color theme="1"/>
      <name val="Arial"/>
      <family val="2"/>
    </font>
    <font>
      <b/>
      <sz val="18"/>
      <color theme="3"/>
      <name val="Cambria"/>
      <family val="2"/>
      <scheme val="major"/>
    </font>
    <font>
      <b/>
      <sz val="15"/>
      <color theme="3"/>
      <name val="Arial"/>
      <family val="2"/>
    </font>
    <font>
      <b/>
      <sz val="13"/>
      <color theme="3"/>
      <name val="Arial"/>
      <family val="2"/>
    </font>
    <font>
      <b/>
      <sz val="11"/>
      <color theme="3"/>
      <name val="Arial"/>
      <family val="2"/>
    </font>
    <font>
      <sz val="10"/>
      <color rgb="FF006100"/>
      <name val="Arial"/>
      <family val="2"/>
    </font>
    <font>
      <sz val="10"/>
      <color rgb="FF9C0006"/>
      <name val="Arial"/>
      <family val="2"/>
    </font>
    <font>
      <sz val="10"/>
      <color rgb="FF9C6500"/>
      <name val="Arial"/>
      <family val="2"/>
    </font>
    <font>
      <sz val="10"/>
      <color rgb="FF3F3F76"/>
      <name val="Arial"/>
      <family val="2"/>
    </font>
    <font>
      <b/>
      <sz val="10"/>
      <color rgb="FF3F3F3F"/>
      <name val="Arial"/>
      <family val="2"/>
    </font>
    <font>
      <b/>
      <sz val="10"/>
      <color rgb="FFFA7D00"/>
      <name val="Arial"/>
      <family val="2"/>
    </font>
    <font>
      <sz val="10"/>
      <color rgb="FFFA7D00"/>
      <name val="Arial"/>
      <family val="2"/>
    </font>
    <font>
      <b/>
      <sz val="10"/>
      <color theme="0"/>
      <name val="Arial"/>
      <family val="2"/>
    </font>
    <font>
      <sz val="10"/>
      <color rgb="FFFF0000"/>
      <name val="Arial"/>
      <family val="2"/>
    </font>
    <font>
      <i/>
      <sz val="10"/>
      <color rgb="FF7F7F7F"/>
      <name val="Arial"/>
      <family val="2"/>
    </font>
    <font>
      <sz val="10"/>
      <color theme="0"/>
      <name val="Arial"/>
      <family val="2"/>
    </font>
    <font>
      <b/>
      <sz val="20"/>
      <color theme="0"/>
      <name val="Arial"/>
      <family val="2"/>
    </font>
    <font>
      <sz val="10"/>
      <name val="Arial"/>
      <family val="2"/>
    </font>
    <font>
      <b/>
      <sz val="10"/>
      <name val="Arial"/>
      <family val="2"/>
    </font>
    <font>
      <u/>
      <sz val="10"/>
      <color theme="10"/>
      <name val="Arial"/>
      <family val="2"/>
    </font>
    <font>
      <sz val="10"/>
      <color theme="1"/>
      <name val="Arial"/>
      <family val="2"/>
    </font>
    <font>
      <sz val="10"/>
      <color theme="1"/>
      <name val="Arial"/>
      <family val="2"/>
    </font>
    <font>
      <sz val="10"/>
      <color theme="1"/>
      <name val="Arial"/>
      <family val="2"/>
    </font>
    <font>
      <b/>
      <sz val="10"/>
      <color rgb="FFFF0000"/>
      <name val="Arial"/>
      <family val="2"/>
    </font>
    <font>
      <b/>
      <sz val="14"/>
      <color theme="1"/>
      <name val="Arial"/>
      <family val="2"/>
    </font>
    <font>
      <sz val="10"/>
      <color theme="1"/>
      <name val="Arial"/>
      <family val="2"/>
    </font>
    <font>
      <b/>
      <sz val="10"/>
      <color rgb="FFC00000"/>
      <name val="Arial"/>
      <family val="2"/>
    </font>
    <font>
      <sz val="10"/>
      <color theme="1"/>
      <name val="Arial"/>
      <family val="2"/>
    </font>
    <font>
      <sz val="10"/>
      <color rgb="FFC00000"/>
      <name val="Arial"/>
      <family val="2"/>
    </font>
    <font>
      <b/>
      <sz val="11"/>
      <color theme="1"/>
      <name val="Calibri"/>
      <family val="2"/>
    </font>
    <font>
      <sz val="16"/>
      <color theme="5" tint="-0.249977111117893"/>
      <name val="Calibri"/>
      <family val="2"/>
      <scheme val="minor"/>
    </font>
    <font>
      <sz val="10"/>
      <color theme="5" tint="-0.249977111117893"/>
      <name val="Arial"/>
      <family val="2"/>
    </font>
    <font>
      <sz val="11"/>
      <color theme="1"/>
      <name val="Calibri"/>
      <family val="2"/>
      <scheme val="minor"/>
    </font>
    <font>
      <sz val="11"/>
      <color theme="1"/>
      <name val="Calibri"/>
      <family val="2"/>
      <charset val="238"/>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rgb="FF000000"/>
      <name val="Arial"/>
      <family val="2"/>
    </font>
    <font>
      <b/>
      <sz val="10"/>
      <color rgb="FF000000"/>
      <name val="Arial"/>
      <family val="2"/>
    </font>
    <font>
      <b/>
      <sz val="11"/>
      <color theme="1"/>
      <name val="Calibri"/>
      <family val="2"/>
      <scheme val="minor"/>
    </font>
    <font>
      <sz val="10"/>
      <color theme="1"/>
      <name val="Arial"/>
      <family val="2"/>
    </font>
    <font>
      <sz val="10"/>
      <color theme="1"/>
      <name val="Arial"/>
      <family val="2"/>
    </font>
  </fonts>
  <fills count="2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006600"/>
        <bgColor indexed="64"/>
      </patternFill>
    </fill>
    <fill>
      <patternFill patternType="solid">
        <fgColor theme="1"/>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00FF00"/>
        <bgColor indexed="64"/>
      </patternFill>
    </fill>
    <fill>
      <patternFill patternType="solid">
        <fgColor theme="6" tint="0.39997558519241921"/>
        <bgColor indexed="64"/>
      </patternFill>
    </fill>
    <fill>
      <patternFill patternType="solid">
        <fgColor rgb="FFFFFFCC"/>
      </patternFill>
    </fill>
    <fill>
      <patternFill patternType="solid">
        <fgColor theme="3" tint="0.79998168889431442"/>
        <bgColor indexed="64"/>
      </patternFill>
    </fill>
    <fill>
      <patternFill patternType="solid">
        <fgColor rgb="FFFFFF00"/>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bottom style="medium">
        <color indexed="64"/>
      </bottom>
      <diagonal/>
    </border>
    <border>
      <left style="medium">
        <color indexed="64"/>
      </left>
      <right style="medium">
        <color indexed="64"/>
      </right>
      <top/>
      <bottom/>
      <diagonal/>
    </border>
    <border>
      <left/>
      <right/>
      <top style="thin">
        <color indexed="64"/>
      </top>
      <bottom/>
      <diagonal/>
    </border>
    <border>
      <left style="medium">
        <color indexed="64"/>
      </left>
      <right/>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rgb="FFB2B2B2"/>
      </left>
      <right style="thin">
        <color rgb="FFB2B2B2"/>
      </right>
      <top style="thin">
        <color rgb="FFB2B2B2"/>
      </top>
      <bottom style="thin">
        <color rgb="FFB2B2B2"/>
      </bottom>
      <diagonal/>
    </border>
    <border>
      <left/>
      <right style="medium">
        <color indexed="64"/>
      </right>
      <top style="medium">
        <color indexed="64"/>
      </top>
      <bottom style="thin">
        <color indexed="64"/>
      </bottom>
      <diagonal/>
    </border>
    <border>
      <left style="thin">
        <color theme="1"/>
      </left>
      <right style="thin">
        <color indexed="64"/>
      </right>
      <top/>
      <bottom style="medium">
        <color indexed="64"/>
      </bottom>
      <diagonal/>
    </border>
  </borders>
  <cellStyleXfs count="49">
    <xf numFmtId="0" fontId="0" fillId="0" borderId="0"/>
    <xf numFmtId="0" fontId="2" fillId="0" borderId="0" applyNumberFormat="0" applyFill="0" applyBorder="0" applyAlignment="0" applyProtection="0"/>
    <xf numFmtId="0" fontId="3" fillId="0" borderId="12" applyNumberFormat="0" applyFill="0" applyAlignment="0" applyProtection="0"/>
    <xf numFmtId="0" fontId="4" fillId="0" borderId="13" applyNumberFormat="0" applyFill="0" applyAlignment="0" applyProtection="0"/>
    <xf numFmtId="0" fontId="5" fillId="0" borderId="14"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15" applyNumberFormat="0" applyAlignment="0" applyProtection="0"/>
    <xf numFmtId="0" fontId="10" fillId="6" borderId="16" applyNumberFormat="0" applyAlignment="0" applyProtection="0"/>
    <xf numFmtId="0" fontId="11" fillId="6" borderId="15" applyNumberFormat="0" applyAlignment="0" applyProtection="0"/>
    <xf numFmtId="0" fontId="12" fillId="0" borderId="17" applyNumberFormat="0" applyFill="0" applyAlignment="0" applyProtection="0"/>
    <xf numFmtId="0" fontId="13" fillId="7" borderId="18" applyNumberFormat="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 fillId="0" borderId="19" applyNumberFormat="0" applyFill="0" applyAlignment="0" applyProtection="0"/>
    <xf numFmtId="0" fontId="16" fillId="8"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18" fillId="0" borderId="0"/>
    <xf numFmtId="0" fontId="20" fillId="0" borderId="0" applyNumberFormat="0" applyFill="0" applyBorder="0" applyAlignment="0" applyProtection="0"/>
    <xf numFmtId="9" fontId="21" fillId="0" borderId="0" applyFont="0" applyFill="0" applyBorder="0" applyAlignment="0" applyProtection="0"/>
    <xf numFmtId="43" fontId="21" fillId="0" borderId="0" applyFont="0" applyFill="0" applyBorder="0" applyAlignment="0" applyProtection="0"/>
    <xf numFmtId="43" fontId="33" fillId="0" borderId="0" applyFont="0" applyFill="0" applyBorder="0" applyAlignment="0" applyProtection="0"/>
    <xf numFmtId="43" fontId="21" fillId="0" borderId="0" applyFont="0" applyFill="0" applyBorder="0" applyAlignment="0" applyProtection="0"/>
    <xf numFmtId="43" fontId="34" fillId="0" borderId="0" applyFont="0" applyFill="0" applyBorder="0" applyAlignment="0" applyProtection="0"/>
    <xf numFmtId="43" fontId="33" fillId="0" borderId="0" applyFont="0" applyFill="0" applyBorder="0" applyAlignment="0" applyProtection="0"/>
    <xf numFmtId="44" fontId="33" fillId="0" borderId="0" applyFont="0" applyFill="0" applyBorder="0" applyAlignment="0" applyProtection="0"/>
    <xf numFmtId="0" fontId="21" fillId="0" borderId="0"/>
    <xf numFmtId="0" fontId="33" fillId="0" borderId="0"/>
    <xf numFmtId="0" fontId="34" fillId="0" borderId="0"/>
    <xf numFmtId="0" fontId="33" fillId="0" borderId="0"/>
    <xf numFmtId="0" fontId="33" fillId="0" borderId="0"/>
    <xf numFmtId="0" fontId="33" fillId="0" borderId="0"/>
    <xf numFmtId="0" fontId="33" fillId="26" borderId="54" applyNumberFormat="0" applyFont="0" applyAlignment="0" applyProtection="0"/>
    <xf numFmtId="9" fontId="33" fillId="0" borderId="0" applyFont="0" applyFill="0" applyBorder="0" applyAlignment="0" applyProtection="0"/>
    <xf numFmtId="9" fontId="21" fillId="0" borderId="0" applyFont="0" applyFill="0" applyBorder="0" applyAlignment="0" applyProtection="0"/>
    <xf numFmtId="9" fontId="33" fillId="0" borderId="0" applyFont="0" applyFill="0" applyBorder="0" applyAlignment="0" applyProtection="0"/>
    <xf numFmtId="9" fontId="34" fillId="0" borderId="0" applyFont="0" applyFill="0" applyBorder="0" applyAlignment="0" applyProtection="0"/>
  </cellStyleXfs>
  <cellXfs count="501">
    <xf numFmtId="0" fontId="0" fillId="0" borderId="0" xfId="0"/>
    <xf numFmtId="0" fontId="0" fillId="0" borderId="0" xfId="0" applyFill="1"/>
    <xf numFmtId="0" fontId="0" fillId="0" borderId="1" xfId="0" applyFill="1" applyBorder="1"/>
    <xf numFmtId="0" fontId="0" fillId="0" borderId="0" xfId="0"/>
    <xf numFmtId="0" fontId="1" fillId="0" borderId="30" xfId="0" applyFont="1" applyBorder="1" applyAlignment="1">
      <alignment horizontal="center" vertical="center"/>
    </xf>
    <xf numFmtId="0" fontId="0" fillId="0" borderId="31" xfId="0" applyFill="1" applyBorder="1"/>
    <xf numFmtId="0" fontId="0" fillId="0" borderId="0" xfId="0" applyFill="1" applyBorder="1"/>
    <xf numFmtId="0" fontId="0" fillId="0" borderId="0" xfId="0" applyAlignment="1">
      <alignment horizontal="center" vertical="center"/>
    </xf>
    <xf numFmtId="0" fontId="0" fillId="0" borderId="0" xfId="0" applyFont="1"/>
    <xf numFmtId="0" fontId="0" fillId="0" borderId="22" xfId="0" applyFill="1" applyBorder="1"/>
    <xf numFmtId="0" fontId="0" fillId="0" borderId="21" xfId="0" applyFill="1" applyBorder="1"/>
    <xf numFmtId="0" fontId="0" fillId="0" borderId="0" xfId="0" applyFont="1" applyAlignment="1">
      <alignment horizontal="center" vertical="center"/>
    </xf>
    <xf numFmtId="0" fontId="1" fillId="0" borderId="38" xfId="0" applyFont="1" applyFill="1" applyBorder="1" applyAlignment="1">
      <alignment horizontal="center" vertical="center"/>
    </xf>
    <xf numFmtId="0" fontId="0" fillId="0" borderId="0" xfId="0" applyFont="1" applyAlignment="1">
      <alignment vertical="center"/>
    </xf>
    <xf numFmtId="0" fontId="0" fillId="0" borderId="0" xfId="0" applyFont="1" applyAlignment="1">
      <alignment vertical="center" wrapText="1"/>
    </xf>
    <xf numFmtId="165" fontId="0" fillId="0" borderId="0" xfId="0" applyNumberFormat="1" applyFont="1" applyAlignment="1">
      <alignment vertical="center"/>
    </xf>
    <xf numFmtId="0" fontId="18" fillId="0" borderId="34" xfId="0" applyFont="1" applyFill="1" applyBorder="1"/>
    <xf numFmtId="0" fontId="18" fillId="0" borderId="3" xfId="0" applyFont="1" applyFill="1" applyBorder="1"/>
    <xf numFmtId="0" fontId="18" fillId="0" borderId="35" xfId="0" applyFont="1" applyFill="1" applyBorder="1"/>
    <xf numFmtId="0" fontId="18" fillId="0" borderId="36" xfId="0" applyFont="1" applyFill="1" applyBorder="1"/>
    <xf numFmtId="0" fontId="18" fillId="0" borderId="4" xfId="0" applyFont="1" applyFill="1" applyBorder="1"/>
    <xf numFmtId="0" fontId="18" fillId="0" borderId="5" xfId="0" applyFont="1" applyFill="1" applyBorder="1"/>
    <xf numFmtId="0" fontId="18" fillId="0" borderId="8" xfId="0" applyFont="1" applyFill="1" applyBorder="1"/>
    <xf numFmtId="0" fontId="19" fillId="0" borderId="33" xfId="0" applyFont="1" applyFill="1" applyBorder="1" applyAlignment="1">
      <alignment horizontal="center" vertical="center"/>
    </xf>
    <xf numFmtId="0" fontId="18" fillId="0" borderId="9" xfId="0" applyFont="1" applyFill="1" applyBorder="1"/>
    <xf numFmtId="0" fontId="18" fillId="0" borderId="6" xfId="0" applyFont="1" applyFill="1" applyBorder="1"/>
    <xf numFmtId="0" fontId="18" fillId="0" borderId="0" xfId="0" applyFont="1" applyFill="1"/>
    <xf numFmtId="0" fontId="1" fillId="22" borderId="23" xfId="0" applyFont="1" applyFill="1" applyBorder="1" applyAlignment="1">
      <alignment horizontal="center" vertical="center" wrapText="1"/>
    </xf>
    <xf numFmtId="0" fontId="1" fillId="22" borderId="24" xfId="0" applyFont="1" applyFill="1" applyBorder="1" applyAlignment="1">
      <alignment horizontal="center" vertical="center" wrapText="1"/>
    </xf>
    <xf numFmtId="2" fontId="1" fillId="22" borderId="24" xfId="0" applyNumberFormat="1" applyFont="1" applyFill="1" applyBorder="1" applyAlignment="1">
      <alignment horizontal="center" vertical="center" wrapText="1"/>
    </xf>
    <xf numFmtId="165" fontId="1" fillId="22" borderId="24" xfId="0" applyNumberFormat="1" applyFont="1" applyFill="1" applyBorder="1" applyAlignment="1">
      <alignment horizontal="center" vertical="center" wrapText="1"/>
    </xf>
    <xf numFmtId="0" fontId="1" fillId="22" borderId="25" xfId="0" applyFont="1" applyFill="1" applyBorder="1" applyAlignment="1">
      <alignment horizontal="center" vertical="center" wrapText="1"/>
    </xf>
    <xf numFmtId="0" fontId="1" fillId="22" borderId="26" xfId="0" applyFont="1" applyFill="1" applyBorder="1" applyAlignment="1">
      <alignment horizontal="center" vertical="center" wrapText="1"/>
    </xf>
    <xf numFmtId="0" fontId="1" fillId="22" borderId="37" xfId="0" applyFont="1" applyFill="1" applyBorder="1" applyAlignment="1">
      <alignment horizontal="center" vertical="center" wrapText="1"/>
    </xf>
    <xf numFmtId="164" fontId="1" fillId="22" borderId="26" xfId="0" applyNumberFormat="1" applyFont="1" applyFill="1" applyBorder="1" applyAlignment="1">
      <alignment horizontal="center" vertical="center" wrapText="1"/>
    </xf>
    <xf numFmtId="164" fontId="0" fillId="0" borderId="0" xfId="0" applyNumberFormat="1" applyFont="1" applyAlignment="1">
      <alignment horizontal="center" vertical="center"/>
    </xf>
    <xf numFmtId="165" fontId="22" fillId="0" borderId="20" xfId="0" applyNumberFormat="1" applyFont="1" applyBorder="1" applyAlignment="1">
      <alignment vertical="center"/>
    </xf>
    <xf numFmtId="0" fontId="0" fillId="0" borderId="0" xfId="0" applyFont="1" applyFill="1"/>
    <xf numFmtId="165" fontId="0" fillId="0" borderId="0" xfId="0" applyNumberFormat="1" applyFont="1" applyBorder="1" applyAlignment="1">
      <alignment horizontal="center" vertical="center" wrapText="1"/>
    </xf>
    <xf numFmtId="0" fontId="23" fillId="0" borderId="22" xfId="0" applyFont="1" applyBorder="1" applyAlignment="1">
      <alignment horizontal="center" vertical="center"/>
    </xf>
    <xf numFmtId="165" fontId="23" fillId="0" borderId="20" xfId="0" applyNumberFormat="1" applyFont="1" applyBorder="1" applyAlignment="1">
      <alignment vertical="center"/>
    </xf>
    <xf numFmtId="0" fontId="23" fillId="0" borderId="11" xfId="0" applyFont="1" applyBorder="1" applyAlignment="1">
      <alignment horizontal="center" vertical="center"/>
    </xf>
    <xf numFmtId="166" fontId="0" fillId="0" borderId="2" xfId="0" applyNumberFormat="1" applyFont="1" applyBorder="1" applyAlignment="1">
      <alignment vertical="center"/>
    </xf>
    <xf numFmtId="164" fontId="0" fillId="0" borderId="1" xfId="0" applyNumberFormat="1" applyFont="1" applyFill="1" applyBorder="1" applyAlignment="1">
      <alignment vertical="center"/>
    </xf>
    <xf numFmtId="164" fontId="0" fillId="0" borderId="31" xfId="0" applyNumberFormat="1" applyFont="1" applyBorder="1" applyAlignment="1">
      <alignment vertical="center"/>
    </xf>
    <xf numFmtId="0" fontId="0" fillId="0" borderId="1" xfId="0" applyFont="1" applyBorder="1" applyAlignment="1">
      <alignment vertical="center" wrapText="1"/>
    </xf>
    <xf numFmtId="0" fontId="0" fillId="0" borderId="39" xfId="0" applyNumberFormat="1" applyFont="1" applyBorder="1" applyAlignment="1">
      <alignment horizontal="center" vertical="center" wrapText="1"/>
    </xf>
    <xf numFmtId="0" fontId="0" fillId="0" borderId="0" xfId="0" applyNumberFormat="1" applyFont="1" applyBorder="1" applyAlignment="1">
      <alignment horizontal="center" vertical="center" wrapText="1"/>
    </xf>
    <xf numFmtId="0" fontId="22" fillId="0" borderId="11" xfId="0" applyFont="1" applyBorder="1" applyAlignment="1">
      <alignment horizontal="center" vertical="center"/>
    </xf>
    <xf numFmtId="165" fontId="0" fillId="0" borderId="22" xfId="0" applyNumberFormat="1" applyFont="1" applyBorder="1" applyAlignment="1">
      <alignment horizontal="left" vertical="center" wrapText="1"/>
    </xf>
    <xf numFmtId="165" fontId="0" fillId="0" borderId="2" xfId="0" applyNumberFormat="1" applyFont="1" applyBorder="1" applyAlignment="1">
      <alignment vertical="center"/>
    </xf>
    <xf numFmtId="0" fontId="22" fillId="0" borderId="22" xfId="0" applyFont="1" applyBorder="1" applyAlignment="1">
      <alignment horizontal="center" vertical="center"/>
    </xf>
    <xf numFmtId="0" fontId="0" fillId="0" borderId="0" xfId="0"/>
    <xf numFmtId="164" fontId="0" fillId="0" borderId="2" xfId="0" applyNumberFormat="1" applyFont="1" applyBorder="1" applyAlignment="1">
      <alignment vertical="center"/>
    </xf>
    <xf numFmtId="0" fontId="0" fillId="0" borderId="2" xfId="0" applyFont="1" applyBorder="1" applyAlignment="1">
      <alignment vertical="center"/>
    </xf>
    <xf numFmtId="0" fontId="0" fillId="0" borderId="10" xfId="0" applyFont="1" applyBorder="1" applyAlignment="1">
      <alignment horizontal="center" vertical="center" wrapText="1"/>
    </xf>
    <xf numFmtId="0" fontId="0" fillId="0" borderId="0" xfId="0" applyFont="1"/>
    <xf numFmtId="0" fontId="0" fillId="0" borderId="1" xfId="0" applyFont="1" applyBorder="1" applyAlignment="1">
      <alignment horizontal="center" vertical="center"/>
    </xf>
    <xf numFmtId="0" fontId="0" fillId="0" borderId="11" xfId="0" applyFont="1" applyBorder="1" applyAlignment="1">
      <alignment vertical="center"/>
    </xf>
    <xf numFmtId="0" fontId="0" fillId="0" borderId="1" xfId="0" applyFont="1" applyBorder="1" applyAlignment="1">
      <alignment vertical="center"/>
    </xf>
    <xf numFmtId="164" fontId="0" fillId="0" borderId="1" xfId="0" applyNumberFormat="1" applyFont="1" applyBorder="1" applyAlignment="1">
      <alignment vertical="center"/>
    </xf>
    <xf numFmtId="0" fontId="0" fillId="0" borderId="1" xfId="0" applyFont="1" applyBorder="1" applyAlignment="1">
      <alignment horizontal="center" vertical="center" wrapText="1"/>
    </xf>
    <xf numFmtId="0" fontId="0" fillId="0" borderId="11" xfId="0" applyFont="1" applyBorder="1" applyAlignment="1">
      <alignment vertical="center" wrapText="1"/>
    </xf>
    <xf numFmtId="0" fontId="0" fillId="0" borderId="2" xfId="0" applyFont="1" applyBorder="1" applyAlignment="1">
      <alignment horizontal="center" vertical="center" wrapText="1"/>
    </xf>
    <xf numFmtId="165" fontId="0" fillId="0" borderId="10" xfId="0" applyNumberFormat="1" applyFont="1" applyBorder="1" applyAlignment="1">
      <alignment vertical="center"/>
    </xf>
    <xf numFmtId="0" fontId="0" fillId="0" borderId="10" xfId="0" applyFont="1" applyBorder="1" applyAlignment="1">
      <alignment horizontal="center" vertical="center"/>
    </xf>
    <xf numFmtId="0" fontId="0" fillId="0" borderId="11" xfId="0" applyFont="1" applyBorder="1" applyAlignment="1">
      <alignment horizontal="center" vertical="center"/>
    </xf>
    <xf numFmtId="0" fontId="0" fillId="0" borderId="22" xfId="0" applyFont="1" applyBorder="1" applyAlignment="1">
      <alignment vertical="center"/>
    </xf>
    <xf numFmtId="0" fontId="0" fillId="0" borderId="21" xfId="0" applyFont="1" applyBorder="1" applyAlignment="1">
      <alignment vertical="center"/>
    </xf>
    <xf numFmtId="14" fontId="0" fillId="0" borderId="2" xfId="0" applyNumberFormat="1" applyFont="1" applyBorder="1" applyAlignment="1">
      <alignment vertical="center"/>
    </xf>
    <xf numFmtId="14" fontId="0" fillId="0" borderId="11" xfId="0" applyNumberFormat="1" applyFont="1" applyFill="1" applyBorder="1"/>
    <xf numFmtId="165" fontId="0" fillId="0" borderId="20" xfId="0" applyNumberFormat="1" applyFont="1" applyBorder="1" applyAlignment="1">
      <alignment vertical="center"/>
    </xf>
    <xf numFmtId="14" fontId="0" fillId="0" borderId="32" xfId="0" applyNumberFormat="1" applyFont="1" applyFill="1" applyBorder="1"/>
    <xf numFmtId="0" fontId="0" fillId="0" borderId="27" xfId="0" applyFont="1" applyBorder="1" applyAlignment="1">
      <alignment vertical="center"/>
    </xf>
    <xf numFmtId="0" fontId="0" fillId="0" borderId="28" xfId="0" applyFont="1" applyBorder="1" applyAlignment="1">
      <alignment vertical="center"/>
    </xf>
    <xf numFmtId="164" fontId="0" fillId="0" borderId="28" xfId="0" applyNumberFormat="1" applyFont="1" applyBorder="1" applyAlignment="1">
      <alignment vertical="center"/>
    </xf>
    <xf numFmtId="0" fontId="0" fillId="0" borderId="28" xfId="0" applyFont="1" applyBorder="1" applyAlignment="1">
      <alignment horizontal="center" vertical="center" wrapText="1"/>
    </xf>
    <xf numFmtId="0" fontId="0" fillId="0" borderId="11" xfId="0" applyFont="1" applyBorder="1" applyAlignment="1">
      <alignment horizontal="left" vertical="center" wrapText="1"/>
    </xf>
    <xf numFmtId="0" fontId="0" fillId="0" borderId="29" xfId="0" applyFont="1" applyBorder="1" applyAlignment="1">
      <alignment horizontal="left" vertical="center" wrapText="1"/>
    </xf>
    <xf numFmtId="0" fontId="0" fillId="0" borderId="21" xfId="0" applyFont="1" applyBorder="1" applyAlignment="1">
      <alignment horizontal="center" vertical="center"/>
    </xf>
    <xf numFmtId="0" fontId="0" fillId="0" borderId="22" xfId="0" applyFont="1" applyBorder="1" applyAlignment="1">
      <alignment horizontal="center" vertical="center"/>
    </xf>
    <xf numFmtId="0" fontId="0" fillId="0" borderId="27" xfId="0" applyFont="1" applyBorder="1" applyAlignment="1">
      <alignment horizontal="center" vertical="center"/>
    </xf>
    <xf numFmtId="14" fontId="0" fillId="0" borderId="39" xfId="0" applyNumberFormat="1" applyFont="1" applyFill="1" applyBorder="1"/>
    <xf numFmtId="0" fontId="0" fillId="0" borderId="39" xfId="0" applyFont="1" applyBorder="1" applyAlignment="1">
      <alignment vertical="center"/>
    </xf>
    <xf numFmtId="165" fontId="0" fillId="0" borderId="28" xfId="0" applyNumberFormat="1" applyFont="1" applyBorder="1" applyAlignment="1">
      <alignment vertical="center"/>
    </xf>
    <xf numFmtId="0" fontId="0" fillId="0" borderId="28" xfId="0" applyNumberFormat="1" applyFont="1" applyBorder="1" applyAlignment="1">
      <alignment vertical="center"/>
    </xf>
    <xf numFmtId="0" fontId="0" fillId="0" borderId="31" xfId="0" applyFont="1" applyBorder="1" applyAlignment="1">
      <alignment vertical="center"/>
    </xf>
    <xf numFmtId="164" fontId="0" fillId="0" borderId="28" xfId="0" applyNumberFormat="1" applyFont="1" applyBorder="1" applyAlignment="1">
      <alignment horizontal="center" vertical="center"/>
    </xf>
    <xf numFmtId="164" fontId="0" fillId="0" borderId="31" xfId="0" applyNumberFormat="1" applyFont="1" applyBorder="1" applyAlignment="1">
      <alignment vertical="center" wrapText="1"/>
    </xf>
    <xf numFmtId="0" fontId="0" fillId="0" borderId="28" xfId="0" applyFont="1" applyBorder="1" applyAlignment="1">
      <alignment horizontal="center" vertical="center"/>
    </xf>
    <xf numFmtId="0" fontId="0" fillId="0" borderId="20" xfId="0" applyFont="1" applyBorder="1" applyAlignment="1">
      <alignment horizontal="center" vertical="center" wrapText="1"/>
    </xf>
    <xf numFmtId="0" fontId="0" fillId="0" borderId="29" xfId="0" applyFont="1" applyBorder="1" applyAlignment="1">
      <alignment horizontal="center" vertical="center"/>
    </xf>
    <xf numFmtId="165" fontId="0" fillId="0" borderId="29" xfId="0" applyNumberFormat="1" applyFont="1" applyBorder="1" applyAlignment="1">
      <alignment horizontal="left" vertical="center" wrapText="1"/>
    </xf>
    <xf numFmtId="165" fontId="0" fillId="0" borderId="27" xfId="0" applyNumberFormat="1" applyFont="1" applyBorder="1" applyAlignment="1">
      <alignment horizontal="center" vertical="center"/>
    </xf>
    <xf numFmtId="164" fontId="0" fillId="0" borderId="10" xfId="0" applyNumberFormat="1" applyFont="1" applyFill="1" applyBorder="1" applyAlignment="1">
      <alignment horizontal="center" vertical="center"/>
    </xf>
    <xf numFmtId="164" fontId="0" fillId="0" borderId="11" xfId="0" applyNumberFormat="1" applyFont="1" applyFill="1" applyBorder="1" applyAlignment="1">
      <alignment horizontal="center" vertical="center"/>
    </xf>
    <xf numFmtId="164" fontId="0" fillId="0" borderId="22" xfId="0" applyNumberFormat="1" applyFont="1" applyFill="1" applyBorder="1" applyAlignment="1">
      <alignment horizontal="center" vertical="center"/>
    </xf>
    <xf numFmtId="164" fontId="0" fillId="0" borderId="27" xfId="0" applyNumberFormat="1" applyFont="1" applyFill="1" applyBorder="1" applyAlignment="1">
      <alignment horizontal="center" vertical="center"/>
    </xf>
    <xf numFmtId="0" fontId="0" fillId="0" borderId="32" xfId="0" applyFont="1" applyBorder="1" applyAlignment="1">
      <alignment vertical="center"/>
    </xf>
    <xf numFmtId="165" fontId="0" fillId="0" borderId="1" xfId="0" applyNumberFormat="1" applyFont="1" applyBorder="1" applyAlignment="1">
      <alignment vertical="center"/>
    </xf>
    <xf numFmtId="0" fontId="0" fillId="0" borderId="1" xfId="0" applyNumberFormat="1" applyFont="1" applyBorder="1" applyAlignment="1">
      <alignment vertical="center"/>
    </xf>
    <xf numFmtId="164" fontId="0" fillId="0" borderId="1" xfId="0" applyNumberFormat="1" applyFont="1" applyBorder="1" applyAlignment="1">
      <alignment horizontal="center" vertical="center"/>
    </xf>
    <xf numFmtId="164" fontId="0" fillId="0" borderId="2" xfId="0" applyNumberFormat="1" applyFont="1" applyBorder="1" applyAlignment="1">
      <alignment vertical="center" wrapText="1"/>
    </xf>
    <xf numFmtId="165" fontId="0" fillId="0" borderId="22" xfId="0" applyNumberFormat="1" applyFont="1" applyBorder="1" applyAlignment="1">
      <alignment horizontal="center" vertical="center"/>
    </xf>
    <xf numFmtId="0" fontId="0" fillId="0" borderId="2" xfId="0" applyNumberFormat="1" applyFont="1" applyBorder="1" applyAlignment="1">
      <alignment vertical="center"/>
    </xf>
    <xf numFmtId="0" fontId="0" fillId="0" borderId="29" xfId="0" applyFont="1" applyBorder="1" applyAlignment="1">
      <alignment vertical="center"/>
    </xf>
    <xf numFmtId="0" fontId="0" fillId="0" borderId="10" xfId="0" applyFont="1" applyFill="1" applyBorder="1" applyAlignment="1">
      <alignment horizontal="center" vertical="center" wrapText="1"/>
    </xf>
    <xf numFmtId="165" fontId="0" fillId="0" borderId="11" xfId="0" applyNumberFormat="1" applyFont="1" applyBorder="1" applyAlignment="1">
      <alignment horizontal="left" vertical="center" wrapText="1"/>
    </xf>
    <xf numFmtId="0" fontId="0" fillId="0" borderId="20" xfId="0" applyFont="1" applyFill="1" applyBorder="1" applyAlignment="1">
      <alignment horizontal="center" vertical="center" wrapText="1"/>
    </xf>
    <xf numFmtId="165" fontId="0" fillId="0" borderId="10" xfId="0" applyNumberFormat="1" applyFont="1" applyBorder="1" applyAlignment="1">
      <alignment horizontal="center" vertical="center"/>
    </xf>
    <xf numFmtId="0" fontId="0" fillId="0" borderId="27" xfId="0" applyFont="1" applyBorder="1" applyAlignment="1">
      <alignment horizontal="center" vertical="center" wrapText="1"/>
    </xf>
    <xf numFmtId="0" fontId="20" fillId="0" borderId="39" xfId="30" applyNumberFormat="1" applyBorder="1" applyAlignment="1">
      <alignment horizontal="center" vertical="center" wrapText="1"/>
    </xf>
    <xf numFmtId="0" fontId="0" fillId="0" borderId="39" xfId="30" applyNumberFormat="1" applyFont="1" applyBorder="1" applyAlignment="1">
      <alignment horizontal="center" vertical="center" wrapText="1"/>
    </xf>
    <xf numFmtId="0" fontId="0" fillId="0" borderId="0" xfId="30" applyNumberFormat="1" applyFont="1" applyBorder="1" applyAlignment="1">
      <alignment horizontal="center" vertical="center" wrapText="1"/>
    </xf>
    <xf numFmtId="164" fontId="0" fillId="0" borderId="1" xfId="0" applyNumberFormat="1" applyBorder="1"/>
    <xf numFmtId="0" fontId="0" fillId="0" borderId="34" xfId="0" applyFill="1" applyBorder="1"/>
    <xf numFmtId="0" fontId="0" fillId="0" borderId="44" xfId="0" applyFill="1" applyBorder="1"/>
    <xf numFmtId="0" fontId="1" fillId="0" borderId="6" xfId="0" applyFont="1" applyFill="1" applyBorder="1"/>
    <xf numFmtId="164" fontId="1" fillId="0" borderId="24" xfId="0" applyNumberFormat="1" applyFont="1" applyBorder="1"/>
    <xf numFmtId="164" fontId="1" fillId="0" borderId="25" xfId="0" applyNumberFormat="1" applyFont="1" applyBorder="1"/>
    <xf numFmtId="0" fontId="0" fillId="0" borderId="47" xfId="0" applyBorder="1"/>
    <xf numFmtId="164" fontId="1" fillId="0" borderId="46" xfId="0" applyNumberFormat="1" applyFont="1" applyBorder="1"/>
    <xf numFmtId="0" fontId="0" fillId="0" borderId="0" xfId="0" pivotButton="1"/>
    <xf numFmtId="0" fontId="0" fillId="0" borderId="0" xfId="0" applyAlignment="1">
      <alignment horizontal="left"/>
    </xf>
    <xf numFmtId="0" fontId="0" fillId="0" borderId="0" xfId="0" applyNumberFormat="1"/>
    <xf numFmtId="9" fontId="0" fillId="0" borderId="1" xfId="31" applyFont="1" applyBorder="1"/>
    <xf numFmtId="9" fontId="0" fillId="0" borderId="34" xfId="31" applyFont="1" applyBorder="1"/>
    <xf numFmtId="9" fontId="0" fillId="0" borderId="3" xfId="31" applyFont="1" applyBorder="1"/>
    <xf numFmtId="9" fontId="0" fillId="0" borderId="4" xfId="31" applyFont="1" applyBorder="1"/>
    <xf numFmtId="9" fontId="0" fillId="0" borderId="41" xfId="31" applyFont="1" applyBorder="1"/>
    <xf numFmtId="9" fontId="0" fillId="0" borderId="5" xfId="31" applyFont="1" applyBorder="1"/>
    <xf numFmtId="9" fontId="0" fillId="0" borderId="48" xfId="31" applyFont="1" applyBorder="1"/>
    <xf numFmtId="9" fontId="0" fillId="0" borderId="2" xfId="31" applyFont="1" applyBorder="1"/>
    <xf numFmtId="9" fontId="0" fillId="0" borderId="49" xfId="31" applyFont="1" applyBorder="1"/>
    <xf numFmtId="0" fontId="1" fillId="0" borderId="9" xfId="0" applyFont="1" applyFill="1" applyBorder="1" applyAlignment="1">
      <alignment horizontal="center" vertical="center" wrapText="1"/>
    </xf>
    <xf numFmtId="0" fontId="1" fillId="0" borderId="43" xfId="0" applyFont="1" applyFill="1" applyBorder="1" applyAlignment="1">
      <alignment horizontal="center" vertical="center" wrapText="1"/>
    </xf>
    <xf numFmtId="0" fontId="1" fillId="0" borderId="45" xfId="0" applyFont="1" applyFill="1" applyBorder="1" applyAlignment="1">
      <alignment horizontal="center" vertical="center" wrapText="1"/>
    </xf>
    <xf numFmtId="0" fontId="0" fillId="0" borderId="48" xfId="0" applyFill="1" applyBorder="1"/>
    <xf numFmtId="164" fontId="0" fillId="0" borderId="2" xfId="0" applyNumberFormat="1" applyBorder="1"/>
    <xf numFmtId="164" fontId="0" fillId="0" borderId="10" xfId="0" applyNumberFormat="1" applyBorder="1"/>
    <xf numFmtId="0" fontId="0" fillId="0" borderId="50" xfId="0" applyBorder="1"/>
    <xf numFmtId="0" fontId="1" fillId="0" borderId="6" xfId="0" applyFont="1" applyBorder="1"/>
    <xf numFmtId="0" fontId="1" fillId="0" borderId="7" xfId="0" applyFont="1" applyBorder="1" applyAlignment="1">
      <alignment horizontal="center" vertical="center"/>
    </xf>
    <xf numFmtId="0" fontId="1" fillId="0" borderId="42" xfId="0" applyFont="1" applyBorder="1" applyAlignment="1">
      <alignment horizontal="center" vertical="center"/>
    </xf>
    <xf numFmtId="0" fontId="0" fillId="0" borderId="1" xfId="0" applyBorder="1"/>
    <xf numFmtId="0" fontId="0" fillId="0" borderId="51" xfId="0" applyBorder="1"/>
    <xf numFmtId="0" fontId="1" fillId="0" borderId="52" xfId="0" applyFont="1" applyBorder="1"/>
    <xf numFmtId="0" fontId="1" fillId="0" borderId="53" xfId="0" applyFont="1" applyBorder="1"/>
    <xf numFmtId="0" fontId="1" fillId="0" borderId="34" xfId="0" applyFont="1" applyBorder="1"/>
    <xf numFmtId="0" fontId="0" fillId="0" borderId="3" xfId="0" applyBorder="1"/>
    <xf numFmtId="0" fontId="1" fillId="0" borderId="4" xfId="0" applyFont="1" applyBorder="1"/>
    <xf numFmtId="0" fontId="0" fillId="0" borderId="41" xfId="0" applyBorder="1"/>
    <xf numFmtId="0" fontId="0" fillId="0" borderId="5" xfId="0" applyBorder="1"/>
    <xf numFmtId="165" fontId="26" fillId="0" borderId="20" xfId="0" applyNumberFormat="1" applyFont="1" applyBorder="1" applyAlignment="1">
      <alignment vertical="center"/>
    </xf>
    <xf numFmtId="0" fontId="26" fillId="0" borderId="11" xfId="0" applyFont="1" applyBorder="1" applyAlignment="1">
      <alignment horizontal="center" vertical="center"/>
    </xf>
    <xf numFmtId="0" fontId="1" fillId="0" borderId="11" xfId="0" applyFont="1" applyBorder="1" applyAlignment="1">
      <alignment horizontal="left" vertical="center" wrapText="1"/>
    </xf>
    <xf numFmtId="0" fontId="0" fillId="0" borderId="22" xfId="0" applyFont="1" applyBorder="1" applyAlignment="1">
      <alignment horizontal="left" vertical="center" wrapText="1"/>
    </xf>
    <xf numFmtId="14" fontId="0" fillId="0" borderId="1" xfId="0" applyNumberFormat="1" applyFont="1" applyBorder="1" applyAlignment="1">
      <alignment horizontal="center" vertical="center"/>
    </xf>
    <xf numFmtId="0" fontId="20" fillId="0" borderId="0" xfId="30" applyNumberFormat="1" applyBorder="1" applyAlignment="1">
      <alignment horizontal="center" vertical="center" wrapText="1"/>
    </xf>
    <xf numFmtId="0" fontId="0" fillId="0" borderId="22" xfId="0" applyFont="1" applyBorder="1" applyAlignment="1">
      <alignment horizontal="center" vertical="center" wrapText="1"/>
    </xf>
    <xf numFmtId="0" fontId="26" fillId="0" borderId="22" xfId="0" applyFont="1" applyBorder="1" applyAlignment="1">
      <alignment horizontal="center" vertical="center"/>
    </xf>
    <xf numFmtId="14" fontId="0" fillId="0" borderId="32" xfId="0" applyNumberFormat="1" applyFont="1" applyFill="1" applyBorder="1" applyAlignment="1">
      <alignment vertical="center"/>
    </xf>
    <xf numFmtId="14" fontId="0" fillId="0" borderId="39" xfId="0" applyNumberFormat="1" applyFont="1" applyFill="1" applyBorder="1" applyAlignment="1">
      <alignment vertical="center"/>
    </xf>
    <xf numFmtId="164" fontId="0" fillId="0" borderId="0" xfId="0" applyNumberFormat="1"/>
    <xf numFmtId="164" fontId="0" fillId="0" borderId="41" xfId="0" applyNumberFormat="1" applyFont="1" applyBorder="1" applyAlignment="1">
      <alignment vertical="center"/>
    </xf>
    <xf numFmtId="164" fontId="0" fillId="0" borderId="1" xfId="0" applyNumberFormat="1" applyFill="1" applyBorder="1"/>
    <xf numFmtId="0" fontId="18" fillId="0" borderId="1" xfId="0" applyFont="1" applyFill="1" applyBorder="1"/>
    <xf numFmtId="0" fontId="1" fillId="0" borderId="51" xfId="0" applyFont="1" applyFill="1" applyBorder="1"/>
    <xf numFmtId="0" fontId="1" fillId="0" borderId="52" xfId="0" applyFont="1" applyFill="1" applyBorder="1"/>
    <xf numFmtId="0" fontId="1" fillId="0" borderId="53" xfId="0" applyFont="1" applyFill="1" applyBorder="1"/>
    <xf numFmtId="0" fontId="18" fillId="0" borderId="41" xfId="0" applyFont="1" applyFill="1" applyBorder="1"/>
    <xf numFmtId="0" fontId="0" fillId="0" borderId="41" xfId="0" applyFill="1" applyBorder="1"/>
    <xf numFmtId="164" fontId="0" fillId="0" borderId="41" xfId="0" applyNumberFormat="1" applyBorder="1"/>
    <xf numFmtId="0" fontId="0" fillId="25" borderId="1" xfId="0" applyFill="1" applyBorder="1"/>
    <xf numFmtId="0" fontId="0" fillId="24" borderId="1" xfId="0" applyFill="1" applyBorder="1"/>
    <xf numFmtId="14" fontId="0" fillId="0" borderId="1" xfId="0" applyNumberFormat="1" applyBorder="1"/>
    <xf numFmtId="14" fontId="0" fillId="0" borderId="3" xfId="0" applyNumberFormat="1" applyBorder="1"/>
    <xf numFmtId="14" fontId="1" fillId="0" borderId="52" xfId="0" applyNumberFormat="1" applyFont="1" applyFill="1" applyBorder="1"/>
    <xf numFmtId="14" fontId="0" fillId="0" borderId="0" xfId="0" applyNumberFormat="1"/>
    <xf numFmtId="14" fontId="0" fillId="0" borderId="41" xfId="0" applyNumberFormat="1" applyBorder="1"/>
    <xf numFmtId="165" fontId="1" fillId="0" borderId="11" xfId="0" applyNumberFormat="1" applyFont="1" applyBorder="1" applyAlignment="1">
      <alignment horizontal="left" vertical="center" wrapText="1"/>
    </xf>
    <xf numFmtId="14" fontId="1" fillId="22" borderId="24" xfId="0" applyNumberFormat="1" applyFont="1" applyFill="1" applyBorder="1" applyAlignment="1">
      <alignment horizontal="center" vertical="center" wrapText="1"/>
    </xf>
    <xf numFmtId="14" fontId="0" fillId="0" borderId="0" xfId="0" applyNumberFormat="1" applyFont="1" applyAlignment="1">
      <alignment vertical="center"/>
    </xf>
    <xf numFmtId="0" fontId="1" fillId="0" borderId="1" xfId="0" applyFont="1" applyBorder="1" applyAlignment="1"/>
    <xf numFmtId="0" fontId="1" fillId="0" borderId="1" xfId="0" applyFont="1" applyBorder="1"/>
    <xf numFmtId="164" fontId="1" fillId="0" borderId="1" xfId="0" applyNumberFormat="1" applyFont="1" applyBorder="1"/>
    <xf numFmtId="0" fontId="0" fillId="0" borderId="52" xfId="0" applyBorder="1"/>
    <xf numFmtId="0" fontId="0" fillId="0" borderId="53" xfId="0" applyBorder="1"/>
    <xf numFmtId="0" fontId="1" fillId="0" borderId="34" xfId="0" applyFont="1" applyBorder="1" applyAlignment="1"/>
    <xf numFmtId="0" fontId="1" fillId="0" borderId="3" xfId="0" applyFont="1" applyBorder="1"/>
    <xf numFmtId="0" fontId="1" fillId="0" borderId="35" xfId="0" applyFont="1" applyBorder="1"/>
    <xf numFmtId="164" fontId="1" fillId="0" borderId="28" xfId="0" applyNumberFormat="1" applyFont="1" applyBorder="1"/>
    <xf numFmtId="9" fontId="0" fillId="0" borderId="36" xfId="31" applyFont="1" applyBorder="1"/>
    <xf numFmtId="164" fontId="1" fillId="0" borderId="7" xfId="0" applyNumberFormat="1" applyFont="1" applyFill="1" applyBorder="1"/>
    <xf numFmtId="164" fontId="1" fillId="0" borderId="43" xfId="0" applyNumberFormat="1" applyFont="1" applyBorder="1"/>
    <xf numFmtId="9" fontId="1" fillId="0" borderId="8" xfId="31" applyFont="1" applyFill="1" applyBorder="1"/>
    <xf numFmtId="0" fontId="1" fillId="0" borderId="52" xfId="0" applyFont="1" applyFill="1" applyBorder="1" applyAlignment="1">
      <alignment horizontal="center" vertical="center"/>
    </xf>
    <xf numFmtId="164" fontId="0" fillId="0" borderId="1" xfId="0" applyNumberFormat="1" applyBorder="1" applyAlignment="1">
      <alignment horizontal="center" vertical="center"/>
    </xf>
    <xf numFmtId="164" fontId="0" fillId="0" borderId="41" xfId="0" applyNumberFormat="1" applyBorder="1" applyAlignment="1">
      <alignment horizontal="center" vertical="center"/>
    </xf>
    <xf numFmtId="164" fontId="0" fillId="24" borderId="1" xfId="0" applyNumberFormat="1" applyFill="1" applyBorder="1" applyAlignment="1">
      <alignment horizontal="center" vertical="center"/>
    </xf>
    <xf numFmtId="0" fontId="28" fillId="0" borderId="22" xfId="0" applyFont="1" applyBorder="1" applyAlignment="1">
      <alignment horizontal="center" vertical="center"/>
    </xf>
    <xf numFmtId="165" fontId="28" fillId="0" borderId="20" xfId="0" applyNumberFormat="1" applyFont="1" applyBorder="1" applyAlignment="1">
      <alignment vertical="center"/>
    </xf>
    <xf numFmtId="0" fontId="28" fillId="0" borderId="11" xfId="0" applyFont="1" applyBorder="1" applyAlignment="1">
      <alignment horizontal="center" vertical="center"/>
    </xf>
    <xf numFmtId="0" fontId="0" fillId="0" borderId="2" xfId="0" applyFont="1" applyFill="1" applyBorder="1" applyAlignment="1">
      <alignment vertical="center"/>
    </xf>
    <xf numFmtId="0" fontId="1" fillId="0" borderId="0" xfId="0" applyFont="1"/>
    <xf numFmtId="0" fontId="30" fillId="0" borderId="0" xfId="0" applyFont="1" applyAlignment="1">
      <alignment horizontal="right"/>
    </xf>
    <xf numFmtId="43" fontId="30" fillId="0" borderId="0" xfId="32" applyFont="1" applyAlignment="1">
      <alignment horizontal="right"/>
    </xf>
    <xf numFmtId="2" fontId="0" fillId="0" borderId="0" xfId="0" applyNumberFormat="1"/>
    <xf numFmtId="167" fontId="0" fillId="0" borderId="0" xfId="32" applyNumberFormat="1" applyFont="1"/>
    <xf numFmtId="167" fontId="0" fillId="0" borderId="0" xfId="0" applyNumberFormat="1"/>
    <xf numFmtId="0" fontId="1" fillId="0" borderId="0" xfId="0" applyFont="1" applyAlignment="1">
      <alignment horizontal="left"/>
    </xf>
    <xf numFmtId="0" fontId="1" fillId="0" borderId="0" xfId="0" applyFont="1" applyAlignment="1">
      <alignment horizontal="center"/>
    </xf>
    <xf numFmtId="0" fontId="31" fillId="0" borderId="0" xfId="0" applyFont="1" applyFill="1" applyAlignment="1">
      <alignment horizontal="left" indent="5"/>
    </xf>
    <xf numFmtId="0" fontId="32" fillId="0" borderId="0" xfId="0" applyFont="1"/>
    <xf numFmtId="0" fontId="31" fillId="0" borderId="0" xfId="0" applyFont="1" applyFill="1" applyAlignment="1"/>
    <xf numFmtId="0" fontId="31" fillId="0" borderId="0" xfId="0" applyFont="1" applyFill="1" applyAlignment="1">
      <alignment horizontal="left" indent="3"/>
    </xf>
    <xf numFmtId="0" fontId="31" fillId="0" borderId="0" xfId="0" applyFont="1" applyFill="1" applyAlignment="1">
      <alignment horizontal="left"/>
    </xf>
    <xf numFmtId="0" fontId="31" fillId="0" borderId="0" xfId="0" applyFont="1" applyFill="1" applyAlignment="1">
      <alignment horizontal="left" indent="2"/>
    </xf>
    <xf numFmtId="0" fontId="0" fillId="0" borderId="0" xfId="0" applyAlignment="1">
      <alignment horizontal="center"/>
    </xf>
    <xf numFmtId="168" fontId="0" fillId="0" borderId="0" xfId="31" applyNumberFormat="1" applyFont="1" applyAlignment="1">
      <alignment horizontal="center"/>
    </xf>
    <xf numFmtId="0" fontId="16" fillId="0" borderId="0" xfId="0" applyFont="1"/>
    <xf numFmtId="3" fontId="0" fillId="0" borderId="0" xfId="0" applyNumberFormat="1" applyAlignment="1">
      <alignment horizontal="center"/>
    </xf>
    <xf numFmtId="169" fontId="0" fillId="0" borderId="0" xfId="31" applyNumberFormat="1" applyFont="1" applyAlignment="1">
      <alignment horizontal="center"/>
    </xf>
    <xf numFmtId="0" fontId="1" fillId="27" borderId="0" xfId="0" applyFont="1" applyFill="1"/>
    <xf numFmtId="0" fontId="1" fillId="27" borderId="6" xfId="0" applyFont="1" applyFill="1" applyBorder="1"/>
    <xf numFmtId="164" fontId="1" fillId="22" borderId="25" xfId="0" applyNumberFormat="1" applyFont="1" applyFill="1" applyBorder="1" applyAlignment="1">
      <alignment horizontal="center" vertical="center" wrapText="1"/>
    </xf>
    <xf numFmtId="164" fontId="0" fillId="0" borderId="32" xfId="0" applyNumberFormat="1" applyFont="1" applyFill="1" applyBorder="1" applyAlignment="1">
      <alignment horizontal="center" vertical="center"/>
    </xf>
    <xf numFmtId="164" fontId="0" fillId="0" borderId="39" xfId="0" applyNumberFormat="1" applyFont="1" applyFill="1" applyBorder="1" applyAlignment="1">
      <alignment horizontal="center" vertical="center"/>
    </xf>
    <xf numFmtId="43" fontId="0" fillId="0" borderId="0" xfId="32" applyNumberFormat="1" applyFont="1"/>
    <xf numFmtId="170" fontId="0" fillId="0" borderId="0" xfId="0" applyNumberFormat="1" applyFont="1"/>
    <xf numFmtId="9" fontId="0" fillId="0" borderId="0" xfId="31" applyFont="1"/>
    <xf numFmtId="9" fontId="0" fillId="0" borderId="0" xfId="31" applyFont="1" applyAlignment="1">
      <alignment horizontal="center"/>
    </xf>
    <xf numFmtId="0" fontId="1" fillId="0" borderId="0" xfId="0" applyFont="1" applyFill="1" applyBorder="1" applyAlignment="1">
      <alignment horizontal="center" vertical="center" wrapText="1"/>
    </xf>
    <xf numFmtId="9" fontId="0" fillId="0" borderId="1" xfId="31" applyFont="1" applyBorder="1" applyAlignment="1">
      <alignment horizontal="center"/>
    </xf>
    <xf numFmtId="0" fontId="0" fillId="0" borderId="34" xfId="0" applyBorder="1"/>
    <xf numFmtId="0" fontId="0" fillId="0" borderId="4" xfId="0" applyBorder="1"/>
    <xf numFmtId="9" fontId="0" fillId="0" borderId="41" xfId="31" applyFont="1" applyBorder="1" applyAlignment="1">
      <alignment horizontal="center"/>
    </xf>
    <xf numFmtId="0" fontId="1" fillId="0" borderId="55" xfId="0" applyFont="1" applyFill="1" applyBorder="1" applyAlignment="1">
      <alignment horizontal="center" vertical="center" wrapText="1"/>
    </xf>
    <xf numFmtId="0" fontId="0" fillId="0" borderId="48" xfId="0" applyBorder="1"/>
    <xf numFmtId="0" fontId="0" fillId="0" borderId="2" xfId="0" applyBorder="1"/>
    <xf numFmtId="9" fontId="0" fillId="0" borderId="2" xfId="31" applyFont="1" applyBorder="1" applyAlignment="1">
      <alignment horizontal="center"/>
    </xf>
    <xf numFmtId="0" fontId="1" fillId="0" borderId="8" xfId="0" applyFont="1" applyFill="1" applyBorder="1" applyAlignment="1">
      <alignment horizontal="center" vertical="center" wrapText="1"/>
    </xf>
    <xf numFmtId="0" fontId="1" fillId="0" borderId="6" xfId="0" applyFont="1" applyBorder="1" applyAlignment="1">
      <alignment horizontal="center" vertical="center"/>
    </xf>
    <xf numFmtId="9" fontId="0" fillId="0" borderId="3" xfId="31" applyFont="1" applyBorder="1" applyAlignment="1">
      <alignment horizontal="center" vertical="center"/>
    </xf>
    <xf numFmtId="0" fontId="1" fillId="0" borderId="0" xfId="0" applyFont="1" applyAlignment="1">
      <alignment horizontal="right" vertical="center"/>
    </xf>
    <xf numFmtId="43" fontId="0" fillId="0" borderId="0" xfId="0" applyNumberFormat="1" applyFont="1" applyAlignment="1">
      <alignment horizontal="center" vertical="center"/>
    </xf>
    <xf numFmtId="9" fontId="21" fillId="0" borderId="0" xfId="31" applyFont="1" applyAlignment="1">
      <alignment horizontal="right" vertical="center"/>
    </xf>
    <xf numFmtId="14" fontId="0" fillId="0" borderId="31" xfId="0" applyNumberFormat="1" applyFont="1" applyBorder="1" applyAlignment="1">
      <alignment vertical="center"/>
    </xf>
    <xf numFmtId="0" fontId="0" fillId="0" borderId="31" xfId="0" applyNumberFormat="1" applyFont="1" applyBorder="1" applyAlignment="1">
      <alignment vertical="center"/>
    </xf>
    <xf numFmtId="166" fontId="0" fillId="0" borderId="31" xfId="0" applyNumberFormat="1" applyFont="1" applyBorder="1" applyAlignment="1">
      <alignment vertical="center"/>
    </xf>
    <xf numFmtId="14" fontId="0" fillId="0" borderId="2" xfId="0" applyNumberFormat="1" applyFont="1" applyBorder="1" applyAlignment="1">
      <alignment horizontal="center" vertical="center"/>
    </xf>
    <xf numFmtId="0" fontId="0" fillId="0" borderId="0" xfId="31" applyNumberFormat="1" applyFont="1" applyAlignment="1">
      <alignment horizontal="center"/>
    </xf>
    <xf numFmtId="0" fontId="0" fillId="0" borderId="0" xfId="0" applyNumberFormat="1" applyFont="1"/>
    <xf numFmtId="0" fontId="0" fillId="0" borderId="0" xfId="0" applyFont="1" applyBorder="1"/>
    <xf numFmtId="170" fontId="0" fillId="0" borderId="0" xfId="0" applyNumberFormat="1" applyFont="1" applyBorder="1"/>
    <xf numFmtId="0" fontId="0" fillId="0" borderId="0" xfId="0" applyNumberFormat="1" applyFont="1" applyBorder="1"/>
    <xf numFmtId="0" fontId="13" fillId="22" borderId="56" xfId="0" applyFont="1" applyFill="1" applyBorder="1" applyAlignment="1">
      <alignment horizontal="center" vertical="center" wrapText="1"/>
    </xf>
    <xf numFmtId="0" fontId="13" fillId="22" borderId="24" xfId="0" applyFont="1" applyFill="1" applyBorder="1" applyAlignment="1">
      <alignment horizontal="center" vertical="center" wrapText="1"/>
    </xf>
    <xf numFmtId="2" fontId="13" fillId="22" borderId="24" xfId="0" applyNumberFormat="1" applyFont="1" applyFill="1" applyBorder="1" applyAlignment="1">
      <alignment horizontal="center" vertical="center" wrapText="1"/>
    </xf>
    <xf numFmtId="165" fontId="13" fillId="22" borderId="24" xfId="0" applyNumberFormat="1" applyFont="1" applyFill="1" applyBorder="1" applyAlignment="1">
      <alignment horizontal="center" vertical="center" wrapText="1"/>
    </xf>
    <xf numFmtId="0" fontId="13" fillId="22" borderId="26" xfId="0" applyFont="1" applyFill="1" applyBorder="1" applyAlignment="1">
      <alignment horizontal="center" vertical="center" wrapText="1"/>
    </xf>
    <xf numFmtId="0" fontId="0" fillId="0" borderId="0" xfId="0" applyAlignment="1">
      <alignment vertical="center"/>
    </xf>
    <xf numFmtId="164" fontId="0" fillId="0" borderId="0" xfId="0" applyNumberFormat="1" applyAlignment="1">
      <alignment vertical="center"/>
    </xf>
    <xf numFmtId="14" fontId="0" fillId="0" borderId="0" xfId="0" applyNumberFormat="1" applyAlignment="1">
      <alignment vertical="center"/>
    </xf>
    <xf numFmtId="0" fontId="0" fillId="0" borderId="0" xfId="0" applyAlignment="1">
      <alignment vertical="center" wrapText="1"/>
    </xf>
    <xf numFmtId="165" fontId="0" fillId="0" borderId="11" xfId="0" applyNumberFormat="1" applyFont="1" applyFill="1" applyBorder="1" applyAlignment="1">
      <alignment horizontal="left" vertical="center" wrapText="1"/>
    </xf>
    <xf numFmtId="0" fontId="0" fillId="0" borderId="11" xfId="0" applyFont="1" applyBorder="1" applyAlignment="1">
      <alignment horizontal="center" vertical="center" wrapText="1"/>
    </xf>
    <xf numFmtId="165" fontId="0" fillId="0" borderId="39" xfId="0" applyNumberFormat="1" applyFont="1" applyBorder="1" applyAlignment="1">
      <alignment horizontal="center" vertical="center" wrapText="1"/>
    </xf>
    <xf numFmtId="0" fontId="0" fillId="0" borderId="32" xfId="0" applyFont="1" applyBorder="1" applyAlignment="1">
      <alignment horizontal="center" vertical="center"/>
    </xf>
    <xf numFmtId="0" fontId="0" fillId="0" borderId="39" xfId="0" applyFont="1" applyBorder="1" applyAlignment="1">
      <alignment horizontal="center" vertical="center"/>
    </xf>
    <xf numFmtId="0" fontId="22" fillId="0" borderId="39" xfId="0" applyFont="1" applyBorder="1" applyAlignment="1">
      <alignment horizontal="center" vertical="center"/>
    </xf>
    <xf numFmtId="165" fontId="35" fillId="0" borderId="20" xfId="0" applyNumberFormat="1" applyFont="1" applyBorder="1" applyAlignment="1">
      <alignment vertical="center"/>
    </xf>
    <xf numFmtId="0" fontId="0" fillId="0" borderId="10" xfId="0" applyFont="1" applyBorder="1" applyAlignment="1">
      <alignment vertical="center"/>
    </xf>
    <xf numFmtId="164" fontId="0" fillId="0" borderId="1" xfId="0" applyNumberFormat="1" applyFont="1" applyFill="1" applyBorder="1" applyAlignment="1">
      <alignment horizontal="center" vertical="center"/>
    </xf>
    <xf numFmtId="14" fontId="0" fillId="0" borderId="28" xfId="0" applyNumberFormat="1" applyFont="1" applyBorder="1" applyAlignment="1">
      <alignment horizontal="center" vertical="center"/>
    </xf>
    <xf numFmtId="0" fontId="20" fillId="0" borderId="10" xfId="30" applyNumberFormat="1" applyBorder="1" applyAlignment="1">
      <alignment horizontal="center" vertical="center" wrapText="1"/>
    </xf>
    <xf numFmtId="165" fontId="0" fillId="21" borderId="10" xfId="0" applyNumberFormat="1" applyFont="1" applyFill="1" applyBorder="1" applyAlignment="1">
      <alignment horizontal="center" vertical="center"/>
    </xf>
    <xf numFmtId="0" fontId="0" fillId="21" borderId="10" xfId="0" applyFont="1" applyFill="1" applyBorder="1" applyAlignment="1">
      <alignment horizontal="center" vertical="center"/>
    </xf>
    <xf numFmtId="0" fontId="0" fillId="21" borderId="22" xfId="0" applyFont="1" applyFill="1" applyBorder="1" applyAlignment="1">
      <alignment horizontal="center" vertical="center"/>
    </xf>
    <xf numFmtId="165" fontId="0" fillId="21" borderId="22" xfId="0" applyNumberFormat="1" applyFont="1" applyFill="1" applyBorder="1" applyAlignment="1">
      <alignment horizontal="center" vertical="center"/>
    </xf>
    <xf numFmtId="165" fontId="0" fillId="21" borderId="27" xfId="0" applyNumberFormat="1" applyFont="1" applyFill="1" applyBorder="1" applyAlignment="1">
      <alignment horizontal="center" vertical="center"/>
    </xf>
    <xf numFmtId="0" fontId="0" fillId="21" borderId="27" xfId="0" applyFont="1" applyFill="1" applyBorder="1" applyAlignment="1">
      <alignment horizontal="center" vertical="center" wrapText="1"/>
    </xf>
    <xf numFmtId="0" fontId="0" fillId="21" borderId="27" xfId="0" applyFont="1" applyFill="1" applyBorder="1" applyAlignment="1">
      <alignment horizontal="center" vertical="center"/>
    </xf>
    <xf numFmtId="14" fontId="0" fillId="0" borderId="1" xfId="0" applyNumberFormat="1" applyFont="1" applyFill="1" applyBorder="1" applyAlignment="1">
      <alignment horizontal="center" vertical="center"/>
    </xf>
    <xf numFmtId="14" fontId="0" fillId="0" borderId="0" xfId="0" applyNumberFormat="1" applyFont="1" applyAlignment="1">
      <alignment horizontal="center" vertical="center"/>
    </xf>
    <xf numFmtId="165" fontId="36" fillId="0" borderId="20" xfId="0" applyNumberFormat="1" applyFont="1" applyBorder="1" applyAlignment="1">
      <alignment vertical="center"/>
    </xf>
    <xf numFmtId="0" fontId="36" fillId="0" borderId="11" xfId="0" applyFont="1" applyBorder="1" applyAlignment="1">
      <alignment horizontal="center" vertical="center"/>
    </xf>
    <xf numFmtId="0" fontId="36" fillId="21" borderId="27" xfId="0" applyFont="1" applyFill="1" applyBorder="1" applyAlignment="1">
      <alignment horizontal="center" vertical="center"/>
    </xf>
    <xf numFmtId="14" fontId="36" fillId="0" borderId="2" xfId="0" applyNumberFormat="1" applyFont="1" applyBorder="1" applyAlignment="1">
      <alignment vertical="center"/>
    </xf>
    <xf numFmtId="0" fontId="36" fillId="0" borderId="32" xfId="0" applyFont="1" applyBorder="1" applyAlignment="1">
      <alignment horizontal="center" vertical="center"/>
    </xf>
    <xf numFmtId="164" fontId="36" fillId="0" borderId="32" xfId="0" applyNumberFormat="1" applyFont="1" applyFill="1" applyBorder="1" applyAlignment="1">
      <alignment horizontal="center" vertical="center"/>
    </xf>
    <xf numFmtId="0" fontId="36" fillId="0" borderId="22" xfId="0" applyFont="1" applyBorder="1" applyAlignment="1">
      <alignment horizontal="center" vertical="center"/>
    </xf>
    <xf numFmtId="165" fontId="37" fillId="0" borderId="20" xfId="0" applyNumberFormat="1" applyFont="1" applyBorder="1" applyAlignment="1">
      <alignment vertical="center"/>
    </xf>
    <xf numFmtId="0" fontId="37" fillId="0" borderId="22" xfId="0" applyFont="1" applyBorder="1" applyAlignment="1">
      <alignment horizontal="center" vertical="center"/>
    </xf>
    <xf numFmtId="0" fontId="37" fillId="0" borderId="11" xfId="0" applyFont="1" applyBorder="1" applyAlignment="1">
      <alignment horizontal="center" vertical="center"/>
    </xf>
    <xf numFmtId="0" fontId="0" fillId="0" borderId="20" xfId="0" applyFont="1" applyBorder="1" applyAlignment="1">
      <alignment vertical="center"/>
    </xf>
    <xf numFmtId="0" fontId="30" fillId="0" borderId="0" xfId="0" applyFont="1" applyAlignment="1">
      <alignment horizontal="center" vertical="center"/>
    </xf>
    <xf numFmtId="0" fontId="30" fillId="0" borderId="0" xfId="0" applyFont="1" applyAlignment="1">
      <alignment horizontal="right" vertical="center"/>
    </xf>
    <xf numFmtId="43" fontId="30" fillId="0" borderId="0" xfId="32" applyFont="1" applyAlignment="1">
      <alignment horizontal="right" vertical="center"/>
    </xf>
    <xf numFmtId="0" fontId="1" fillId="0" borderId="0" xfId="0" applyFont="1" applyFill="1" applyBorder="1" applyAlignment="1">
      <alignment vertical="center"/>
    </xf>
    <xf numFmtId="0" fontId="0" fillId="0" borderId="0" xfId="0" applyFill="1" applyBorder="1" applyAlignment="1">
      <alignment vertical="center"/>
    </xf>
    <xf numFmtId="43" fontId="0" fillId="0" borderId="0" xfId="0" applyNumberFormat="1" applyAlignment="1">
      <alignment horizontal="center" vertical="center"/>
    </xf>
    <xf numFmtId="0" fontId="1" fillId="0" borderId="0" xfId="0" applyFont="1" applyAlignment="1"/>
    <xf numFmtId="0" fontId="0" fillId="0" borderId="0" xfId="0" applyAlignment="1">
      <alignment horizontal="right"/>
    </xf>
    <xf numFmtId="0" fontId="0" fillId="0" borderId="0" xfId="0" applyAlignment="1"/>
    <xf numFmtId="0" fontId="38" fillId="0" borderId="22" xfId="0" applyFont="1" applyBorder="1" applyAlignment="1">
      <alignment horizontal="center" vertical="center"/>
    </xf>
    <xf numFmtId="14" fontId="38" fillId="0" borderId="31" xfId="0" applyNumberFormat="1" applyFont="1" applyBorder="1" applyAlignment="1">
      <alignment vertical="center"/>
    </xf>
    <xf numFmtId="165" fontId="38" fillId="0" borderId="20" xfId="0" applyNumberFormat="1" applyFont="1" applyBorder="1" applyAlignment="1">
      <alignment vertical="center"/>
    </xf>
    <xf numFmtId="0" fontId="38" fillId="0" borderId="11" xfId="0" applyFont="1" applyBorder="1" applyAlignment="1">
      <alignment horizontal="center" vertical="center"/>
    </xf>
    <xf numFmtId="0" fontId="38" fillId="0" borderId="39" xfId="0" applyFont="1" applyBorder="1" applyAlignment="1">
      <alignment horizontal="center" vertical="center"/>
    </xf>
    <xf numFmtId="164" fontId="38" fillId="0" borderId="39" xfId="0" applyNumberFormat="1" applyFont="1" applyFill="1" applyBorder="1" applyAlignment="1">
      <alignment horizontal="center" vertical="center"/>
    </xf>
    <xf numFmtId="14" fontId="38" fillId="0" borderId="2" xfId="0" applyNumberFormat="1" applyFont="1" applyBorder="1" applyAlignment="1">
      <alignment vertical="center"/>
    </xf>
    <xf numFmtId="0" fontId="38" fillId="0" borderId="32" xfId="0" applyFont="1" applyBorder="1" applyAlignment="1">
      <alignment horizontal="center" vertical="center"/>
    </xf>
    <xf numFmtId="0" fontId="38" fillId="21" borderId="22" xfId="0" applyFont="1" applyFill="1" applyBorder="1" applyAlignment="1">
      <alignment horizontal="center" vertical="center"/>
    </xf>
    <xf numFmtId="164" fontId="38" fillId="0" borderId="32" xfId="0" applyNumberFormat="1" applyFont="1" applyFill="1" applyBorder="1" applyAlignment="1">
      <alignment horizontal="center" vertical="center"/>
    </xf>
    <xf numFmtId="164" fontId="0" fillId="0" borderId="22" xfId="0" applyNumberFormat="1" applyFont="1" applyFill="1" applyBorder="1" applyAlignment="1">
      <alignment horizontal="center" vertical="center" wrapText="1"/>
    </xf>
    <xf numFmtId="14" fontId="0" fillId="0" borderId="32" xfId="0" applyNumberFormat="1" applyFont="1" applyFill="1" applyBorder="1" applyAlignment="1">
      <alignment vertical="center" wrapText="1"/>
    </xf>
    <xf numFmtId="0" fontId="0" fillId="0" borderId="1" xfId="0" applyFont="1" applyFill="1" applyBorder="1" applyAlignment="1">
      <alignment vertical="center"/>
    </xf>
    <xf numFmtId="0" fontId="35" fillId="0" borderId="22" xfId="0" applyFont="1" applyBorder="1" applyAlignment="1">
      <alignment horizontal="center" vertical="center"/>
    </xf>
    <xf numFmtId="0" fontId="35" fillId="0" borderId="11" xfId="0" applyFont="1" applyBorder="1" applyAlignment="1">
      <alignment horizontal="center" vertical="center"/>
    </xf>
    <xf numFmtId="165" fontId="38" fillId="21" borderId="27" xfId="0" applyNumberFormat="1" applyFont="1" applyFill="1" applyBorder="1" applyAlignment="1">
      <alignment horizontal="center" vertical="center"/>
    </xf>
    <xf numFmtId="0" fontId="0" fillId="0" borderId="22" xfId="0" applyFont="1" applyBorder="1" applyAlignment="1">
      <alignment vertical="center" wrapText="1"/>
    </xf>
    <xf numFmtId="2" fontId="0" fillId="0" borderId="11" xfId="0" applyNumberFormat="1" applyFont="1" applyBorder="1" applyAlignment="1">
      <alignment horizontal="left" vertical="center" wrapText="1"/>
    </xf>
    <xf numFmtId="0" fontId="38" fillId="21" borderId="27" xfId="0" applyFont="1" applyFill="1" applyBorder="1" applyAlignment="1">
      <alignment horizontal="center" vertical="center"/>
    </xf>
    <xf numFmtId="2" fontId="0" fillId="0" borderId="0" xfId="0" applyNumberFormat="1" applyFont="1" applyAlignment="1">
      <alignment vertical="center"/>
    </xf>
    <xf numFmtId="0" fontId="0" fillId="0" borderId="1" xfId="0" applyNumberFormat="1" applyFont="1" applyBorder="1" applyAlignment="1">
      <alignment vertical="center" wrapText="1"/>
    </xf>
    <xf numFmtId="0" fontId="38" fillId="0" borderId="39" xfId="0" applyNumberFormat="1" applyFont="1" applyBorder="1" applyAlignment="1">
      <alignment horizontal="center" vertical="center" wrapText="1"/>
    </xf>
    <xf numFmtId="0" fontId="38" fillId="0" borderId="39" xfId="30" applyNumberFormat="1" applyFont="1" applyBorder="1" applyAlignment="1">
      <alignment horizontal="center" vertical="center" wrapText="1"/>
    </xf>
    <xf numFmtId="0" fontId="38" fillId="0" borderId="27" xfId="0" applyFont="1" applyBorder="1" applyAlignment="1">
      <alignment horizontal="center" vertical="center"/>
    </xf>
    <xf numFmtId="0" fontId="38" fillId="0" borderId="29" xfId="0" applyFont="1" applyBorder="1" applyAlignment="1">
      <alignment horizontal="center" vertical="center"/>
    </xf>
    <xf numFmtId="0" fontId="38" fillId="0" borderId="0" xfId="30" applyNumberFormat="1" applyFont="1" applyBorder="1" applyAlignment="1">
      <alignment horizontal="center" vertical="center" wrapText="1"/>
    </xf>
    <xf numFmtId="14" fontId="38" fillId="0" borderId="31" xfId="0" applyNumberFormat="1" applyFont="1" applyFill="1" applyBorder="1" applyAlignment="1">
      <alignment vertical="center"/>
    </xf>
    <xf numFmtId="0" fontId="38" fillId="0" borderId="0" xfId="0" applyNumberFormat="1" applyFont="1" applyBorder="1" applyAlignment="1">
      <alignment horizontal="center" vertical="center" wrapText="1"/>
    </xf>
    <xf numFmtId="0" fontId="38" fillId="0" borderId="39" xfId="30" applyNumberFormat="1" applyFont="1" applyFill="1" applyBorder="1" applyAlignment="1">
      <alignment horizontal="center" vertical="center" wrapText="1"/>
    </xf>
    <xf numFmtId="0" fontId="38" fillId="0" borderId="0" xfId="30" applyNumberFormat="1" applyFont="1" applyFill="1" applyBorder="1" applyAlignment="1">
      <alignment horizontal="center" vertical="center" wrapText="1"/>
    </xf>
    <xf numFmtId="165" fontId="38" fillId="0" borderId="10" xfId="0" applyNumberFormat="1" applyFont="1" applyBorder="1" applyAlignment="1">
      <alignment vertical="center"/>
    </xf>
    <xf numFmtId="0" fontId="38" fillId="21" borderId="10" xfId="0" applyFont="1" applyFill="1" applyBorder="1" applyAlignment="1">
      <alignment horizontal="center" vertical="center"/>
    </xf>
    <xf numFmtId="164" fontId="38" fillId="0" borderId="11" xfId="0" applyNumberFormat="1" applyFont="1" applyFill="1" applyBorder="1" applyAlignment="1">
      <alignment horizontal="center" vertical="center"/>
    </xf>
    <xf numFmtId="0" fontId="38" fillId="0" borderId="21" xfId="0" applyFont="1" applyBorder="1" applyAlignment="1">
      <alignment horizontal="center" vertical="center"/>
    </xf>
    <xf numFmtId="0" fontId="27" fillId="0" borderId="11" xfId="0" applyFont="1" applyBorder="1" applyAlignment="1">
      <alignment horizontal="left" vertical="center" wrapText="1"/>
    </xf>
    <xf numFmtId="0" fontId="1" fillId="0" borderId="11" xfId="0" applyFont="1" applyBorder="1" applyAlignment="1">
      <alignment vertical="center" wrapText="1"/>
    </xf>
    <xf numFmtId="0" fontId="38" fillId="0" borderId="32" xfId="0" applyNumberFormat="1" applyFont="1" applyBorder="1" applyAlignment="1">
      <alignment horizontal="center" vertical="center" wrapText="1"/>
    </xf>
    <xf numFmtId="14" fontId="38" fillId="21" borderId="27" xfId="0" applyNumberFormat="1" applyFont="1" applyFill="1" applyBorder="1" applyAlignment="1">
      <alignment horizontal="center" vertical="center"/>
    </xf>
    <xf numFmtId="0" fontId="39" fillId="0" borderId="22" xfId="0" applyFont="1" applyBorder="1" applyAlignment="1">
      <alignment horizontal="center" vertical="center"/>
    </xf>
    <xf numFmtId="14" fontId="39" fillId="0" borderId="31" xfId="0" applyNumberFormat="1" applyFont="1" applyBorder="1" applyAlignment="1">
      <alignment vertical="center"/>
    </xf>
    <xf numFmtId="165" fontId="39" fillId="0" borderId="20" xfId="0" applyNumberFormat="1" applyFont="1" applyBorder="1" applyAlignment="1">
      <alignment vertical="center"/>
    </xf>
    <xf numFmtId="0" fontId="39" fillId="0" borderId="11" xfId="0" applyFont="1" applyBorder="1" applyAlignment="1">
      <alignment horizontal="center" vertical="center"/>
    </xf>
    <xf numFmtId="0" fontId="39" fillId="0" borderId="39" xfId="0" applyFont="1" applyBorder="1" applyAlignment="1">
      <alignment horizontal="center" vertical="center"/>
    </xf>
    <xf numFmtId="0" fontId="39" fillId="0" borderId="39" xfId="0" applyNumberFormat="1" applyFont="1" applyBorder="1" applyAlignment="1">
      <alignment horizontal="center" vertical="center" wrapText="1"/>
    </xf>
    <xf numFmtId="0" fontId="39" fillId="21" borderId="27" xfId="0" applyFont="1" applyFill="1" applyBorder="1" applyAlignment="1">
      <alignment horizontal="center" vertical="center"/>
    </xf>
    <xf numFmtId="164" fontId="39" fillId="0" borderId="39" xfId="0" applyNumberFormat="1" applyFont="1" applyFill="1" applyBorder="1" applyAlignment="1">
      <alignment horizontal="center" vertical="center"/>
    </xf>
    <xf numFmtId="165" fontId="39" fillId="21" borderId="27" xfId="0" applyNumberFormat="1" applyFont="1" applyFill="1" applyBorder="1" applyAlignment="1">
      <alignment horizontal="center" vertical="center"/>
    </xf>
    <xf numFmtId="165" fontId="40" fillId="0" borderId="20" xfId="0" applyNumberFormat="1" applyFont="1" applyBorder="1" applyAlignment="1">
      <alignment vertical="center"/>
    </xf>
    <xf numFmtId="0" fontId="41" fillId="0" borderId="22" xfId="0" applyFont="1" applyBorder="1" applyAlignment="1">
      <alignment horizontal="center" vertical="center"/>
    </xf>
    <xf numFmtId="14" fontId="41" fillId="0" borderId="31" xfId="0" applyNumberFormat="1" applyFont="1" applyBorder="1" applyAlignment="1">
      <alignment vertical="center"/>
    </xf>
    <xf numFmtId="165" fontId="41" fillId="0" borderId="20" xfId="0" applyNumberFormat="1" applyFont="1" applyBorder="1" applyAlignment="1">
      <alignment vertical="center"/>
    </xf>
    <xf numFmtId="0" fontId="41" fillId="0" borderId="11" xfId="0" applyFont="1" applyBorder="1" applyAlignment="1">
      <alignment horizontal="center" vertical="center"/>
    </xf>
    <xf numFmtId="165" fontId="41" fillId="21" borderId="27" xfId="0" applyNumberFormat="1" applyFont="1" applyFill="1" applyBorder="1" applyAlignment="1">
      <alignment horizontal="center" vertical="center"/>
    </xf>
    <xf numFmtId="164" fontId="0" fillId="0" borderId="29" xfId="0" applyNumberFormat="1" applyFont="1" applyFill="1" applyBorder="1" applyAlignment="1">
      <alignment horizontal="center" vertical="center"/>
    </xf>
    <xf numFmtId="164" fontId="36" fillId="0" borderId="39" xfId="0" applyNumberFormat="1" applyFont="1" applyFill="1" applyBorder="1" applyAlignment="1">
      <alignment horizontal="center" vertical="center"/>
    </xf>
    <xf numFmtId="0" fontId="22" fillId="0" borderId="27" xfId="0" applyFont="1" applyBorder="1" applyAlignment="1">
      <alignment horizontal="center" vertical="center"/>
    </xf>
    <xf numFmtId="0" fontId="22" fillId="0" borderId="29" xfId="0" applyFont="1" applyBorder="1" applyAlignment="1">
      <alignment horizontal="center" vertical="center"/>
    </xf>
    <xf numFmtId="0" fontId="0" fillId="0" borderId="0" xfId="0" applyAlignment="1">
      <alignment horizontal="center" vertical="center" wrapText="1"/>
    </xf>
    <xf numFmtId="0" fontId="42" fillId="0" borderId="1" xfId="0" applyFont="1" applyFill="1" applyBorder="1" applyAlignment="1">
      <alignment vertical="center"/>
    </xf>
    <xf numFmtId="0" fontId="0" fillId="0" borderId="1" xfId="0" applyFont="1" applyFill="1" applyBorder="1"/>
    <xf numFmtId="164" fontId="0" fillId="0" borderId="1" xfId="0" applyNumberFormat="1" applyFont="1" applyFill="1" applyBorder="1"/>
    <xf numFmtId="0" fontId="36" fillId="0" borderId="0" xfId="30" applyNumberFormat="1" applyFont="1" applyBorder="1" applyAlignment="1">
      <alignment horizontal="center" vertical="center" wrapText="1"/>
    </xf>
    <xf numFmtId="14" fontId="0" fillId="0" borderId="1" xfId="0" applyNumberFormat="1" applyFont="1" applyFill="1" applyBorder="1"/>
    <xf numFmtId="0" fontId="36" fillId="0" borderId="29" xfId="0" applyFont="1" applyBorder="1" applyAlignment="1">
      <alignment horizontal="center" vertical="center"/>
    </xf>
    <xf numFmtId="0" fontId="26" fillId="0" borderId="32" xfId="0" applyFont="1" applyBorder="1" applyAlignment="1">
      <alignment horizontal="center" vertical="center"/>
    </xf>
    <xf numFmtId="0" fontId="40" fillId="21" borderId="27" xfId="0" applyFont="1" applyFill="1" applyBorder="1" applyAlignment="1">
      <alignment horizontal="center" vertical="center"/>
    </xf>
    <xf numFmtId="0" fontId="26" fillId="0" borderId="0" xfId="0" applyNumberFormat="1" applyFont="1" applyBorder="1" applyAlignment="1">
      <alignment horizontal="center" vertical="center" wrapText="1"/>
    </xf>
    <xf numFmtId="0" fontId="36" fillId="0" borderId="39" xfId="0" applyFont="1" applyBorder="1" applyAlignment="1">
      <alignment horizontal="center" vertical="center"/>
    </xf>
    <xf numFmtId="0" fontId="22" fillId="0" borderId="32" xfId="0" applyFont="1" applyBorder="1" applyAlignment="1">
      <alignment horizontal="center" vertical="center"/>
    </xf>
    <xf numFmtId="0" fontId="41" fillId="0" borderId="39" xfId="0" applyFont="1" applyBorder="1" applyAlignment="1">
      <alignment horizontal="center" vertical="center"/>
    </xf>
    <xf numFmtId="164" fontId="41" fillId="0" borderId="39" xfId="0" applyNumberFormat="1" applyFont="1" applyFill="1" applyBorder="1" applyAlignment="1">
      <alignment horizontal="center" vertical="center"/>
    </xf>
    <xf numFmtId="0" fontId="40" fillId="0" borderId="11" xfId="0" applyFont="1" applyBorder="1" applyAlignment="1">
      <alignment horizontal="center" vertical="center"/>
    </xf>
    <xf numFmtId="14" fontId="37" fillId="0" borderId="2" xfId="0" applyNumberFormat="1" applyFont="1" applyBorder="1" applyAlignment="1">
      <alignment vertical="center"/>
    </xf>
    <xf numFmtId="165" fontId="26" fillId="0" borderId="10" xfId="0" applyNumberFormat="1" applyFont="1" applyBorder="1" applyAlignment="1">
      <alignment vertical="center"/>
    </xf>
    <xf numFmtId="0" fontId="35" fillId="0" borderId="32" xfId="0" applyFont="1" applyBorder="1" applyAlignment="1">
      <alignment horizontal="center" vertical="center"/>
    </xf>
    <xf numFmtId="0" fontId="39" fillId="0" borderId="39" xfId="30" applyNumberFormat="1" applyFont="1" applyBorder="1" applyAlignment="1">
      <alignment horizontal="center" vertical="center" wrapText="1"/>
    </xf>
    <xf numFmtId="0" fontId="36" fillId="0" borderId="0" xfId="0" applyNumberFormat="1" applyFont="1" applyBorder="1" applyAlignment="1">
      <alignment horizontal="center" vertical="center" wrapText="1"/>
    </xf>
    <xf numFmtId="164" fontId="35" fillId="0" borderId="32" xfId="0" applyNumberFormat="1" applyFont="1" applyFill="1" applyBorder="1" applyAlignment="1">
      <alignment horizontal="center" vertical="center"/>
    </xf>
    <xf numFmtId="165" fontId="36" fillId="0" borderId="10" xfId="0" applyNumberFormat="1" applyFont="1" applyBorder="1" applyAlignment="1">
      <alignment vertical="center"/>
    </xf>
    <xf numFmtId="0" fontId="40" fillId="0" borderId="32" xfId="0" applyFont="1" applyBorder="1" applyAlignment="1">
      <alignment horizontal="center" vertical="center"/>
    </xf>
    <xf numFmtId="0" fontId="0" fillId="0" borderId="32" xfId="0" applyFont="1" applyBorder="1" applyAlignment="1">
      <alignment horizontal="center" vertical="center" wrapText="1"/>
    </xf>
    <xf numFmtId="0" fontId="40" fillId="0" borderId="0" xfId="0" applyNumberFormat="1" applyFont="1" applyBorder="1" applyAlignment="1">
      <alignment horizontal="center" vertical="center" wrapText="1"/>
    </xf>
    <xf numFmtId="0" fontId="0" fillId="0" borderId="0" xfId="0" applyFont="1" applyBorder="1" applyAlignment="1">
      <alignment horizontal="center" vertical="center" wrapText="1"/>
    </xf>
    <xf numFmtId="0" fontId="20" fillId="0" borderId="11" xfId="30" applyNumberFormat="1" applyBorder="1" applyAlignment="1">
      <alignment horizontal="center" vertical="center" wrapText="1"/>
    </xf>
    <xf numFmtId="0" fontId="38" fillId="0" borderId="32" xfId="30" applyNumberFormat="1" applyFont="1" applyBorder="1" applyAlignment="1">
      <alignment horizontal="center" vertical="center" wrapText="1"/>
    </xf>
    <xf numFmtId="165" fontId="38" fillId="21" borderId="10" xfId="0" applyNumberFormat="1" applyFont="1" applyFill="1" applyBorder="1" applyAlignment="1">
      <alignment horizontal="center" vertical="center"/>
    </xf>
    <xf numFmtId="14" fontId="38" fillId="21" borderId="22" xfId="0" applyNumberFormat="1" applyFont="1" applyFill="1" applyBorder="1" applyAlignment="1">
      <alignment horizontal="center" vertical="center"/>
    </xf>
    <xf numFmtId="14" fontId="0" fillId="21" borderId="27" xfId="0" applyNumberFormat="1" applyFont="1" applyFill="1" applyBorder="1" applyAlignment="1">
      <alignment horizontal="center" vertical="center"/>
    </xf>
    <xf numFmtId="164" fontId="40" fillId="0" borderId="32" xfId="0" applyNumberFormat="1" applyFont="1" applyFill="1" applyBorder="1" applyAlignment="1">
      <alignment horizontal="center" vertical="center"/>
    </xf>
    <xf numFmtId="164" fontId="36" fillId="0" borderId="11" xfId="0" applyNumberFormat="1" applyFont="1" applyFill="1" applyBorder="1" applyAlignment="1">
      <alignment horizontal="center" vertical="center"/>
    </xf>
    <xf numFmtId="0" fontId="44" fillId="0" borderId="0" xfId="0" applyFont="1"/>
    <xf numFmtId="0" fontId="23" fillId="0" borderId="39" xfId="0" applyFont="1" applyBorder="1" applyAlignment="1">
      <alignment horizontal="center" vertical="center"/>
    </xf>
    <xf numFmtId="0" fontId="0" fillId="0" borderId="11" xfId="0" applyBorder="1"/>
    <xf numFmtId="0" fontId="0" fillId="0" borderId="0" xfId="0" applyFont="1" applyBorder="1" applyAlignment="1">
      <alignment horizontal="left" vertical="center" wrapText="1"/>
    </xf>
    <xf numFmtId="0" fontId="30" fillId="0" borderId="11" xfId="0" applyFont="1" applyBorder="1" applyAlignment="1">
      <alignment vertical="center"/>
    </xf>
    <xf numFmtId="165" fontId="1" fillId="0" borderId="29" xfId="0" applyNumberFormat="1" applyFont="1" applyBorder="1" applyAlignment="1">
      <alignment horizontal="left" vertical="center" wrapText="1"/>
    </xf>
    <xf numFmtId="0" fontId="30" fillId="0" borderId="11" xfId="0" applyFont="1" applyBorder="1"/>
    <xf numFmtId="0" fontId="0" fillId="0" borderId="39" xfId="0" applyFont="1" applyBorder="1" applyAlignment="1">
      <alignment horizontal="center" vertical="center" wrapText="1"/>
    </xf>
    <xf numFmtId="0" fontId="26" fillId="0" borderId="10" xfId="0" applyNumberFormat="1" applyFont="1" applyBorder="1" applyAlignment="1">
      <alignment horizontal="center" vertical="center" wrapText="1"/>
    </xf>
    <xf numFmtId="0" fontId="23" fillId="0" borderId="39" xfId="0" applyNumberFormat="1" applyFont="1" applyBorder="1" applyAlignment="1">
      <alignment horizontal="center" vertical="center" wrapText="1"/>
    </xf>
    <xf numFmtId="14" fontId="20" fillId="0" borderId="10" xfId="30" applyNumberFormat="1" applyFill="1" applyBorder="1" applyAlignment="1">
      <alignment horizontal="center" vertical="center"/>
    </xf>
    <xf numFmtId="165" fontId="36" fillId="21" borderId="27" xfId="0" applyNumberFormat="1" applyFont="1" applyFill="1" applyBorder="1" applyAlignment="1">
      <alignment horizontal="center" vertical="center"/>
    </xf>
    <xf numFmtId="164" fontId="0" fillId="0" borderId="32" xfId="0" applyNumberFormat="1" applyFont="1" applyFill="1" applyBorder="1" applyAlignment="1">
      <alignment horizontal="center" vertical="center" wrapText="1"/>
    </xf>
    <xf numFmtId="14" fontId="0" fillId="0" borderId="29" xfId="0" applyNumberFormat="1" applyFont="1" applyFill="1" applyBorder="1"/>
    <xf numFmtId="0" fontId="37" fillId="0" borderId="21" xfId="0" applyFont="1" applyBorder="1" applyAlignment="1">
      <alignment horizontal="center" vertical="center"/>
    </xf>
    <xf numFmtId="165" fontId="37" fillId="0" borderId="10" xfId="0" applyNumberFormat="1" applyFont="1" applyBorder="1" applyAlignment="1">
      <alignment vertical="center"/>
    </xf>
    <xf numFmtId="0" fontId="42" fillId="0" borderId="11" xfId="0" applyFont="1" applyBorder="1" applyAlignment="1">
      <alignment vertical="center" wrapText="1"/>
    </xf>
    <xf numFmtId="0" fontId="0" fillId="0" borderId="10" xfId="30" applyNumberFormat="1" applyFont="1" applyBorder="1" applyAlignment="1">
      <alignment horizontal="center" vertical="center" wrapText="1"/>
    </xf>
    <xf numFmtId="165" fontId="20" fillId="0" borderId="39" xfId="30" applyNumberFormat="1" applyBorder="1" applyAlignment="1">
      <alignment horizontal="center" vertical="center" wrapText="1"/>
    </xf>
    <xf numFmtId="0" fontId="36" fillId="21" borderId="10" xfId="0" applyFont="1" applyFill="1" applyBorder="1" applyAlignment="1">
      <alignment horizontal="center" vertical="center"/>
    </xf>
    <xf numFmtId="0" fontId="45" fillId="0" borderId="22" xfId="0" applyFont="1" applyBorder="1" applyAlignment="1">
      <alignment horizontal="center" vertical="center"/>
    </xf>
    <xf numFmtId="14" fontId="45" fillId="0" borderId="31" xfId="0" applyNumberFormat="1" applyFont="1" applyBorder="1" applyAlignment="1">
      <alignment vertical="center"/>
    </xf>
    <xf numFmtId="165" fontId="45" fillId="0" borderId="20" xfId="0" applyNumberFormat="1" applyFont="1" applyBorder="1" applyAlignment="1">
      <alignment vertical="center"/>
    </xf>
    <xf numFmtId="0" fontId="45" fillId="0" borderId="11" xfId="0" applyFont="1" applyBorder="1" applyAlignment="1">
      <alignment horizontal="center" vertical="center"/>
    </xf>
    <xf numFmtId="0" fontId="45" fillId="0" borderId="39" xfId="0" applyFont="1" applyBorder="1" applyAlignment="1">
      <alignment horizontal="center" vertical="center"/>
    </xf>
    <xf numFmtId="14" fontId="45" fillId="21" borderId="27" xfId="0" applyNumberFormat="1" applyFont="1" applyFill="1" applyBorder="1" applyAlignment="1">
      <alignment horizontal="center" vertical="center"/>
    </xf>
    <xf numFmtId="164" fontId="45" fillId="0" borderId="39" xfId="0" applyNumberFormat="1" applyFont="1" applyFill="1" applyBorder="1" applyAlignment="1">
      <alignment horizontal="center" vertical="center"/>
    </xf>
    <xf numFmtId="0" fontId="0" fillId="28" borderId="0" xfId="0" applyFont="1" applyFill="1"/>
    <xf numFmtId="0" fontId="42" fillId="28" borderId="1" xfId="0" applyFont="1" applyFill="1" applyBorder="1" applyAlignment="1">
      <alignment vertical="center"/>
    </xf>
    <xf numFmtId="164" fontId="0" fillId="28" borderId="1" xfId="0" applyNumberFormat="1" applyFont="1" applyFill="1" applyBorder="1"/>
    <xf numFmtId="0" fontId="0" fillId="28" borderId="1" xfId="0" applyFont="1" applyFill="1" applyBorder="1"/>
    <xf numFmtId="14" fontId="0" fillId="28" borderId="1" xfId="0" applyNumberFormat="1" applyFont="1" applyFill="1" applyBorder="1"/>
    <xf numFmtId="0" fontId="46" fillId="0" borderId="22" xfId="0" applyFont="1" applyBorder="1" applyAlignment="1">
      <alignment horizontal="center" vertical="center"/>
    </xf>
    <xf numFmtId="14" fontId="46" fillId="0" borderId="31" xfId="0" applyNumberFormat="1" applyFont="1" applyBorder="1" applyAlignment="1">
      <alignment vertical="center"/>
    </xf>
    <xf numFmtId="165" fontId="46" fillId="0" borderId="20" xfId="0" applyNumberFormat="1" applyFont="1" applyBorder="1" applyAlignment="1">
      <alignment vertical="center"/>
    </xf>
    <xf numFmtId="0" fontId="46" fillId="0" borderId="11" xfId="0" applyFont="1" applyBorder="1" applyAlignment="1">
      <alignment horizontal="center" vertical="center"/>
    </xf>
    <xf numFmtId="0" fontId="46" fillId="21" borderId="27" xfId="0" applyFont="1" applyFill="1" applyBorder="1" applyAlignment="1">
      <alignment horizontal="center" vertical="center"/>
    </xf>
    <xf numFmtId="0" fontId="46" fillId="0" borderId="32" xfId="0" applyFont="1" applyBorder="1" applyAlignment="1">
      <alignment horizontal="center" vertical="center"/>
    </xf>
    <xf numFmtId="164" fontId="46" fillId="0" borderId="32" xfId="0" applyNumberFormat="1" applyFont="1" applyFill="1" applyBorder="1" applyAlignment="1">
      <alignment horizontal="center" vertical="center"/>
    </xf>
    <xf numFmtId="14" fontId="45" fillId="0" borderId="2" xfId="0" applyNumberFormat="1" applyFont="1" applyBorder="1" applyAlignment="1">
      <alignment vertical="center"/>
    </xf>
    <xf numFmtId="0" fontId="20" fillId="0" borderId="39" xfId="30" applyNumberFormat="1" applyFill="1" applyBorder="1" applyAlignment="1">
      <alignment horizontal="center" vertical="center" wrapText="1"/>
    </xf>
    <xf numFmtId="0" fontId="46" fillId="0" borderId="39" xfId="0" applyFont="1" applyBorder="1" applyAlignment="1">
      <alignment horizontal="center" vertical="center"/>
    </xf>
    <xf numFmtId="164" fontId="46" fillId="0" borderId="39" xfId="0" applyNumberFormat="1" applyFont="1" applyFill="1" applyBorder="1" applyAlignment="1">
      <alignment horizontal="center" vertical="center"/>
    </xf>
    <xf numFmtId="0" fontId="14" fillId="0" borderId="1" xfId="0" applyFont="1" applyFill="1" applyBorder="1"/>
    <xf numFmtId="165" fontId="0" fillId="21" borderId="32" xfId="0" applyNumberFormat="1" applyFont="1" applyFill="1" applyBorder="1" applyAlignment="1">
      <alignment horizontal="center" vertical="center"/>
    </xf>
    <xf numFmtId="14" fontId="0" fillId="0" borderId="31" xfId="0" applyNumberFormat="1" applyFont="1" applyBorder="1" applyAlignment="1">
      <alignment horizontal="center" vertical="center"/>
    </xf>
    <xf numFmtId="14" fontId="0" fillId="0" borderId="31" xfId="0" applyNumberFormat="1" applyFont="1" applyFill="1" applyBorder="1" applyAlignment="1">
      <alignment horizontal="center" vertical="center"/>
    </xf>
    <xf numFmtId="0" fontId="23" fillId="0" borderId="27" xfId="0" applyFont="1" applyBorder="1" applyAlignment="1">
      <alignment horizontal="center" vertical="center"/>
    </xf>
    <xf numFmtId="14" fontId="36" fillId="0" borderId="31" xfId="0" applyNumberFormat="1" applyFont="1" applyBorder="1" applyAlignment="1">
      <alignment vertical="center"/>
    </xf>
    <xf numFmtId="14" fontId="35" fillId="0" borderId="31" xfId="0" applyNumberFormat="1" applyFont="1" applyBorder="1" applyAlignment="1">
      <alignment vertical="center"/>
    </xf>
    <xf numFmtId="0" fontId="23" fillId="0" borderId="29" xfId="0" applyFont="1" applyBorder="1" applyAlignment="1">
      <alignment horizontal="center" vertical="center"/>
    </xf>
    <xf numFmtId="0" fontId="37" fillId="0" borderId="39" xfId="0" applyFont="1" applyBorder="1" applyAlignment="1">
      <alignment horizontal="center" vertical="center"/>
    </xf>
    <xf numFmtId="0" fontId="41" fillId="0" borderId="32" xfId="0" applyFont="1" applyBorder="1" applyAlignment="1">
      <alignment horizontal="center" vertical="center"/>
    </xf>
    <xf numFmtId="0" fontId="28" fillId="0" borderId="32" xfId="0" applyFont="1" applyBorder="1" applyAlignment="1">
      <alignment horizontal="center" vertical="center"/>
    </xf>
    <xf numFmtId="0" fontId="0" fillId="0" borderId="27" xfId="0" applyFont="1" applyBorder="1" applyAlignment="1">
      <alignment vertical="center" wrapText="1"/>
    </xf>
    <xf numFmtId="0" fontId="37" fillId="0" borderId="39" xfId="30" applyNumberFormat="1" applyFont="1" applyBorder="1" applyAlignment="1">
      <alignment horizontal="center" vertical="center" wrapText="1"/>
    </xf>
    <xf numFmtId="0" fontId="38" fillId="0" borderId="39" xfId="0" applyNumberFormat="1" applyFont="1" applyFill="1" applyBorder="1" applyAlignment="1">
      <alignment horizontal="center" vertical="center" wrapText="1"/>
    </xf>
    <xf numFmtId="0" fontId="36" fillId="0" borderId="39" xfId="30" applyNumberFormat="1" applyFont="1" applyBorder="1" applyAlignment="1">
      <alignment horizontal="center" vertical="center" wrapText="1"/>
    </xf>
    <xf numFmtId="0" fontId="0" fillId="0" borderId="0" xfId="30" applyNumberFormat="1" applyFont="1" applyFill="1" applyBorder="1" applyAlignment="1">
      <alignment horizontal="center" vertical="center" wrapText="1"/>
    </xf>
    <xf numFmtId="14" fontId="20" fillId="0" borderId="0" xfId="30" applyNumberFormat="1" applyFill="1" applyBorder="1" applyAlignment="1">
      <alignment horizontal="center" vertical="center"/>
    </xf>
    <xf numFmtId="0" fontId="41" fillId="0" borderId="0" xfId="30" applyNumberFormat="1" applyFont="1" applyFill="1" applyBorder="1" applyAlignment="1">
      <alignment horizontal="center" vertical="center" wrapText="1"/>
    </xf>
    <xf numFmtId="0" fontId="45" fillId="0" borderId="39" xfId="0" applyNumberFormat="1" applyFont="1" applyBorder="1" applyAlignment="1">
      <alignment horizontal="center" vertical="center" wrapText="1"/>
    </xf>
    <xf numFmtId="0" fontId="37" fillId="21" borderId="27" xfId="0" applyFont="1" applyFill="1" applyBorder="1" applyAlignment="1">
      <alignment horizontal="center" vertical="center"/>
    </xf>
    <xf numFmtId="164" fontId="37" fillId="0" borderId="39" xfId="0" applyNumberFormat="1" applyFont="1" applyFill="1" applyBorder="1" applyAlignment="1">
      <alignment horizontal="center" vertical="center"/>
    </xf>
    <xf numFmtId="164" fontId="41" fillId="0" borderId="32" xfId="0" applyNumberFormat="1" applyFont="1" applyFill="1" applyBorder="1" applyAlignment="1">
      <alignment horizontal="center" vertical="center"/>
    </xf>
    <xf numFmtId="14" fontId="0" fillId="0" borderId="10" xfId="0" applyNumberFormat="1" applyFont="1" applyFill="1" applyBorder="1"/>
    <xf numFmtId="0" fontId="26" fillId="0" borderId="21" xfId="0" applyFont="1" applyBorder="1" applyAlignment="1">
      <alignment horizontal="center" vertical="center"/>
    </xf>
    <xf numFmtId="0" fontId="45" fillId="0" borderId="21" xfId="0" applyFont="1" applyBorder="1" applyAlignment="1">
      <alignment horizontal="center" vertical="center"/>
    </xf>
    <xf numFmtId="164" fontId="0" fillId="0" borderId="2" xfId="0" applyNumberFormat="1" applyFont="1" applyBorder="1" applyAlignment="1">
      <alignment horizontal="center" vertical="center"/>
    </xf>
    <xf numFmtId="165" fontId="45" fillId="0" borderId="10" xfId="0" applyNumberFormat="1" applyFont="1" applyBorder="1" applyAlignment="1">
      <alignment vertical="center"/>
    </xf>
    <xf numFmtId="165" fontId="0" fillId="0" borderId="10" xfId="0" applyNumberFormat="1" applyFont="1" applyBorder="1" applyAlignment="1">
      <alignment horizontal="left" vertical="center" wrapText="1"/>
    </xf>
    <xf numFmtId="0" fontId="1" fillId="0" borderId="22" xfId="0" applyFont="1" applyBorder="1" applyAlignment="1">
      <alignment horizontal="left" vertical="center" wrapText="1"/>
    </xf>
    <xf numFmtId="0" fontId="41" fillId="0" borderId="39" xfId="0" applyNumberFormat="1" applyFont="1" applyBorder="1" applyAlignment="1">
      <alignment horizontal="center" vertical="center" wrapText="1"/>
    </xf>
    <xf numFmtId="14" fontId="0" fillId="0" borderId="0" xfId="0" applyNumberFormat="1" applyFont="1" applyFill="1" applyBorder="1" applyAlignment="1">
      <alignment horizontal="center" vertical="center"/>
    </xf>
    <xf numFmtId="0" fontId="37" fillId="0" borderId="10" xfId="30" applyNumberFormat="1" applyFont="1" applyFill="1" applyBorder="1" applyAlignment="1">
      <alignment horizontal="center" vertical="center" wrapText="1"/>
    </xf>
    <xf numFmtId="0" fontId="28" fillId="0" borderId="39" xfId="0" applyNumberFormat="1" applyFont="1" applyBorder="1" applyAlignment="1">
      <alignment horizontal="center" vertical="center" wrapText="1"/>
    </xf>
    <xf numFmtId="0" fontId="0" fillId="0" borderId="11" xfId="30" applyNumberFormat="1" applyFont="1" applyBorder="1" applyAlignment="1">
      <alignment horizontal="center" vertical="center" wrapText="1"/>
    </xf>
    <xf numFmtId="0" fontId="20" fillId="0" borderId="20" xfId="30" applyNumberFormat="1" applyBorder="1" applyAlignment="1">
      <alignment horizontal="center" vertical="center" wrapText="1"/>
    </xf>
    <xf numFmtId="0" fontId="46" fillId="0" borderId="0" xfId="0" applyNumberFormat="1" applyFont="1" applyBorder="1" applyAlignment="1">
      <alignment horizontal="center" vertical="center" wrapText="1"/>
    </xf>
    <xf numFmtId="0" fontId="36" fillId="0" borderId="10" xfId="0" applyNumberFormat="1" applyFont="1" applyBorder="1" applyAlignment="1">
      <alignment horizontal="center" vertical="center" wrapText="1"/>
    </xf>
    <xf numFmtId="0" fontId="45" fillId="0" borderId="10" xfId="30" applyNumberFormat="1" applyFont="1" applyFill="1" applyBorder="1" applyAlignment="1">
      <alignment horizontal="center" vertical="center" wrapText="1"/>
    </xf>
    <xf numFmtId="0" fontId="20" fillId="0" borderId="10" xfId="30" applyNumberFormat="1" applyFill="1" applyBorder="1" applyAlignment="1">
      <alignment horizontal="center" vertical="center" wrapText="1"/>
    </xf>
    <xf numFmtId="0" fontId="35" fillId="0" borderId="39" xfId="30" applyNumberFormat="1" applyFont="1" applyBorder="1" applyAlignment="1">
      <alignment horizontal="center" vertical="center" wrapText="1"/>
    </xf>
    <xf numFmtId="0" fontId="38" fillId="0" borderId="11" xfId="30" applyNumberFormat="1" applyFont="1" applyBorder="1" applyAlignment="1">
      <alignment horizontal="center" vertical="center" wrapText="1"/>
    </xf>
    <xf numFmtId="0" fontId="41" fillId="21" borderId="27" xfId="0" applyFont="1" applyFill="1" applyBorder="1" applyAlignment="1">
      <alignment horizontal="center" vertical="center"/>
    </xf>
    <xf numFmtId="0" fontId="0" fillId="21" borderId="10" xfId="0" applyFont="1" applyFill="1" applyBorder="1" applyAlignment="1">
      <alignment horizontal="center" vertical="center" wrapText="1"/>
    </xf>
    <xf numFmtId="165" fontId="37" fillId="21" borderId="10" xfId="0" applyNumberFormat="1" applyFont="1" applyFill="1" applyBorder="1" applyAlignment="1">
      <alignment horizontal="center" vertical="center"/>
    </xf>
    <xf numFmtId="165" fontId="45" fillId="21" borderId="10" xfId="0" applyNumberFormat="1" applyFont="1" applyFill="1" applyBorder="1" applyAlignment="1">
      <alignment horizontal="center" vertical="center"/>
    </xf>
    <xf numFmtId="164" fontId="37" fillId="0" borderId="11" xfId="0" applyNumberFormat="1" applyFont="1" applyFill="1" applyBorder="1" applyAlignment="1">
      <alignment horizontal="center" vertical="center"/>
    </xf>
    <xf numFmtId="164" fontId="45" fillId="0" borderId="11" xfId="0" applyNumberFormat="1" applyFont="1" applyFill="1" applyBorder="1" applyAlignment="1">
      <alignment horizontal="center" vertical="center"/>
    </xf>
    <xf numFmtId="164" fontId="0" fillId="0" borderId="39" xfId="0" applyNumberFormat="1" applyFont="1" applyFill="1" applyBorder="1" applyAlignment="1">
      <alignment horizontal="center" vertical="center" wrapText="1"/>
    </xf>
    <xf numFmtId="14" fontId="0" fillId="0" borderId="22" xfId="0" applyNumberFormat="1" applyFont="1" applyFill="1" applyBorder="1" applyAlignment="1">
      <alignment vertical="center"/>
    </xf>
    <xf numFmtId="43" fontId="0" fillId="0" borderId="0" xfId="0" applyNumberFormat="1" applyFont="1" applyAlignment="1">
      <alignment horizontal="center" vertical="center"/>
    </xf>
    <xf numFmtId="0" fontId="1" fillId="0" borderId="0" xfId="0" applyFont="1" applyAlignment="1">
      <alignment horizontal="right" vertical="center"/>
    </xf>
    <xf numFmtId="0" fontId="17" fillId="20" borderId="40" xfId="0" applyFont="1" applyFill="1" applyBorder="1" applyAlignment="1">
      <alignment horizontal="center" vertical="center"/>
    </xf>
    <xf numFmtId="0" fontId="17" fillId="20" borderId="0" xfId="0" applyFont="1" applyFill="1" applyBorder="1" applyAlignment="1">
      <alignment horizontal="center" vertical="center"/>
    </xf>
    <xf numFmtId="14" fontId="17" fillId="20" borderId="0" xfId="0" applyNumberFormat="1" applyFont="1" applyFill="1" applyBorder="1" applyAlignment="1">
      <alignment horizontal="center" vertical="center"/>
    </xf>
    <xf numFmtId="0" fontId="17" fillId="20" borderId="0" xfId="0" applyFont="1" applyFill="1" applyBorder="1" applyAlignment="1">
      <alignment horizontal="center" vertical="center" wrapText="1"/>
    </xf>
    <xf numFmtId="0" fontId="25" fillId="23" borderId="9" xfId="0" applyFont="1" applyFill="1" applyBorder="1" applyAlignment="1">
      <alignment horizontal="center"/>
    </xf>
    <xf numFmtId="0" fontId="25" fillId="23" borderId="43" xfId="0" applyFont="1" applyFill="1" applyBorder="1" applyAlignment="1">
      <alignment horizontal="center"/>
    </xf>
    <xf numFmtId="0" fontId="25" fillId="23" borderId="45" xfId="0" applyFont="1" applyFill="1" applyBorder="1" applyAlignment="1">
      <alignment horizontal="center"/>
    </xf>
    <xf numFmtId="0" fontId="1" fillId="27" borderId="0" xfId="0" applyFont="1" applyFill="1" applyBorder="1" applyAlignment="1">
      <alignment horizontal="center"/>
    </xf>
    <xf numFmtId="0" fontId="25" fillId="23" borderId="40" xfId="0" applyFont="1" applyFill="1" applyBorder="1" applyAlignment="1">
      <alignment horizontal="center"/>
    </xf>
    <xf numFmtId="0" fontId="25" fillId="23" borderId="0" xfId="0" applyFont="1" applyFill="1" applyBorder="1" applyAlignment="1">
      <alignment horizontal="center"/>
    </xf>
    <xf numFmtId="0" fontId="1" fillId="0" borderId="51" xfId="0" applyFont="1" applyBorder="1" applyAlignment="1">
      <alignment horizontal="center"/>
    </xf>
    <xf numFmtId="0" fontId="1" fillId="0" borderId="52" xfId="0" applyFont="1" applyBorder="1" applyAlignment="1">
      <alignment horizontal="center"/>
    </xf>
  </cellXfs>
  <cellStyles count="49">
    <cellStyle name="60% - Accent1" xfId="18" builtinId="32" customBuiltin="1"/>
    <cellStyle name="60% - Accent2" xfId="20" builtinId="36" customBuiltin="1"/>
    <cellStyle name="60% - Accent3" xfId="22" builtinId="40" customBuiltin="1"/>
    <cellStyle name="60% - Accent4" xfId="24" builtinId="44" customBuiltin="1"/>
    <cellStyle name="60% - Accent5" xfId="26" builtinId="48" customBuiltin="1"/>
    <cellStyle name="60% - Accent6" xfId="28" builtinId="52" customBuiltin="1"/>
    <cellStyle name="Accent1" xfId="17" builtinId="29" customBuiltin="1"/>
    <cellStyle name="Accent2" xfId="19" builtinId="33" customBuiltin="1"/>
    <cellStyle name="Accent3" xfId="21" builtinId="37" customBuiltin="1"/>
    <cellStyle name="Accent4" xfId="23" builtinId="41" customBuiltin="1"/>
    <cellStyle name="Accent5" xfId="25" builtinId="45" customBuiltin="1"/>
    <cellStyle name="Accent6" xfId="27" builtinId="49" customBuiltin="1"/>
    <cellStyle name="Bad" xfId="7" builtinId="27" customBuiltin="1"/>
    <cellStyle name="Calculation" xfId="11" builtinId="22" customBuiltin="1"/>
    <cellStyle name="Check Cell" xfId="13" builtinId="23" customBuiltin="1"/>
    <cellStyle name="Comma" xfId="32" builtinId="3"/>
    <cellStyle name="Comma 2" xfId="33" xr:uid="{00000000-0005-0000-0000-000010000000}"/>
    <cellStyle name="Comma 2 2" xfId="34" xr:uid="{00000000-0005-0000-0000-000011000000}"/>
    <cellStyle name="Comma 3" xfId="35" xr:uid="{00000000-0005-0000-0000-000012000000}"/>
    <cellStyle name="Comma 4" xfId="36" xr:uid="{00000000-0005-0000-0000-000013000000}"/>
    <cellStyle name="Currency 2" xfId="37" xr:uid="{00000000-0005-0000-0000-000014000000}"/>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30" builtinId="8"/>
    <cellStyle name="Input" xfId="9" builtinId="20" customBuiltin="1"/>
    <cellStyle name="Linked Cell" xfId="12" builtinId="24" customBuiltin="1"/>
    <cellStyle name="Neutral" xfId="8" builtinId="28" customBuiltin="1"/>
    <cellStyle name="Normal" xfId="0" builtinId="0"/>
    <cellStyle name="Normal 2" xfId="29" xr:uid="{00000000-0005-0000-0000-000020000000}"/>
    <cellStyle name="Normal 2 2" xfId="38" xr:uid="{00000000-0005-0000-0000-000021000000}"/>
    <cellStyle name="Normal 3" xfId="39" xr:uid="{00000000-0005-0000-0000-000022000000}"/>
    <cellStyle name="Normal 4" xfId="40" xr:uid="{00000000-0005-0000-0000-000023000000}"/>
    <cellStyle name="Normal 4 2" xfId="41" xr:uid="{00000000-0005-0000-0000-000024000000}"/>
    <cellStyle name="Normal 40" xfId="42" xr:uid="{00000000-0005-0000-0000-000025000000}"/>
    <cellStyle name="Normal 5" xfId="43" xr:uid="{00000000-0005-0000-0000-000026000000}"/>
    <cellStyle name="Note 2" xfId="44" xr:uid="{00000000-0005-0000-0000-000027000000}"/>
    <cellStyle name="Output" xfId="10" builtinId="21" customBuiltin="1"/>
    <cellStyle name="Percent" xfId="31" builtinId="5"/>
    <cellStyle name="Percent 2" xfId="45" xr:uid="{00000000-0005-0000-0000-00002A000000}"/>
    <cellStyle name="Percent 2 2" xfId="46" xr:uid="{00000000-0005-0000-0000-00002B000000}"/>
    <cellStyle name="Percent 3" xfId="47" xr:uid="{00000000-0005-0000-0000-00002C000000}"/>
    <cellStyle name="Percent 4" xfId="48" xr:uid="{00000000-0005-0000-0000-00002D000000}"/>
    <cellStyle name="Title" xfId="1" builtinId="15" customBuiltin="1"/>
    <cellStyle name="Total" xfId="16" builtinId="25" customBuiltin="1"/>
    <cellStyle name="Warning Text" xfId="14" builtinId="11" customBuiltin="1"/>
  </cellStyles>
  <dxfs count="176">
    <dxf>
      <font>
        <b val="0"/>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font>
      <numFmt numFmtId="164" formatCode="0.0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font>
      <numFmt numFmtId="164" formatCode="0.0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Arial"/>
        <family val="2"/>
        <scheme val="none"/>
      </font>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Arial"/>
        <family val="2"/>
        <scheme val="none"/>
      </font>
      <fill>
        <patternFill patternType="none">
          <fgColor indexed="64"/>
          <bgColor auto="1"/>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Arial"/>
        <family val="2"/>
        <scheme val="none"/>
      </font>
      <fill>
        <patternFill patternType="none">
          <fgColor indexed="64"/>
          <bgColor auto="1"/>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fill>
        <patternFill patternType="none">
          <fgColor indexed="64"/>
          <bgColor auto="1"/>
        </patternFill>
      </fill>
    </dxf>
    <dxf>
      <alignment horizontal="center" vertical="center" textRotation="0" wrapText="1" indent="0" justifyLastLine="0" shrinkToFit="0" readingOrder="0"/>
    </dxf>
    <dxf>
      <alignment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19" formatCode="d/mm/yyyy"/>
      <alignment vertical="center" textRotation="0" indent="0" justifyLastLine="0" shrinkToFit="0" readingOrder="0"/>
    </dxf>
    <dxf>
      <numFmt numFmtId="19" formatCode="d/mm/yyyy"/>
      <alignment vertical="center" textRotation="0" indent="0" justifyLastLine="0" shrinkToFit="0" readingOrder="0"/>
    </dxf>
    <dxf>
      <alignment vertical="center" textRotation="0" indent="0" justifyLastLine="0" shrinkToFit="0" readingOrder="0"/>
    </dxf>
    <dxf>
      <numFmt numFmtId="164" formatCode="0.000"/>
      <alignment vertical="center" textRotation="0" indent="0" justifyLastLine="0" shrinkToFit="0" readingOrder="0"/>
    </dxf>
    <dxf>
      <numFmt numFmtId="164" formatCode="0.000"/>
      <alignment vertical="center" textRotation="0" indent="0" justifyLastLine="0" shrinkToFit="0" readingOrder="0"/>
    </dxf>
    <dxf>
      <numFmt numFmtId="164" formatCode="0.000"/>
      <alignment vertical="center" textRotation="0" indent="0" justifyLastLine="0" shrinkToFit="0" readingOrder="0"/>
    </dxf>
    <dxf>
      <alignment vertical="center" textRotation="0" indent="0" justifyLastLine="0" shrinkToFit="0" readingOrder="0"/>
    </dxf>
    <dxf>
      <numFmt numFmtId="0" formatCode="General"/>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border outline="0">
        <top style="medium">
          <color indexed="64"/>
        </top>
      </border>
    </dxf>
    <dxf>
      <alignment vertical="center" textRotation="0" indent="0" justifyLastLine="0" shrinkToFit="0" readingOrder="0"/>
    </dxf>
    <dxf>
      <border outline="0">
        <bottom style="medium">
          <color indexed="64"/>
        </bottom>
      </border>
    </dxf>
    <dxf>
      <font>
        <b/>
        <i val="0"/>
        <strike val="0"/>
        <condense val="0"/>
        <extend val="0"/>
        <outline val="0"/>
        <shadow val="0"/>
        <u val="none"/>
        <vertAlign val="baseline"/>
        <sz val="10"/>
        <color theme="0"/>
        <name val="Arial"/>
        <scheme val="none"/>
      </font>
      <fill>
        <patternFill patternType="solid">
          <fgColor indexed="64"/>
          <bgColor theme="3" tint="0.39997558519241921"/>
        </patternFill>
      </fill>
      <alignment horizontal="center" vertical="center" textRotation="0" wrapText="1" indent="0" justifyLastLine="0" shrinkToFit="0" readingOrder="0"/>
    </dxf>
    <dxf>
      <font>
        <color auto="1"/>
      </font>
      <fill>
        <patternFill>
          <bgColor theme="0" tint="-0.34998626667073579"/>
        </patternFill>
      </fill>
    </dxf>
    <dxf>
      <font>
        <color theme="1"/>
      </font>
      <fill>
        <patternFill>
          <bgColor theme="6" tint="0.59996337778862885"/>
        </patternFill>
      </fill>
    </dxf>
    <dxf>
      <font>
        <color theme="1"/>
      </font>
      <fill>
        <patternFill>
          <bgColor rgb="FF92D050"/>
        </patternFill>
      </fill>
    </dxf>
    <dxf>
      <font>
        <color auto="1"/>
      </font>
      <fill>
        <patternFill>
          <bgColor theme="0" tint="-0.34998626667073579"/>
        </patternFill>
      </fill>
    </dxf>
    <dxf>
      <font>
        <color theme="1"/>
      </font>
      <fill>
        <patternFill>
          <bgColor theme="6" tint="0.59996337778862885"/>
        </patternFill>
      </fill>
    </dxf>
    <dxf>
      <font>
        <color theme="1"/>
      </font>
      <fill>
        <patternFill>
          <bgColor rgb="FF92D050"/>
        </patternFill>
      </fill>
    </dxf>
    <dxf>
      <fill>
        <patternFill>
          <bgColor rgb="FF92D050"/>
        </patternFill>
      </fill>
    </dxf>
    <dxf>
      <fill>
        <patternFill>
          <bgColor rgb="FFFFFF00"/>
        </patternFill>
      </fill>
    </dxf>
    <dxf>
      <font>
        <color auto="1"/>
      </font>
      <fill>
        <patternFill>
          <bgColor rgb="FFFF0000"/>
        </patternFill>
      </fill>
    </dxf>
    <dxf>
      <font>
        <color auto="1"/>
      </font>
      <fill>
        <patternFill>
          <bgColor theme="9"/>
        </patternFill>
      </fill>
    </dxf>
    <dxf>
      <fill>
        <patternFill>
          <bgColor rgb="FFFF66FF"/>
        </patternFill>
      </fill>
    </dxf>
    <dxf>
      <font>
        <color theme="0"/>
      </font>
      <fill>
        <patternFill>
          <bgColor rgb="FF9933FF"/>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ill>
        <patternFill>
          <bgColor theme="6" tint="0.39994506668294322"/>
        </patternFill>
      </fill>
    </dxf>
    <dxf>
      <fill>
        <patternFill>
          <bgColor rgb="FF66FF3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0" formatCode="General"/>
    </dxf>
    <dxf>
      <font>
        <b val="0"/>
      </font>
      <numFmt numFmtId="170" formatCode="mmm"/>
    </dxf>
    <dxf>
      <font>
        <b val="0"/>
      </font>
    </dxf>
    <dxf>
      <font>
        <b val="0"/>
      </font>
      <numFmt numFmtId="19" formatCode="d/mm/yyyy"/>
      <fill>
        <patternFill patternType="none">
          <fgColor indexed="64"/>
          <bgColor auto="1"/>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Arial"/>
        <scheme val="none"/>
      </font>
      <numFmt numFmtId="164" formatCode="0.00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vertical/>
        <horizontal/>
      </border>
    </dxf>
    <dxf>
      <font>
        <b val="0"/>
      </font>
      <numFmt numFmtId="164" formatCode="0.000"/>
      <fill>
        <patternFill patternType="none">
          <fgColor indexed="64"/>
          <bgColor auto="1"/>
        </patternFill>
      </fill>
      <alignment horizontal="center" vertical="center" textRotation="0" indent="0" justifyLastLine="0" shrinkToFit="0" readingOrder="0"/>
      <border diagonalUp="0" diagonalDown="0" outline="0">
        <left/>
        <right style="thin">
          <color indexed="64"/>
        </right>
        <top style="thin">
          <color indexed="64"/>
        </top>
        <bottom style="thin">
          <color indexed="64"/>
        </bottom>
      </border>
    </dxf>
    <dxf>
      <font>
        <b val="0"/>
      </font>
      <numFmt numFmtId="164" formatCode="0.000"/>
      <fill>
        <patternFill patternType="none">
          <fgColor indexed="64"/>
          <bgColor auto="1"/>
        </patternFill>
      </fill>
      <alignment horizontal="center" vertical="center" textRotation="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scheme val="none"/>
      </font>
      <fill>
        <patternFill patternType="solid">
          <fgColor indexed="64"/>
          <bgColor theme="1"/>
        </patternFill>
      </fill>
      <alignment horizontal="center" vertical="center" textRotation="0" wrapText="0" indent="0" justifyLastLine="0" shrinkToFit="0" readingOrder="0"/>
      <border diagonalUp="0" diagonalDown="0" outline="0">
        <left/>
        <right style="thin">
          <color indexed="64"/>
        </right>
        <top style="thin">
          <color indexed="64"/>
        </top>
        <bottom/>
      </border>
    </dxf>
    <dxf>
      <font>
        <b val="0"/>
      </font>
      <alignment horizontal="center" vertical="center" textRotation="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border diagonalUp="0" diagonalDown="0">
        <left/>
        <right/>
        <top style="thin">
          <color indexed="64"/>
        </top>
        <bottom/>
      </border>
    </dxf>
    <dxf>
      <font>
        <b val="0"/>
      </font>
      <alignment horizontal="left" vertical="center" textRotation="0" wrapText="1" indent="0" justifyLastLine="0" shrinkToFit="0" readingOrder="0"/>
      <border diagonalUp="0" diagonalDown="0" outline="0">
        <left style="thin">
          <color indexed="64"/>
        </left>
        <right/>
        <top style="thin">
          <color indexed="64"/>
        </top>
        <bottom style="thin">
          <color indexed="64"/>
        </bottom>
      </border>
    </dxf>
    <dxf>
      <font>
        <b val="0"/>
      </font>
      <alignment vertical="center" textRotation="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scheme val="none"/>
      </font>
      <alignment horizontal="center" vertical="center" textRotation="0" wrapText="0"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0"/>
        <color theme="1"/>
        <name val="Arial"/>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font>
      <alignment horizontal="center" vertical="center" textRotation="0" indent="0" justifyLastLine="0" shrinkToFit="0" readingOrder="0"/>
      <border diagonalUp="0" diagonalDown="0" outline="0">
        <left style="thin">
          <color indexed="64"/>
        </left>
        <right/>
        <top style="thin">
          <color indexed="64"/>
        </top>
        <bottom style="thin">
          <color indexed="64"/>
        </bottom>
      </border>
    </dxf>
    <dxf>
      <font>
        <b val="0"/>
      </font>
      <alignment horizontal="center" vertical="center" textRotation="0" wrapText="1" indent="0" justifyLastLine="0" shrinkToFit="0" readingOrder="0"/>
      <border diagonalUp="0" diagonalDown="0" outline="0">
        <left style="thin">
          <color indexed="64"/>
        </left>
        <right/>
        <top/>
        <bottom style="thin">
          <color indexed="64"/>
        </bottom>
      </border>
    </dxf>
    <dxf>
      <font>
        <b val="0"/>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scheme val="none"/>
      </font>
      <numFmt numFmtId="165" formatCode="d/mm/yyyy;@"/>
      <alignment horizontal="general" vertical="center" textRotation="0" wrapText="0" indent="0" justifyLastLine="0" shrinkToFit="0" readingOrder="0"/>
      <border diagonalUp="0" diagonalDown="0">
        <left style="thin">
          <color indexed="64"/>
        </left>
        <right/>
        <top/>
        <bottom/>
        <vertical/>
        <horizontal/>
      </border>
    </dxf>
    <dxf>
      <font>
        <b val="0"/>
      </font>
      <numFmt numFmtId="165" formatCode="d/mm/yyyy;@"/>
      <alignment horizontal="general" vertical="center" textRotation="0" wrapText="0" indent="0" justifyLastLine="0" shrinkToFit="0" readingOrder="0"/>
      <border diagonalUp="0" diagonalDown="0" outline="0">
        <left style="thin">
          <color indexed="64"/>
        </left>
        <right/>
        <top/>
        <bottom style="thin">
          <color indexed="64"/>
        </bottom>
      </border>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border diagonalUp="0" diagonalDown="0">
        <left style="thin">
          <color indexed="64"/>
        </left>
        <right/>
        <top/>
        <bottom/>
        <vertical/>
        <horizontal/>
      </border>
    </dxf>
    <dxf>
      <font>
        <b val="0"/>
      </font>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164" formatCode="0.000"/>
      <alignment vertical="center" textRotation="0" indent="0" justifyLastLine="0" shrinkToFit="0" readingOrder="0"/>
      <border diagonalUp="0" diagonalDown="0" outline="0">
        <left style="thin">
          <color indexed="64"/>
        </left>
        <right style="thin">
          <color indexed="64"/>
        </right>
        <top/>
        <bottom style="thin">
          <color indexed="64"/>
        </bottom>
      </border>
    </dxf>
    <dxf>
      <font>
        <b val="0"/>
      </font>
      <numFmt numFmtId="164" formatCode="0.000"/>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164" formatCode="0.000"/>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font>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scheme val="none"/>
      </font>
      <numFmt numFmtId="19" formatCode="d/mm/yyyy"/>
      <alignment horizontal="general"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theme="1"/>
        <name val="Arial"/>
        <family val="2"/>
        <scheme val="none"/>
      </font>
      <numFmt numFmtId="19" formatCode="d/mm/yyyy"/>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font>
      <numFmt numFmtId="19" formatCode="d/mm/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font>
      <numFmt numFmtId="0" formatCode="General"/>
      <alignment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font>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font>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b val="0"/>
      </font>
      <alignment vertical="center" textRotation="0" indent="0" justifyLastLine="0" shrinkToFit="0" readingOrder="0"/>
      <border diagonalUp="0" diagonalDown="0" outline="0">
        <left/>
        <right/>
        <top style="thin">
          <color indexed="64"/>
        </top>
        <bottom style="thin">
          <color indexed="64"/>
        </bottom>
      </border>
    </dxf>
    <dxf>
      <border outline="0">
        <left style="thin">
          <color indexed="64"/>
        </left>
        <right style="medium">
          <color indexed="64"/>
        </right>
        <top style="medium">
          <color indexed="64"/>
        </top>
        <bottom style="medium">
          <color indexed="64"/>
        </bottom>
      </border>
    </dxf>
    <dxf>
      <font>
        <b val="0"/>
      </font>
    </dxf>
    <dxf>
      <border outline="0">
        <bottom style="medium">
          <color indexed="64"/>
        </bottom>
      </border>
    </dxf>
    <dxf>
      <font>
        <b/>
        <i val="0"/>
        <strike val="0"/>
        <condense val="0"/>
        <extend val="0"/>
        <outline val="0"/>
        <shadow val="0"/>
        <u val="none"/>
        <vertAlign val="baseline"/>
        <sz val="10"/>
        <color theme="1"/>
        <name val="Arial"/>
        <scheme val="none"/>
      </font>
      <fill>
        <patternFill patternType="solid">
          <fgColor indexed="64"/>
          <bgColor theme="3" tint="0.39997558519241921"/>
        </patternFill>
      </fill>
      <alignment horizontal="center" vertical="center" textRotation="0" wrapText="1" indent="0" justifyLastLine="0" shrinkToFit="0" readingOrder="0"/>
    </dxf>
    <dxf>
      <font>
        <b/>
        <i val="0"/>
      </font>
      <fill>
        <patternFill>
          <bgColor rgb="FFFF0000"/>
        </patternFill>
      </fill>
    </dxf>
    <dxf>
      <fill>
        <patternFill>
          <bgColor rgb="FFFF5D5D"/>
        </patternFill>
      </fill>
    </dxf>
    <dxf>
      <fill>
        <patternFill>
          <bgColor rgb="FF69D8FF"/>
        </patternFill>
      </fill>
    </dxf>
    <dxf>
      <fill>
        <patternFill>
          <bgColor theme="7" tint="0.39994506668294322"/>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ill>
        <patternFill patternType="solid">
          <bgColor rgb="FFFFFF00"/>
        </patternFill>
      </fill>
    </dxf>
    <dxf>
      <font>
        <color theme="1"/>
      </font>
      <fill>
        <patternFill>
          <bgColor theme="6" tint="0.59996337778862885"/>
        </patternFill>
      </fill>
    </dxf>
    <dxf>
      <font>
        <color auto="1"/>
      </font>
      <fill>
        <patternFill>
          <bgColor theme="0" tint="-0.34998626667073579"/>
        </patternFill>
      </fill>
    </dxf>
    <dxf>
      <fill>
        <patternFill patternType="solid">
          <bgColor rgb="FFFFFF00"/>
        </patternFill>
      </fill>
    </dxf>
    <dxf>
      <font>
        <b/>
        <i val="0"/>
      </font>
      <fill>
        <patternFill>
          <bgColor rgb="FFFF0000"/>
        </patternFill>
      </fill>
    </dxf>
    <dxf>
      <font>
        <color theme="1"/>
      </font>
      <fill>
        <patternFill>
          <bgColor theme="6" tint="0.59996337778862885"/>
        </patternFill>
      </fill>
    </dxf>
    <dxf>
      <font>
        <color auto="1"/>
      </font>
      <fill>
        <patternFill>
          <bgColor theme="0" tint="-0.34998626667073579"/>
        </patternFill>
      </fill>
    </dxf>
    <dxf>
      <font>
        <color theme="1"/>
      </font>
      <fill>
        <patternFill>
          <bgColor rgb="FF92D050"/>
        </patternFill>
      </fill>
    </dxf>
    <dxf>
      <fill>
        <patternFill>
          <bgColor rgb="FFFF5757"/>
        </patternFill>
      </fill>
    </dxf>
    <dxf>
      <fill>
        <patternFill>
          <bgColor rgb="FFFFB3FF"/>
        </patternFill>
      </fill>
    </dxf>
    <dxf>
      <font>
        <color theme="0"/>
      </font>
      <fill>
        <patternFill>
          <bgColor rgb="FF9933FF"/>
        </patternFill>
      </fill>
    </dxf>
    <dxf>
      <fill>
        <patternFill>
          <bgColor rgb="FFFF9900"/>
        </patternFill>
      </fill>
    </dxf>
    <dxf>
      <fill>
        <patternFill>
          <bgColor rgb="FF00CC00"/>
        </patternFill>
      </fill>
    </dxf>
    <dxf>
      <fill>
        <patternFill>
          <bgColor rgb="FFFFFF00"/>
        </patternFill>
      </fill>
    </dxf>
    <dxf>
      <fill>
        <patternFill patternType="solid">
          <bgColor rgb="FFFFFF00"/>
        </patternFill>
      </fill>
    </dxf>
    <dxf>
      <font>
        <b/>
        <i val="0"/>
      </font>
      <fill>
        <patternFill patternType="solid">
          <bgColor rgb="FFFF0000"/>
        </patternFill>
      </fill>
    </dxf>
    <dxf>
      <fill>
        <patternFill>
          <bgColor theme="9" tint="0.59996337778862885"/>
        </patternFill>
      </fill>
    </dxf>
    <dxf>
      <font>
        <b/>
        <i val="0"/>
      </font>
      <fill>
        <patternFill patternType="solid">
          <bgColor rgb="FFFF0000"/>
        </patternFill>
      </fill>
    </dxf>
    <dxf>
      <fill>
        <patternFill>
          <bgColor rgb="FFFFFF00"/>
        </patternFill>
      </fill>
    </dxf>
    <dxf>
      <fill>
        <patternFill>
          <bgColor theme="1"/>
        </patternFill>
      </fill>
    </dxf>
    <dxf>
      <font>
        <b/>
        <i val="0"/>
        <color theme="4" tint="-0.499984740745262"/>
      </font>
    </dxf>
    <dxf>
      <font>
        <b/>
        <i val="0"/>
        <color theme="4" tint="-0.499984740745262"/>
      </font>
    </dxf>
    <dxf>
      <font>
        <b/>
        <i val="0"/>
        <color theme="4" tint="-0.499984740745262"/>
      </font>
    </dxf>
    <dxf>
      <font>
        <b/>
        <i val="0"/>
        <color theme="4" tint="-0.499984740745262"/>
      </font>
    </dxf>
    <dxf>
      <fill>
        <patternFill>
          <bgColor theme="0" tint="-0.499984740745262"/>
        </patternFill>
      </fill>
    </dxf>
    <dxf>
      <fill>
        <patternFill>
          <bgColor theme="0" tint="-0.499984740745262"/>
        </patternFill>
      </fill>
    </dxf>
    <dxf>
      <font>
        <color auto="1"/>
      </font>
    </dxf>
  </dxfs>
  <tableStyles count="7" defaultTableStyle="TableStyleMedium2" defaultPivotStyle="PivotStyleLight16">
    <tableStyle name="Paul" table="0" count="0" xr9:uid="{00000000-0011-0000-FFFF-FFFF00000000}"/>
    <tableStyle name="Paul Robertosn" table="0" count="0" xr9:uid="{00000000-0011-0000-FFFF-FFFF01000000}"/>
    <tableStyle name="Paul Robertson Layout - Primervera layout" table="0" count="0" xr9:uid="{00000000-0011-0000-FFFF-FFFF02000000}"/>
    <tableStyle name="PivotTable Style 1" table="0" count="0" xr9:uid="{00000000-0011-0000-FFFF-FFFF03000000}"/>
    <tableStyle name="PivotTable Style 2" table="0" count="1" xr9:uid="{00000000-0011-0000-FFFF-FFFF04000000}">
      <tableStyleElement type="firstSubtotalColumn" dxfId="175"/>
    </tableStyle>
    <tableStyle name="PivotTable Style 3" table="0" count="0" xr9:uid="{00000000-0011-0000-FFFF-FFFF05000000}"/>
    <tableStyle name="PivotTable Style 4" table="0" count="2" xr9:uid="{00000000-0011-0000-FFFF-FFFF06000000}">
      <tableStyleElement type="headerRow" dxfId="174"/>
      <tableStyleElement type="totalRow" dxfId="173"/>
    </tableStyle>
  </tableStyles>
  <colors>
    <mruColors>
      <color rgb="FF9933FF"/>
      <color rgb="FFFF66FF"/>
      <color rgb="FFF68B32"/>
      <color rgb="FFC96009"/>
      <color rgb="FF00FF00"/>
      <color rgb="FF66FF33"/>
      <color rgb="FFFFB3FF"/>
      <color rgb="FF00CC00"/>
      <color rgb="FF69D8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1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1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1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3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blipFill>
              <a:blip xmlns:r="http://schemas.openxmlformats.org/officeDocument/2006/relationships" r:embed="rId1"/>
              <a:stretch>
                <a:fillRect/>
              </a:stretch>
            </a:blipFill>
          </c:spPr>
          <c:invertIfNegative val="0"/>
          <c:dPt>
            <c:idx val="0"/>
            <c:invertIfNegative val="0"/>
            <c:bubble3D val="0"/>
            <c:spPr>
              <a:blipFill>
                <a:blip xmlns:r="http://schemas.openxmlformats.org/officeDocument/2006/relationships" r:embed="rId1"/>
                <a:stretch>
                  <a:fillRect/>
                </a:stretch>
              </a:blipFill>
            </c:spPr>
            <c:pictureOptions>
              <c:pictureFormat val="stack"/>
            </c:pictureOptions>
            <c:extLst>
              <c:ext xmlns:c16="http://schemas.microsoft.com/office/drawing/2014/chart" uri="{C3380CC4-5D6E-409C-BE32-E72D297353CC}">
                <c16:uniqueId val="{00000001-C71F-404F-97A4-69E17411BFDF}"/>
              </c:ext>
            </c:extLst>
          </c:dPt>
          <c:dLbls>
            <c:dLbl>
              <c:idx val="0"/>
              <c:layout>
                <c:manualLayout>
                  <c:x val="-6.0198005723325213E-3"/>
                  <c:y val="9.2592592592592587E-3"/>
                </c:manualLayout>
              </c:layout>
              <c:spPr/>
              <c:txPr>
                <a:bodyPr/>
                <a:lstStyle/>
                <a:p>
                  <a:pPr>
                    <a:defRPr sz="1800" b="1">
                      <a:solidFill>
                        <a:schemeClr val="accent6">
                          <a:lumMod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71F-404F-97A4-69E17411BFDF}"/>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Calcs!$P$53</c:f>
              <c:numCache>
                <c:formatCode>0%</c:formatCode>
                <c:ptCount val="1"/>
                <c:pt idx="0">
                  <c:v>1</c:v>
                </c:pt>
              </c:numCache>
            </c:numRef>
          </c:val>
          <c:extLst>
            <c:ext xmlns:c16="http://schemas.microsoft.com/office/drawing/2014/chart" uri="{C3380CC4-5D6E-409C-BE32-E72D297353CC}">
              <c16:uniqueId val="{00000002-C71F-404F-97A4-69E17411BFDF}"/>
            </c:ext>
          </c:extLst>
        </c:ser>
        <c:ser>
          <c:idx val="1"/>
          <c:order val="1"/>
          <c:spPr>
            <a:blipFill dpi="0" rotWithShape="1">
              <a:blip xmlns:r="http://schemas.openxmlformats.org/officeDocument/2006/relationships" r:embed="rId2">
                <a:alphaModFix amt="32000"/>
              </a:blip>
              <a:srcRect/>
              <a:stretch>
                <a:fillRect/>
              </a:stretch>
            </a:blipFill>
          </c:spPr>
          <c:invertIfNegative val="0"/>
          <c:pictureOptions>
            <c:pictureFormat val="stack"/>
          </c:pictureOptions>
          <c:dPt>
            <c:idx val="0"/>
            <c:invertIfNegative val="0"/>
            <c:bubble3D val="0"/>
            <c:spPr>
              <a:blipFill dpi="0" rotWithShape="1">
                <a:blip xmlns:r="http://schemas.openxmlformats.org/officeDocument/2006/relationships" r:embed="rId3">
                  <a:alphaModFix amt="37000"/>
                </a:blip>
                <a:srcRect/>
                <a:stretch>
                  <a:fillRect/>
                </a:stretch>
              </a:blipFill>
            </c:spPr>
            <c:pictureOptions>
              <c:pictureFormat val="stack"/>
            </c:pictureOptions>
            <c:extLst>
              <c:ext xmlns:c16="http://schemas.microsoft.com/office/drawing/2014/chart" uri="{C3380CC4-5D6E-409C-BE32-E72D297353CC}">
                <c16:uniqueId val="{00000004-C71F-404F-97A4-69E17411BFDF}"/>
              </c:ext>
            </c:extLst>
          </c:dPt>
          <c:val>
            <c:numLit>
              <c:formatCode>General</c:formatCode>
              <c:ptCount val="1"/>
              <c:pt idx="0">
                <c:v>1</c:v>
              </c:pt>
            </c:numLit>
          </c:val>
          <c:extLst>
            <c:ext xmlns:c16="http://schemas.microsoft.com/office/drawing/2014/chart" uri="{C3380CC4-5D6E-409C-BE32-E72D297353CC}">
              <c16:uniqueId val="{00000005-C71F-404F-97A4-69E17411BFDF}"/>
            </c:ext>
          </c:extLst>
        </c:ser>
        <c:dLbls>
          <c:showLegendKey val="0"/>
          <c:showVal val="0"/>
          <c:showCatName val="0"/>
          <c:showSerName val="0"/>
          <c:showPercent val="0"/>
          <c:showBubbleSize val="0"/>
        </c:dLbls>
        <c:gapWidth val="150"/>
        <c:overlap val="100"/>
        <c:axId val="179849088"/>
        <c:axId val="179850624"/>
      </c:barChart>
      <c:catAx>
        <c:axId val="179849088"/>
        <c:scaling>
          <c:orientation val="minMax"/>
        </c:scaling>
        <c:delete val="1"/>
        <c:axPos val="l"/>
        <c:majorTickMark val="out"/>
        <c:minorTickMark val="none"/>
        <c:tickLblPos val="nextTo"/>
        <c:crossAx val="179850624"/>
        <c:crosses val="autoZero"/>
        <c:auto val="1"/>
        <c:lblAlgn val="ctr"/>
        <c:lblOffset val="100"/>
        <c:noMultiLvlLbl val="0"/>
      </c:catAx>
      <c:valAx>
        <c:axId val="179850624"/>
        <c:scaling>
          <c:orientation val="minMax"/>
        </c:scaling>
        <c:delete val="1"/>
        <c:axPos val="b"/>
        <c:numFmt formatCode="0%" sourceLinked="1"/>
        <c:majorTickMark val="out"/>
        <c:minorTickMark val="none"/>
        <c:tickLblPos val="nextTo"/>
        <c:crossAx val="179849088"/>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277774675328702E-2"/>
          <c:y val="1.7094017094017096E-2"/>
          <c:w val="0.87404925448148774"/>
          <c:h val="0.59302160306884721"/>
        </c:manualLayout>
      </c:layout>
      <c:barChart>
        <c:barDir val="col"/>
        <c:grouping val="clustered"/>
        <c:varyColors val="0"/>
        <c:ser>
          <c:idx val="0"/>
          <c:order val="0"/>
          <c:spPr>
            <a:solidFill>
              <a:schemeClr val="accent5">
                <a:lumMod val="75000"/>
              </a:schemeClr>
            </a:solidFill>
          </c:spPr>
          <c:invertIfNegative val="0"/>
          <c:dPt>
            <c:idx val="0"/>
            <c:invertIfNegative val="0"/>
            <c:bubble3D val="0"/>
            <c:spPr>
              <a:solidFill>
                <a:schemeClr val="accent4">
                  <a:lumMod val="75000"/>
                </a:schemeClr>
              </a:solidFill>
            </c:spPr>
            <c:extLst>
              <c:ext xmlns:c16="http://schemas.microsoft.com/office/drawing/2014/chart" uri="{C3380CC4-5D6E-409C-BE32-E72D297353CC}">
                <c16:uniqueId val="{00000001-0580-42EB-A8A9-ABE738842F4E}"/>
              </c:ext>
            </c:extLst>
          </c:dPt>
          <c:dPt>
            <c:idx val="1"/>
            <c:invertIfNegative val="0"/>
            <c:bubble3D val="0"/>
            <c:spPr>
              <a:solidFill>
                <a:schemeClr val="accent4">
                  <a:lumMod val="60000"/>
                  <a:lumOff val="40000"/>
                </a:schemeClr>
              </a:solidFill>
            </c:spPr>
            <c:extLst>
              <c:ext xmlns:c16="http://schemas.microsoft.com/office/drawing/2014/chart" uri="{C3380CC4-5D6E-409C-BE32-E72D297353CC}">
                <c16:uniqueId val="{00000003-0580-42EB-A8A9-ABE738842F4E}"/>
              </c:ext>
            </c:extLst>
          </c:dPt>
          <c:dPt>
            <c:idx val="2"/>
            <c:invertIfNegative val="0"/>
            <c:bubble3D val="0"/>
            <c:spPr>
              <a:solidFill>
                <a:schemeClr val="accent5">
                  <a:lumMod val="50000"/>
                </a:schemeClr>
              </a:solidFill>
            </c:spPr>
            <c:extLst>
              <c:ext xmlns:c16="http://schemas.microsoft.com/office/drawing/2014/chart" uri="{C3380CC4-5D6E-409C-BE32-E72D297353CC}">
                <c16:uniqueId val="{00000005-0580-42EB-A8A9-ABE738842F4E}"/>
              </c:ext>
            </c:extLst>
          </c:dPt>
          <c:dPt>
            <c:idx val="4"/>
            <c:invertIfNegative val="0"/>
            <c:bubble3D val="0"/>
            <c:spPr>
              <a:solidFill>
                <a:schemeClr val="accent5">
                  <a:lumMod val="60000"/>
                  <a:lumOff val="40000"/>
                </a:schemeClr>
              </a:solidFill>
            </c:spPr>
            <c:extLst>
              <c:ext xmlns:c16="http://schemas.microsoft.com/office/drawing/2014/chart" uri="{C3380CC4-5D6E-409C-BE32-E72D297353CC}">
                <c16:uniqueId val="{00000007-0580-42EB-A8A9-ABE738842F4E}"/>
              </c:ext>
            </c:extLst>
          </c:dPt>
          <c:dPt>
            <c:idx val="5"/>
            <c:invertIfNegative val="0"/>
            <c:bubble3D val="0"/>
            <c:spPr>
              <a:solidFill>
                <a:schemeClr val="accent5">
                  <a:lumMod val="40000"/>
                  <a:lumOff val="60000"/>
                </a:schemeClr>
              </a:solidFill>
            </c:spPr>
            <c:extLst>
              <c:ext xmlns:c16="http://schemas.microsoft.com/office/drawing/2014/chart" uri="{C3380CC4-5D6E-409C-BE32-E72D297353CC}">
                <c16:uniqueId val="{00000009-0580-42EB-A8A9-ABE738842F4E}"/>
              </c:ext>
            </c:extLst>
          </c:dPt>
          <c:dPt>
            <c:idx val="6"/>
            <c:invertIfNegative val="0"/>
            <c:bubble3D val="0"/>
            <c:spPr>
              <a:solidFill>
                <a:schemeClr val="accent5">
                  <a:lumMod val="20000"/>
                  <a:lumOff val="80000"/>
                </a:schemeClr>
              </a:solidFill>
            </c:spPr>
            <c:extLst>
              <c:ext xmlns:c16="http://schemas.microsoft.com/office/drawing/2014/chart" uri="{C3380CC4-5D6E-409C-BE32-E72D297353CC}">
                <c16:uniqueId val="{0000000B-0580-42EB-A8A9-ABE738842F4E}"/>
              </c:ext>
            </c:extLst>
          </c:dPt>
          <c:dPt>
            <c:idx val="7"/>
            <c:invertIfNegative val="0"/>
            <c:bubble3D val="0"/>
            <c:spPr>
              <a:solidFill>
                <a:srgbClr val="EDF6F9"/>
              </a:solidFill>
            </c:spPr>
            <c:extLst>
              <c:ext xmlns:c16="http://schemas.microsoft.com/office/drawing/2014/chart" uri="{C3380CC4-5D6E-409C-BE32-E72D297353CC}">
                <c16:uniqueId val="{0000000D-0580-42EB-A8A9-ABE738842F4E}"/>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Summary!$B$8:$B$22</c:f>
              <c:strCache>
                <c:ptCount val="15"/>
                <c:pt idx="0">
                  <c:v>Main Line</c:v>
                </c:pt>
                <c:pt idx="1">
                  <c:v>North Coast Line</c:v>
                </c:pt>
                <c:pt idx="2">
                  <c:v>Ferny Grove Line</c:v>
                </c:pt>
                <c:pt idx="3">
                  <c:v>Inner City Line (via Central)</c:v>
                </c:pt>
                <c:pt idx="4">
                  <c:v>Gold Coast / Beenleigh Line</c:v>
                </c:pt>
                <c:pt idx="5">
                  <c:v>Shorncliffe Line</c:v>
                </c:pt>
                <c:pt idx="6">
                  <c:v>Springfield Line</c:v>
                </c:pt>
                <c:pt idx="7">
                  <c:v>Cleveland Line</c:v>
                </c:pt>
                <c:pt idx="8">
                  <c:v>Redcliffe Line</c:v>
                </c:pt>
                <c:pt idx="9">
                  <c:v>Doomben Line</c:v>
                </c:pt>
                <c:pt idx="10">
                  <c:v>DG Dutton Park - Fisherman Is</c:v>
                </c:pt>
                <c:pt idx="11">
                  <c:v>DG Dutton Park - ARTC Int</c:v>
                </c:pt>
                <c:pt idx="12">
                  <c:v>Tennyson Line</c:v>
                </c:pt>
                <c:pt idx="13">
                  <c:v>QR SPUR</c:v>
                </c:pt>
                <c:pt idx="14">
                  <c:v>DG Inner City</c:v>
                </c:pt>
              </c:strCache>
            </c:strRef>
          </c:cat>
          <c:val>
            <c:numRef>
              <c:f>Summary!$F$8:$F$22</c:f>
              <c:numCache>
                <c:formatCode>0.00</c:formatCode>
                <c:ptCount val="15"/>
                <c:pt idx="0">
                  <c:v>6.3739999999999926</c:v>
                </c:pt>
                <c:pt idx="1">
                  <c:v>10.293000000000012</c:v>
                </c:pt>
                <c:pt idx="2">
                  <c:v>0.88999999999999935</c:v>
                </c:pt>
                <c:pt idx="3">
                  <c:v>0.38500000000000001</c:v>
                </c:pt>
                <c:pt idx="4">
                  <c:v>0.61000000000000076</c:v>
                </c:pt>
                <c:pt idx="5">
                  <c:v>1.7239999999999991</c:v>
                </c:pt>
                <c:pt idx="6">
                  <c:v>0</c:v>
                </c:pt>
                <c:pt idx="7">
                  <c:v>0.41000000000000014</c:v>
                </c:pt>
                <c:pt idx="8">
                  <c:v>0</c:v>
                </c:pt>
                <c:pt idx="9">
                  <c:v>0.88499999999999968</c:v>
                </c:pt>
                <c:pt idx="10">
                  <c:v>1.0200000000000005</c:v>
                </c:pt>
                <c:pt idx="11">
                  <c:v>0.16999999999999993</c:v>
                </c:pt>
                <c:pt idx="12">
                  <c:v>0.67100000000000004</c:v>
                </c:pt>
                <c:pt idx="13">
                  <c:v>0.69999999999999929</c:v>
                </c:pt>
                <c:pt idx="14">
                  <c:v>0</c:v>
                </c:pt>
              </c:numCache>
            </c:numRef>
          </c:val>
          <c:extLst>
            <c:ext xmlns:c16="http://schemas.microsoft.com/office/drawing/2014/chart" uri="{C3380CC4-5D6E-409C-BE32-E72D297353CC}">
              <c16:uniqueId val="{0000000E-0580-42EB-A8A9-ABE738842F4E}"/>
            </c:ext>
          </c:extLst>
        </c:ser>
        <c:dLbls>
          <c:showLegendKey val="0"/>
          <c:showVal val="0"/>
          <c:showCatName val="0"/>
          <c:showSerName val="0"/>
          <c:showPercent val="0"/>
          <c:showBubbleSize val="0"/>
        </c:dLbls>
        <c:gapWidth val="16"/>
        <c:axId val="45277952"/>
        <c:axId val="45279488"/>
      </c:barChart>
      <c:catAx>
        <c:axId val="45277952"/>
        <c:scaling>
          <c:orientation val="minMax"/>
        </c:scaling>
        <c:delete val="0"/>
        <c:axPos val="b"/>
        <c:numFmt formatCode="General" sourceLinked="1"/>
        <c:majorTickMark val="out"/>
        <c:minorTickMark val="none"/>
        <c:tickLblPos val="nextTo"/>
        <c:crossAx val="45279488"/>
        <c:crosses val="autoZero"/>
        <c:auto val="1"/>
        <c:lblAlgn val="ctr"/>
        <c:lblOffset val="100"/>
        <c:noMultiLvlLbl val="0"/>
      </c:catAx>
      <c:valAx>
        <c:axId val="45279488"/>
        <c:scaling>
          <c:orientation val="minMax"/>
        </c:scaling>
        <c:delete val="1"/>
        <c:axPos val="l"/>
        <c:numFmt formatCode="0.00" sourceLinked="1"/>
        <c:majorTickMark val="out"/>
        <c:minorTickMark val="none"/>
        <c:tickLblPos val="nextTo"/>
        <c:crossAx val="45277952"/>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blipFill>
              <a:blip xmlns:r="http://schemas.openxmlformats.org/officeDocument/2006/relationships" r:embed="rId1"/>
              <a:stretch>
                <a:fillRect/>
              </a:stretch>
            </a:blipFill>
          </c:spPr>
          <c:invertIfNegative val="0"/>
          <c:dPt>
            <c:idx val="0"/>
            <c:invertIfNegative val="0"/>
            <c:bubble3D val="0"/>
            <c:spPr>
              <a:blipFill>
                <a:blip xmlns:r="http://schemas.openxmlformats.org/officeDocument/2006/relationships" r:embed="rId1"/>
                <a:stretch>
                  <a:fillRect/>
                </a:stretch>
              </a:blipFill>
            </c:spPr>
            <c:pictureOptions>
              <c:pictureFormat val="stack"/>
            </c:pictureOptions>
            <c:extLst>
              <c:ext xmlns:c16="http://schemas.microsoft.com/office/drawing/2014/chart" uri="{C3380CC4-5D6E-409C-BE32-E72D297353CC}">
                <c16:uniqueId val="{00000001-B6A4-47E2-B382-916DBACF75B5}"/>
              </c:ext>
            </c:extLst>
          </c:dPt>
          <c:dLbls>
            <c:dLbl>
              <c:idx val="0"/>
              <c:layout>
                <c:manualLayout>
                  <c:x val="-6.0198005723325213E-3"/>
                  <c:y val="9.2592592592592587E-3"/>
                </c:manualLayout>
              </c:layout>
              <c:spPr/>
              <c:txPr>
                <a:bodyPr/>
                <a:lstStyle/>
                <a:p>
                  <a:pPr>
                    <a:defRPr sz="1800" b="1">
                      <a:solidFill>
                        <a:schemeClr val="accent6">
                          <a:lumMod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6A4-47E2-B382-916DBACF75B5}"/>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Calcs!$F$5</c:f>
              <c:numCache>
                <c:formatCode>0%</c:formatCode>
                <c:ptCount val="1"/>
                <c:pt idx="0">
                  <c:v>1.1422222222222222</c:v>
                </c:pt>
              </c:numCache>
            </c:numRef>
          </c:val>
          <c:extLst>
            <c:ext xmlns:c16="http://schemas.microsoft.com/office/drawing/2014/chart" uri="{C3380CC4-5D6E-409C-BE32-E72D297353CC}">
              <c16:uniqueId val="{00000002-B6A4-47E2-B382-916DBACF75B5}"/>
            </c:ext>
          </c:extLst>
        </c:ser>
        <c:ser>
          <c:idx val="1"/>
          <c:order val="1"/>
          <c:spPr>
            <a:blipFill dpi="0" rotWithShape="1">
              <a:blip xmlns:r="http://schemas.openxmlformats.org/officeDocument/2006/relationships" r:embed="rId2">
                <a:alphaModFix amt="32000"/>
              </a:blip>
              <a:srcRect/>
              <a:stretch>
                <a:fillRect/>
              </a:stretch>
            </a:blipFill>
          </c:spPr>
          <c:invertIfNegative val="0"/>
          <c:pictureOptions>
            <c:pictureFormat val="stack"/>
          </c:pictureOptions>
          <c:dPt>
            <c:idx val="0"/>
            <c:invertIfNegative val="0"/>
            <c:bubble3D val="0"/>
            <c:spPr>
              <a:blipFill dpi="0" rotWithShape="1">
                <a:blip xmlns:r="http://schemas.openxmlformats.org/officeDocument/2006/relationships" r:embed="rId3">
                  <a:alphaModFix amt="37000"/>
                </a:blip>
                <a:srcRect/>
                <a:stretch>
                  <a:fillRect/>
                </a:stretch>
              </a:blipFill>
            </c:spPr>
            <c:pictureOptions>
              <c:pictureFormat val="stack"/>
            </c:pictureOptions>
            <c:extLst>
              <c:ext xmlns:c16="http://schemas.microsoft.com/office/drawing/2014/chart" uri="{C3380CC4-5D6E-409C-BE32-E72D297353CC}">
                <c16:uniqueId val="{00000004-B6A4-47E2-B382-916DBACF75B5}"/>
              </c:ext>
            </c:extLst>
          </c:dPt>
          <c:val>
            <c:numLit>
              <c:formatCode>General</c:formatCode>
              <c:ptCount val="1"/>
              <c:pt idx="0">
                <c:v>1</c:v>
              </c:pt>
            </c:numLit>
          </c:val>
          <c:extLst>
            <c:ext xmlns:c16="http://schemas.microsoft.com/office/drawing/2014/chart" uri="{C3380CC4-5D6E-409C-BE32-E72D297353CC}">
              <c16:uniqueId val="{00000005-B6A4-47E2-B382-916DBACF75B5}"/>
            </c:ext>
          </c:extLst>
        </c:ser>
        <c:dLbls>
          <c:showLegendKey val="0"/>
          <c:showVal val="0"/>
          <c:showCatName val="0"/>
          <c:showSerName val="0"/>
          <c:showPercent val="0"/>
          <c:showBubbleSize val="0"/>
        </c:dLbls>
        <c:gapWidth val="150"/>
        <c:overlap val="100"/>
        <c:axId val="45435520"/>
        <c:axId val="45437312"/>
      </c:barChart>
      <c:catAx>
        <c:axId val="45435520"/>
        <c:scaling>
          <c:orientation val="minMax"/>
        </c:scaling>
        <c:delete val="1"/>
        <c:axPos val="l"/>
        <c:majorTickMark val="out"/>
        <c:minorTickMark val="none"/>
        <c:tickLblPos val="nextTo"/>
        <c:crossAx val="45437312"/>
        <c:crosses val="autoZero"/>
        <c:auto val="1"/>
        <c:lblAlgn val="ctr"/>
        <c:lblOffset val="100"/>
        <c:noMultiLvlLbl val="0"/>
      </c:catAx>
      <c:valAx>
        <c:axId val="45437312"/>
        <c:scaling>
          <c:orientation val="minMax"/>
        </c:scaling>
        <c:delete val="1"/>
        <c:axPos val="b"/>
        <c:numFmt formatCode="0%" sourceLinked="1"/>
        <c:majorTickMark val="out"/>
        <c:minorTickMark val="none"/>
        <c:tickLblPos val="nextTo"/>
        <c:crossAx val="45435520"/>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blipFill>
              <a:blip xmlns:r="http://schemas.openxmlformats.org/officeDocument/2006/relationships" r:embed="rId1"/>
              <a:stretch>
                <a:fillRect/>
              </a:stretch>
            </a:blipFill>
          </c:spPr>
          <c:invertIfNegative val="0"/>
          <c:dPt>
            <c:idx val="0"/>
            <c:invertIfNegative val="0"/>
            <c:bubble3D val="0"/>
            <c:spPr>
              <a:blipFill>
                <a:blip xmlns:r="http://schemas.openxmlformats.org/officeDocument/2006/relationships" r:embed="rId1"/>
                <a:stretch>
                  <a:fillRect/>
                </a:stretch>
              </a:blipFill>
            </c:spPr>
            <c:pictureOptions>
              <c:pictureFormat val="stack"/>
            </c:pictureOptions>
            <c:extLst>
              <c:ext xmlns:c16="http://schemas.microsoft.com/office/drawing/2014/chart" uri="{C3380CC4-5D6E-409C-BE32-E72D297353CC}">
                <c16:uniqueId val="{00000001-A63C-42C8-9665-F05513DD8E81}"/>
              </c:ext>
            </c:extLst>
          </c:dPt>
          <c:dLbls>
            <c:dLbl>
              <c:idx val="0"/>
              <c:layout>
                <c:manualLayout>
                  <c:x val="-6.0198005723325213E-3"/>
                  <c:y val="9.2592592592592587E-3"/>
                </c:manualLayout>
              </c:layout>
              <c:spPr/>
              <c:txPr>
                <a:bodyPr/>
                <a:lstStyle/>
                <a:p>
                  <a:pPr>
                    <a:defRPr sz="1800" b="1">
                      <a:solidFill>
                        <a:schemeClr val="accent6">
                          <a:lumMod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63C-42C8-9665-F05513DD8E81}"/>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Calcs!$P$46</c:f>
              <c:numCache>
                <c:formatCode>0%</c:formatCode>
                <c:ptCount val="1"/>
                <c:pt idx="0">
                  <c:v>0.5535714285714286</c:v>
                </c:pt>
              </c:numCache>
            </c:numRef>
          </c:val>
          <c:extLst>
            <c:ext xmlns:c16="http://schemas.microsoft.com/office/drawing/2014/chart" uri="{C3380CC4-5D6E-409C-BE32-E72D297353CC}">
              <c16:uniqueId val="{00000002-A63C-42C8-9665-F05513DD8E81}"/>
            </c:ext>
          </c:extLst>
        </c:ser>
        <c:ser>
          <c:idx val="1"/>
          <c:order val="1"/>
          <c:spPr>
            <a:blipFill dpi="0" rotWithShape="1">
              <a:blip xmlns:r="http://schemas.openxmlformats.org/officeDocument/2006/relationships" r:embed="rId2">
                <a:alphaModFix amt="32000"/>
              </a:blip>
              <a:srcRect/>
              <a:stretch>
                <a:fillRect/>
              </a:stretch>
            </a:blipFill>
          </c:spPr>
          <c:invertIfNegative val="0"/>
          <c:pictureOptions>
            <c:pictureFormat val="stack"/>
          </c:pictureOptions>
          <c:dPt>
            <c:idx val="0"/>
            <c:invertIfNegative val="0"/>
            <c:bubble3D val="0"/>
            <c:spPr>
              <a:blipFill dpi="0" rotWithShape="1">
                <a:blip xmlns:r="http://schemas.openxmlformats.org/officeDocument/2006/relationships" r:embed="rId3">
                  <a:alphaModFix amt="37000"/>
                </a:blip>
                <a:srcRect/>
                <a:stretch>
                  <a:fillRect/>
                </a:stretch>
              </a:blipFill>
            </c:spPr>
            <c:pictureOptions>
              <c:pictureFormat val="stack"/>
            </c:pictureOptions>
            <c:extLst>
              <c:ext xmlns:c16="http://schemas.microsoft.com/office/drawing/2014/chart" uri="{C3380CC4-5D6E-409C-BE32-E72D297353CC}">
                <c16:uniqueId val="{00000004-A63C-42C8-9665-F05513DD8E81}"/>
              </c:ext>
            </c:extLst>
          </c:dPt>
          <c:val>
            <c:numLit>
              <c:formatCode>General</c:formatCode>
              <c:ptCount val="1"/>
              <c:pt idx="0">
                <c:v>1</c:v>
              </c:pt>
            </c:numLit>
          </c:val>
          <c:extLst>
            <c:ext xmlns:c16="http://schemas.microsoft.com/office/drawing/2014/chart" uri="{C3380CC4-5D6E-409C-BE32-E72D297353CC}">
              <c16:uniqueId val="{00000005-A63C-42C8-9665-F05513DD8E81}"/>
            </c:ext>
          </c:extLst>
        </c:ser>
        <c:dLbls>
          <c:showLegendKey val="0"/>
          <c:showVal val="0"/>
          <c:showCatName val="0"/>
          <c:showSerName val="0"/>
          <c:showPercent val="0"/>
          <c:showBubbleSize val="0"/>
        </c:dLbls>
        <c:gapWidth val="150"/>
        <c:overlap val="100"/>
        <c:axId val="47180800"/>
        <c:axId val="47208320"/>
      </c:barChart>
      <c:catAx>
        <c:axId val="47180800"/>
        <c:scaling>
          <c:orientation val="minMax"/>
        </c:scaling>
        <c:delete val="1"/>
        <c:axPos val="l"/>
        <c:majorTickMark val="out"/>
        <c:minorTickMark val="none"/>
        <c:tickLblPos val="nextTo"/>
        <c:crossAx val="47208320"/>
        <c:crosses val="autoZero"/>
        <c:auto val="1"/>
        <c:lblAlgn val="ctr"/>
        <c:lblOffset val="100"/>
        <c:noMultiLvlLbl val="0"/>
      </c:catAx>
      <c:valAx>
        <c:axId val="47208320"/>
        <c:scaling>
          <c:orientation val="minMax"/>
        </c:scaling>
        <c:delete val="1"/>
        <c:axPos val="b"/>
        <c:numFmt formatCode="0%" sourceLinked="1"/>
        <c:majorTickMark val="out"/>
        <c:minorTickMark val="none"/>
        <c:tickLblPos val="nextTo"/>
        <c:crossAx val="47180800"/>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blipFill>
              <a:blip xmlns:r="http://schemas.openxmlformats.org/officeDocument/2006/relationships" r:embed="rId1"/>
              <a:stretch>
                <a:fillRect/>
              </a:stretch>
            </a:blipFill>
          </c:spPr>
          <c:invertIfNegative val="0"/>
          <c:dPt>
            <c:idx val="0"/>
            <c:invertIfNegative val="0"/>
            <c:bubble3D val="0"/>
            <c:spPr>
              <a:blipFill>
                <a:blip xmlns:r="http://schemas.openxmlformats.org/officeDocument/2006/relationships" r:embed="rId1"/>
                <a:stretch>
                  <a:fillRect/>
                </a:stretch>
              </a:blipFill>
            </c:spPr>
            <c:pictureOptions>
              <c:pictureFormat val="stack"/>
            </c:pictureOptions>
            <c:extLst>
              <c:ext xmlns:c16="http://schemas.microsoft.com/office/drawing/2014/chart" uri="{C3380CC4-5D6E-409C-BE32-E72D297353CC}">
                <c16:uniqueId val="{00000001-AF6D-4AF8-A564-057D7064D28E}"/>
              </c:ext>
            </c:extLst>
          </c:dPt>
          <c:dLbls>
            <c:dLbl>
              <c:idx val="0"/>
              <c:layout>
                <c:manualLayout>
                  <c:x val="-6.0198005723325213E-3"/>
                  <c:y val="9.2592592592592587E-3"/>
                </c:manualLayout>
              </c:layout>
              <c:spPr/>
              <c:txPr>
                <a:bodyPr/>
                <a:lstStyle/>
                <a:p>
                  <a:pPr>
                    <a:defRPr sz="1800" b="1">
                      <a:solidFill>
                        <a:schemeClr val="accent6">
                          <a:lumMod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F6D-4AF8-A564-057D7064D28E}"/>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Calcs!$P$47</c:f>
              <c:numCache>
                <c:formatCode>0%</c:formatCode>
                <c:ptCount val="1"/>
                <c:pt idx="0">
                  <c:v>0.77272727272727271</c:v>
                </c:pt>
              </c:numCache>
            </c:numRef>
          </c:val>
          <c:extLst>
            <c:ext xmlns:c16="http://schemas.microsoft.com/office/drawing/2014/chart" uri="{C3380CC4-5D6E-409C-BE32-E72D297353CC}">
              <c16:uniqueId val="{00000002-AF6D-4AF8-A564-057D7064D28E}"/>
            </c:ext>
          </c:extLst>
        </c:ser>
        <c:ser>
          <c:idx val="1"/>
          <c:order val="1"/>
          <c:spPr>
            <a:blipFill dpi="0" rotWithShape="1">
              <a:blip xmlns:r="http://schemas.openxmlformats.org/officeDocument/2006/relationships" r:embed="rId2">
                <a:alphaModFix amt="32000"/>
              </a:blip>
              <a:srcRect/>
              <a:stretch>
                <a:fillRect/>
              </a:stretch>
            </a:blipFill>
          </c:spPr>
          <c:invertIfNegative val="0"/>
          <c:pictureOptions>
            <c:pictureFormat val="stack"/>
          </c:pictureOptions>
          <c:dPt>
            <c:idx val="0"/>
            <c:invertIfNegative val="0"/>
            <c:bubble3D val="0"/>
            <c:spPr>
              <a:blipFill dpi="0" rotWithShape="1">
                <a:blip xmlns:r="http://schemas.openxmlformats.org/officeDocument/2006/relationships" r:embed="rId3">
                  <a:alphaModFix amt="37000"/>
                </a:blip>
                <a:srcRect/>
                <a:stretch>
                  <a:fillRect/>
                </a:stretch>
              </a:blipFill>
            </c:spPr>
            <c:pictureOptions>
              <c:pictureFormat val="stack"/>
            </c:pictureOptions>
            <c:extLst>
              <c:ext xmlns:c16="http://schemas.microsoft.com/office/drawing/2014/chart" uri="{C3380CC4-5D6E-409C-BE32-E72D297353CC}">
                <c16:uniqueId val="{00000004-AF6D-4AF8-A564-057D7064D28E}"/>
              </c:ext>
            </c:extLst>
          </c:dPt>
          <c:val>
            <c:numLit>
              <c:formatCode>General</c:formatCode>
              <c:ptCount val="1"/>
              <c:pt idx="0">
                <c:v>1</c:v>
              </c:pt>
            </c:numLit>
          </c:val>
          <c:extLst>
            <c:ext xmlns:c16="http://schemas.microsoft.com/office/drawing/2014/chart" uri="{C3380CC4-5D6E-409C-BE32-E72D297353CC}">
              <c16:uniqueId val="{00000005-AF6D-4AF8-A564-057D7064D28E}"/>
            </c:ext>
          </c:extLst>
        </c:ser>
        <c:dLbls>
          <c:showLegendKey val="0"/>
          <c:showVal val="0"/>
          <c:showCatName val="0"/>
          <c:showSerName val="0"/>
          <c:showPercent val="0"/>
          <c:showBubbleSize val="0"/>
        </c:dLbls>
        <c:gapWidth val="150"/>
        <c:overlap val="100"/>
        <c:axId val="52201728"/>
        <c:axId val="57484800"/>
      </c:barChart>
      <c:catAx>
        <c:axId val="52201728"/>
        <c:scaling>
          <c:orientation val="minMax"/>
        </c:scaling>
        <c:delete val="1"/>
        <c:axPos val="l"/>
        <c:majorTickMark val="out"/>
        <c:minorTickMark val="none"/>
        <c:tickLblPos val="nextTo"/>
        <c:crossAx val="57484800"/>
        <c:crosses val="autoZero"/>
        <c:auto val="1"/>
        <c:lblAlgn val="ctr"/>
        <c:lblOffset val="100"/>
        <c:noMultiLvlLbl val="0"/>
      </c:catAx>
      <c:valAx>
        <c:axId val="57484800"/>
        <c:scaling>
          <c:orientation val="minMax"/>
        </c:scaling>
        <c:delete val="1"/>
        <c:axPos val="b"/>
        <c:numFmt formatCode="0%" sourceLinked="1"/>
        <c:majorTickMark val="out"/>
        <c:minorTickMark val="none"/>
        <c:tickLblPos val="nextTo"/>
        <c:crossAx val="52201728"/>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blipFill>
              <a:blip xmlns:r="http://schemas.openxmlformats.org/officeDocument/2006/relationships" r:embed="rId1"/>
              <a:stretch>
                <a:fillRect/>
              </a:stretch>
            </a:blipFill>
          </c:spPr>
          <c:invertIfNegative val="0"/>
          <c:dPt>
            <c:idx val="0"/>
            <c:invertIfNegative val="0"/>
            <c:bubble3D val="0"/>
            <c:spPr>
              <a:blipFill>
                <a:blip xmlns:r="http://schemas.openxmlformats.org/officeDocument/2006/relationships" r:embed="rId1"/>
                <a:stretch>
                  <a:fillRect/>
                </a:stretch>
              </a:blipFill>
            </c:spPr>
            <c:pictureOptions>
              <c:pictureFormat val="stack"/>
            </c:pictureOptions>
            <c:extLst>
              <c:ext xmlns:c16="http://schemas.microsoft.com/office/drawing/2014/chart" uri="{C3380CC4-5D6E-409C-BE32-E72D297353CC}">
                <c16:uniqueId val="{00000001-8013-4FF3-8ED9-1E74CD13EC8A}"/>
              </c:ext>
            </c:extLst>
          </c:dPt>
          <c:dLbls>
            <c:dLbl>
              <c:idx val="0"/>
              <c:layout>
                <c:manualLayout>
                  <c:x val="-6.0198005723325213E-3"/>
                  <c:y val="9.2592592592592587E-3"/>
                </c:manualLayout>
              </c:layout>
              <c:spPr/>
              <c:txPr>
                <a:bodyPr/>
                <a:lstStyle/>
                <a:p>
                  <a:pPr>
                    <a:defRPr sz="1800" b="1">
                      <a:solidFill>
                        <a:schemeClr val="accent6">
                          <a:lumMod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013-4FF3-8ED9-1E74CD13EC8A}"/>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Calcs!$P$48</c:f>
              <c:numCache>
                <c:formatCode>0%</c:formatCode>
                <c:ptCount val="1"/>
                <c:pt idx="0">
                  <c:v>1</c:v>
                </c:pt>
              </c:numCache>
            </c:numRef>
          </c:val>
          <c:extLst>
            <c:ext xmlns:c16="http://schemas.microsoft.com/office/drawing/2014/chart" uri="{C3380CC4-5D6E-409C-BE32-E72D297353CC}">
              <c16:uniqueId val="{00000002-8013-4FF3-8ED9-1E74CD13EC8A}"/>
            </c:ext>
          </c:extLst>
        </c:ser>
        <c:ser>
          <c:idx val="1"/>
          <c:order val="1"/>
          <c:spPr>
            <a:blipFill dpi="0" rotWithShape="1">
              <a:blip xmlns:r="http://schemas.openxmlformats.org/officeDocument/2006/relationships" r:embed="rId2">
                <a:alphaModFix amt="32000"/>
              </a:blip>
              <a:srcRect/>
              <a:stretch>
                <a:fillRect/>
              </a:stretch>
            </a:blipFill>
          </c:spPr>
          <c:invertIfNegative val="0"/>
          <c:pictureOptions>
            <c:pictureFormat val="stack"/>
          </c:pictureOptions>
          <c:dPt>
            <c:idx val="0"/>
            <c:invertIfNegative val="0"/>
            <c:bubble3D val="0"/>
            <c:spPr>
              <a:blipFill dpi="0" rotWithShape="1">
                <a:blip xmlns:r="http://schemas.openxmlformats.org/officeDocument/2006/relationships" r:embed="rId3">
                  <a:alphaModFix amt="37000"/>
                </a:blip>
                <a:srcRect/>
                <a:stretch>
                  <a:fillRect/>
                </a:stretch>
              </a:blipFill>
            </c:spPr>
            <c:pictureOptions>
              <c:pictureFormat val="stack"/>
            </c:pictureOptions>
            <c:extLst>
              <c:ext xmlns:c16="http://schemas.microsoft.com/office/drawing/2014/chart" uri="{C3380CC4-5D6E-409C-BE32-E72D297353CC}">
                <c16:uniqueId val="{00000004-8013-4FF3-8ED9-1E74CD13EC8A}"/>
              </c:ext>
            </c:extLst>
          </c:dPt>
          <c:val>
            <c:numLit>
              <c:formatCode>General</c:formatCode>
              <c:ptCount val="1"/>
              <c:pt idx="0">
                <c:v>1</c:v>
              </c:pt>
            </c:numLit>
          </c:val>
          <c:extLst>
            <c:ext xmlns:c16="http://schemas.microsoft.com/office/drawing/2014/chart" uri="{C3380CC4-5D6E-409C-BE32-E72D297353CC}">
              <c16:uniqueId val="{00000005-8013-4FF3-8ED9-1E74CD13EC8A}"/>
            </c:ext>
          </c:extLst>
        </c:ser>
        <c:dLbls>
          <c:showLegendKey val="0"/>
          <c:showVal val="0"/>
          <c:showCatName val="0"/>
          <c:showSerName val="0"/>
          <c:showPercent val="0"/>
          <c:showBubbleSize val="0"/>
        </c:dLbls>
        <c:gapWidth val="150"/>
        <c:overlap val="100"/>
        <c:axId val="161220864"/>
        <c:axId val="162801920"/>
      </c:barChart>
      <c:catAx>
        <c:axId val="161220864"/>
        <c:scaling>
          <c:orientation val="minMax"/>
        </c:scaling>
        <c:delete val="1"/>
        <c:axPos val="l"/>
        <c:majorTickMark val="out"/>
        <c:minorTickMark val="none"/>
        <c:tickLblPos val="nextTo"/>
        <c:crossAx val="162801920"/>
        <c:crosses val="autoZero"/>
        <c:auto val="1"/>
        <c:lblAlgn val="ctr"/>
        <c:lblOffset val="100"/>
        <c:noMultiLvlLbl val="0"/>
      </c:catAx>
      <c:valAx>
        <c:axId val="162801920"/>
        <c:scaling>
          <c:orientation val="minMax"/>
        </c:scaling>
        <c:delete val="1"/>
        <c:axPos val="b"/>
        <c:numFmt formatCode="0%" sourceLinked="1"/>
        <c:majorTickMark val="out"/>
        <c:minorTickMark val="none"/>
        <c:tickLblPos val="nextTo"/>
        <c:crossAx val="161220864"/>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blipFill>
              <a:blip xmlns:r="http://schemas.openxmlformats.org/officeDocument/2006/relationships" r:embed="rId1"/>
              <a:stretch>
                <a:fillRect/>
              </a:stretch>
            </a:blipFill>
          </c:spPr>
          <c:invertIfNegative val="0"/>
          <c:dPt>
            <c:idx val="0"/>
            <c:invertIfNegative val="0"/>
            <c:bubble3D val="0"/>
            <c:spPr>
              <a:blipFill>
                <a:blip xmlns:r="http://schemas.openxmlformats.org/officeDocument/2006/relationships" r:embed="rId1"/>
                <a:stretch>
                  <a:fillRect/>
                </a:stretch>
              </a:blipFill>
            </c:spPr>
            <c:pictureOptions>
              <c:pictureFormat val="stack"/>
            </c:pictureOptions>
            <c:extLst>
              <c:ext xmlns:c16="http://schemas.microsoft.com/office/drawing/2014/chart" uri="{C3380CC4-5D6E-409C-BE32-E72D297353CC}">
                <c16:uniqueId val="{00000001-354E-4C35-9334-AA86DCE36B5B}"/>
              </c:ext>
            </c:extLst>
          </c:dPt>
          <c:dLbls>
            <c:dLbl>
              <c:idx val="0"/>
              <c:layout>
                <c:manualLayout>
                  <c:x val="-6.0198005723325213E-3"/>
                  <c:y val="9.2592592592592587E-3"/>
                </c:manualLayout>
              </c:layout>
              <c:spPr/>
              <c:txPr>
                <a:bodyPr/>
                <a:lstStyle/>
                <a:p>
                  <a:pPr>
                    <a:defRPr sz="1800" b="1">
                      <a:solidFill>
                        <a:schemeClr val="accent6">
                          <a:lumMod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54E-4C35-9334-AA86DCE36B5B}"/>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Calcs!$P$49</c:f>
              <c:numCache>
                <c:formatCode>0%</c:formatCode>
                <c:ptCount val="1"/>
                <c:pt idx="0">
                  <c:v>1.2205882352941197</c:v>
                </c:pt>
              </c:numCache>
            </c:numRef>
          </c:val>
          <c:extLst>
            <c:ext xmlns:c16="http://schemas.microsoft.com/office/drawing/2014/chart" uri="{C3380CC4-5D6E-409C-BE32-E72D297353CC}">
              <c16:uniqueId val="{00000002-354E-4C35-9334-AA86DCE36B5B}"/>
            </c:ext>
          </c:extLst>
        </c:ser>
        <c:ser>
          <c:idx val="1"/>
          <c:order val="1"/>
          <c:spPr>
            <a:blipFill dpi="0" rotWithShape="1">
              <a:blip xmlns:r="http://schemas.openxmlformats.org/officeDocument/2006/relationships" r:embed="rId2">
                <a:alphaModFix amt="32000"/>
              </a:blip>
              <a:srcRect/>
              <a:stretch>
                <a:fillRect/>
              </a:stretch>
            </a:blipFill>
          </c:spPr>
          <c:invertIfNegative val="0"/>
          <c:pictureOptions>
            <c:pictureFormat val="stack"/>
          </c:pictureOptions>
          <c:dPt>
            <c:idx val="0"/>
            <c:invertIfNegative val="0"/>
            <c:bubble3D val="0"/>
            <c:spPr>
              <a:blipFill dpi="0" rotWithShape="1">
                <a:blip xmlns:r="http://schemas.openxmlformats.org/officeDocument/2006/relationships" r:embed="rId3">
                  <a:alphaModFix amt="37000"/>
                </a:blip>
                <a:srcRect/>
                <a:stretch>
                  <a:fillRect/>
                </a:stretch>
              </a:blipFill>
            </c:spPr>
            <c:pictureOptions>
              <c:pictureFormat val="stack"/>
            </c:pictureOptions>
            <c:extLst>
              <c:ext xmlns:c16="http://schemas.microsoft.com/office/drawing/2014/chart" uri="{C3380CC4-5D6E-409C-BE32-E72D297353CC}">
                <c16:uniqueId val="{00000004-354E-4C35-9334-AA86DCE36B5B}"/>
              </c:ext>
            </c:extLst>
          </c:dPt>
          <c:val>
            <c:numLit>
              <c:formatCode>General</c:formatCode>
              <c:ptCount val="1"/>
              <c:pt idx="0">
                <c:v>1</c:v>
              </c:pt>
            </c:numLit>
          </c:val>
          <c:extLst>
            <c:ext xmlns:c16="http://schemas.microsoft.com/office/drawing/2014/chart" uri="{C3380CC4-5D6E-409C-BE32-E72D297353CC}">
              <c16:uniqueId val="{00000005-354E-4C35-9334-AA86DCE36B5B}"/>
            </c:ext>
          </c:extLst>
        </c:ser>
        <c:dLbls>
          <c:showLegendKey val="0"/>
          <c:showVal val="0"/>
          <c:showCatName val="0"/>
          <c:showSerName val="0"/>
          <c:showPercent val="0"/>
          <c:showBubbleSize val="0"/>
        </c:dLbls>
        <c:gapWidth val="150"/>
        <c:overlap val="100"/>
        <c:axId val="179395584"/>
        <c:axId val="180691712"/>
      </c:barChart>
      <c:catAx>
        <c:axId val="179395584"/>
        <c:scaling>
          <c:orientation val="minMax"/>
        </c:scaling>
        <c:delete val="1"/>
        <c:axPos val="l"/>
        <c:majorTickMark val="out"/>
        <c:minorTickMark val="none"/>
        <c:tickLblPos val="nextTo"/>
        <c:crossAx val="180691712"/>
        <c:crosses val="autoZero"/>
        <c:auto val="1"/>
        <c:lblAlgn val="ctr"/>
        <c:lblOffset val="100"/>
        <c:noMultiLvlLbl val="0"/>
      </c:catAx>
      <c:valAx>
        <c:axId val="180691712"/>
        <c:scaling>
          <c:orientation val="minMax"/>
        </c:scaling>
        <c:delete val="1"/>
        <c:axPos val="b"/>
        <c:numFmt formatCode="0%" sourceLinked="1"/>
        <c:majorTickMark val="out"/>
        <c:minorTickMark val="none"/>
        <c:tickLblPos val="nextTo"/>
        <c:crossAx val="179395584"/>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blipFill>
              <a:blip xmlns:r="http://schemas.openxmlformats.org/officeDocument/2006/relationships" r:embed="rId1"/>
              <a:stretch>
                <a:fillRect/>
              </a:stretch>
            </a:blipFill>
          </c:spPr>
          <c:invertIfNegative val="0"/>
          <c:dPt>
            <c:idx val="0"/>
            <c:invertIfNegative val="0"/>
            <c:bubble3D val="0"/>
            <c:spPr>
              <a:blipFill>
                <a:blip xmlns:r="http://schemas.openxmlformats.org/officeDocument/2006/relationships" r:embed="rId1"/>
                <a:stretch>
                  <a:fillRect/>
                </a:stretch>
              </a:blipFill>
            </c:spPr>
            <c:pictureOptions>
              <c:pictureFormat val="stack"/>
            </c:pictureOptions>
            <c:extLst>
              <c:ext xmlns:c16="http://schemas.microsoft.com/office/drawing/2014/chart" uri="{C3380CC4-5D6E-409C-BE32-E72D297353CC}">
                <c16:uniqueId val="{00000001-51AC-4007-8820-7D5C05D81A4D}"/>
              </c:ext>
            </c:extLst>
          </c:dPt>
          <c:dLbls>
            <c:dLbl>
              <c:idx val="0"/>
              <c:layout>
                <c:manualLayout>
                  <c:x val="-6.0198005723325213E-3"/>
                  <c:y val="9.2592592592592587E-3"/>
                </c:manualLayout>
              </c:layout>
              <c:spPr/>
              <c:txPr>
                <a:bodyPr/>
                <a:lstStyle/>
                <a:p>
                  <a:pPr>
                    <a:defRPr sz="1800" b="1">
                      <a:solidFill>
                        <a:schemeClr val="accent6">
                          <a:lumMod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1AC-4007-8820-7D5C05D81A4D}"/>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Calcs!$P$52</c:f>
              <c:numCache>
                <c:formatCode>0%</c:formatCode>
                <c:ptCount val="1"/>
                <c:pt idx="0">
                  <c:v>0.73891625615763545</c:v>
                </c:pt>
              </c:numCache>
            </c:numRef>
          </c:val>
          <c:extLst>
            <c:ext xmlns:c16="http://schemas.microsoft.com/office/drawing/2014/chart" uri="{C3380CC4-5D6E-409C-BE32-E72D297353CC}">
              <c16:uniqueId val="{00000002-51AC-4007-8820-7D5C05D81A4D}"/>
            </c:ext>
          </c:extLst>
        </c:ser>
        <c:ser>
          <c:idx val="1"/>
          <c:order val="1"/>
          <c:spPr>
            <a:blipFill dpi="0" rotWithShape="1">
              <a:blip xmlns:r="http://schemas.openxmlformats.org/officeDocument/2006/relationships" r:embed="rId2">
                <a:alphaModFix amt="32000"/>
              </a:blip>
              <a:srcRect/>
              <a:stretch>
                <a:fillRect/>
              </a:stretch>
            </a:blipFill>
          </c:spPr>
          <c:invertIfNegative val="0"/>
          <c:pictureOptions>
            <c:pictureFormat val="stack"/>
          </c:pictureOptions>
          <c:dPt>
            <c:idx val="0"/>
            <c:invertIfNegative val="0"/>
            <c:bubble3D val="0"/>
            <c:spPr>
              <a:blipFill dpi="0" rotWithShape="1">
                <a:blip xmlns:r="http://schemas.openxmlformats.org/officeDocument/2006/relationships" r:embed="rId3">
                  <a:alphaModFix amt="37000"/>
                </a:blip>
                <a:srcRect/>
                <a:stretch>
                  <a:fillRect/>
                </a:stretch>
              </a:blipFill>
            </c:spPr>
            <c:pictureOptions>
              <c:pictureFormat val="stack"/>
            </c:pictureOptions>
            <c:extLst>
              <c:ext xmlns:c16="http://schemas.microsoft.com/office/drawing/2014/chart" uri="{C3380CC4-5D6E-409C-BE32-E72D297353CC}">
                <c16:uniqueId val="{00000004-51AC-4007-8820-7D5C05D81A4D}"/>
              </c:ext>
            </c:extLst>
          </c:dPt>
          <c:val>
            <c:numLit>
              <c:formatCode>General</c:formatCode>
              <c:ptCount val="1"/>
              <c:pt idx="0">
                <c:v>1</c:v>
              </c:pt>
            </c:numLit>
          </c:val>
          <c:extLst>
            <c:ext xmlns:c16="http://schemas.microsoft.com/office/drawing/2014/chart" uri="{C3380CC4-5D6E-409C-BE32-E72D297353CC}">
              <c16:uniqueId val="{00000005-51AC-4007-8820-7D5C05D81A4D}"/>
            </c:ext>
          </c:extLst>
        </c:ser>
        <c:dLbls>
          <c:showLegendKey val="0"/>
          <c:showVal val="0"/>
          <c:showCatName val="0"/>
          <c:showSerName val="0"/>
          <c:showPercent val="0"/>
          <c:showBubbleSize val="0"/>
        </c:dLbls>
        <c:gapWidth val="150"/>
        <c:overlap val="100"/>
        <c:axId val="274086144"/>
        <c:axId val="179786112"/>
      </c:barChart>
      <c:catAx>
        <c:axId val="274086144"/>
        <c:scaling>
          <c:orientation val="minMax"/>
        </c:scaling>
        <c:delete val="1"/>
        <c:axPos val="l"/>
        <c:majorTickMark val="out"/>
        <c:minorTickMark val="none"/>
        <c:tickLblPos val="nextTo"/>
        <c:crossAx val="179786112"/>
        <c:crosses val="autoZero"/>
        <c:auto val="1"/>
        <c:lblAlgn val="ctr"/>
        <c:lblOffset val="100"/>
        <c:noMultiLvlLbl val="0"/>
      </c:catAx>
      <c:valAx>
        <c:axId val="179786112"/>
        <c:scaling>
          <c:orientation val="minMax"/>
        </c:scaling>
        <c:delete val="1"/>
        <c:axPos val="b"/>
        <c:numFmt formatCode="0%" sourceLinked="1"/>
        <c:majorTickMark val="out"/>
        <c:minorTickMark val="none"/>
        <c:tickLblPos val="nextTo"/>
        <c:crossAx val="274086144"/>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blipFill>
              <a:blip xmlns:r="http://schemas.openxmlformats.org/officeDocument/2006/relationships" r:embed="rId1"/>
              <a:stretch>
                <a:fillRect/>
              </a:stretch>
            </a:blipFill>
          </c:spPr>
          <c:invertIfNegative val="0"/>
          <c:dPt>
            <c:idx val="0"/>
            <c:invertIfNegative val="0"/>
            <c:bubble3D val="0"/>
            <c:spPr>
              <a:blipFill>
                <a:blip xmlns:r="http://schemas.openxmlformats.org/officeDocument/2006/relationships" r:embed="rId1"/>
                <a:stretch>
                  <a:fillRect/>
                </a:stretch>
              </a:blipFill>
            </c:spPr>
            <c:pictureOptions>
              <c:pictureFormat val="stack"/>
            </c:pictureOptions>
            <c:extLst>
              <c:ext xmlns:c16="http://schemas.microsoft.com/office/drawing/2014/chart" uri="{C3380CC4-5D6E-409C-BE32-E72D297353CC}">
                <c16:uniqueId val="{00000001-9947-43B8-8A5E-1D250C0AABD7}"/>
              </c:ext>
            </c:extLst>
          </c:dPt>
          <c:dLbls>
            <c:dLbl>
              <c:idx val="0"/>
              <c:layout>
                <c:manualLayout>
                  <c:x val="-6.0198005723325213E-3"/>
                  <c:y val="9.2592592592592587E-3"/>
                </c:manualLayout>
              </c:layout>
              <c:spPr/>
              <c:txPr>
                <a:bodyPr/>
                <a:lstStyle/>
                <a:p>
                  <a:pPr>
                    <a:defRPr sz="1800" b="1">
                      <a:solidFill>
                        <a:schemeClr val="accent6">
                          <a:lumMod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947-43B8-8A5E-1D250C0AABD7}"/>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Calcs!$P$51</c:f>
              <c:numCache>
                <c:formatCode>0%</c:formatCode>
                <c:ptCount val="1"/>
                <c:pt idx="0">
                  <c:v>1</c:v>
                </c:pt>
              </c:numCache>
            </c:numRef>
          </c:val>
          <c:extLst>
            <c:ext xmlns:c16="http://schemas.microsoft.com/office/drawing/2014/chart" uri="{C3380CC4-5D6E-409C-BE32-E72D297353CC}">
              <c16:uniqueId val="{00000002-9947-43B8-8A5E-1D250C0AABD7}"/>
            </c:ext>
          </c:extLst>
        </c:ser>
        <c:ser>
          <c:idx val="1"/>
          <c:order val="1"/>
          <c:spPr>
            <a:blipFill dpi="0" rotWithShape="1">
              <a:blip xmlns:r="http://schemas.openxmlformats.org/officeDocument/2006/relationships" r:embed="rId2">
                <a:alphaModFix amt="32000"/>
              </a:blip>
              <a:srcRect/>
              <a:stretch>
                <a:fillRect/>
              </a:stretch>
            </a:blipFill>
          </c:spPr>
          <c:invertIfNegative val="0"/>
          <c:pictureOptions>
            <c:pictureFormat val="stack"/>
          </c:pictureOptions>
          <c:dPt>
            <c:idx val="0"/>
            <c:invertIfNegative val="0"/>
            <c:bubble3D val="0"/>
            <c:spPr>
              <a:blipFill dpi="0" rotWithShape="1">
                <a:blip xmlns:r="http://schemas.openxmlformats.org/officeDocument/2006/relationships" r:embed="rId3">
                  <a:alphaModFix amt="37000"/>
                </a:blip>
                <a:srcRect/>
                <a:stretch>
                  <a:fillRect/>
                </a:stretch>
              </a:blipFill>
            </c:spPr>
            <c:pictureOptions>
              <c:pictureFormat val="stack"/>
            </c:pictureOptions>
            <c:extLst>
              <c:ext xmlns:c16="http://schemas.microsoft.com/office/drawing/2014/chart" uri="{C3380CC4-5D6E-409C-BE32-E72D297353CC}">
                <c16:uniqueId val="{00000004-9947-43B8-8A5E-1D250C0AABD7}"/>
              </c:ext>
            </c:extLst>
          </c:dPt>
          <c:val>
            <c:numLit>
              <c:formatCode>General</c:formatCode>
              <c:ptCount val="1"/>
              <c:pt idx="0">
                <c:v>1</c:v>
              </c:pt>
            </c:numLit>
          </c:val>
          <c:extLst>
            <c:ext xmlns:c16="http://schemas.microsoft.com/office/drawing/2014/chart" uri="{C3380CC4-5D6E-409C-BE32-E72D297353CC}">
              <c16:uniqueId val="{00000005-9947-43B8-8A5E-1D250C0AABD7}"/>
            </c:ext>
          </c:extLst>
        </c:ser>
        <c:dLbls>
          <c:showLegendKey val="0"/>
          <c:showVal val="0"/>
          <c:showCatName val="0"/>
          <c:showSerName val="0"/>
          <c:showPercent val="0"/>
          <c:showBubbleSize val="0"/>
        </c:dLbls>
        <c:gapWidth val="150"/>
        <c:overlap val="100"/>
        <c:axId val="186000512"/>
        <c:axId val="186002432"/>
      </c:barChart>
      <c:catAx>
        <c:axId val="186000512"/>
        <c:scaling>
          <c:orientation val="minMax"/>
        </c:scaling>
        <c:delete val="1"/>
        <c:axPos val="l"/>
        <c:majorTickMark val="out"/>
        <c:minorTickMark val="none"/>
        <c:tickLblPos val="nextTo"/>
        <c:crossAx val="186002432"/>
        <c:crosses val="autoZero"/>
        <c:auto val="1"/>
        <c:lblAlgn val="ctr"/>
        <c:lblOffset val="100"/>
        <c:noMultiLvlLbl val="0"/>
      </c:catAx>
      <c:valAx>
        <c:axId val="186002432"/>
        <c:scaling>
          <c:orientation val="minMax"/>
        </c:scaling>
        <c:delete val="1"/>
        <c:axPos val="b"/>
        <c:numFmt formatCode="0%" sourceLinked="1"/>
        <c:majorTickMark val="out"/>
        <c:minorTickMark val="none"/>
        <c:tickLblPos val="nextTo"/>
        <c:crossAx val="186000512"/>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blipFill>
              <a:blip xmlns:r="http://schemas.openxmlformats.org/officeDocument/2006/relationships" r:embed="rId1"/>
              <a:stretch>
                <a:fillRect/>
              </a:stretch>
            </a:blipFill>
          </c:spPr>
          <c:invertIfNegative val="0"/>
          <c:dPt>
            <c:idx val="0"/>
            <c:invertIfNegative val="0"/>
            <c:bubble3D val="0"/>
            <c:spPr>
              <a:blipFill>
                <a:blip xmlns:r="http://schemas.openxmlformats.org/officeDocument/2006/relationships" r:embed="rId1"/>
                <a:stretch>
                  <a:fillRect/>
                </a:stretch>
              </a:blipFill>
            </c:spPr>
            <c:pictureOptions>
              <c:pictureFormat val="stack"/>
            </c:pictureOptions>
            <c:extLst>
              <c:ext xmlns:c16="http://schemas.microsoft.com/office/drawing/2014/chart" uri="{C3380CC4-5D6E-409C-BE32-E72D297353CC}">
                <c16:uniqueId val="{00000001-B81B-428D-85C5-52ED6577ADA2}"/>
              </c:ext>
            </c:extLst>
          </c:dPt>
          <c:dLbls>
            <c:dLbl>
              <c:idx val="0"/>
              <c:layout>
                <c:manualLayout>
                  <c:x val="-6.0198005723325213E-3"/>
                  <c:y val="9.2592592592592587E-3"/>
                </c:manualLayout>
              </c:layout>
              <c:spPr/>
              <c:txPr>
                <a:bodyPr/>
                <a:lstStyle/>
                <a:p>
                  <a:pPr>
                    <a:defRPr sz="1800" b="1">
                      <a:solidFill>
                        <a:schemeClr val="accent6">
                          <a:lumMod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81B-428D-85C5-52ED6577ADA2}"/>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Calcs!$P$50</c:f>
              <c:numCache>
                <c:formatCode>0%</c:formatCode>
                <c:ptCount val="1"/>
                <c:pt idx="0">
                  <c:v>1</c:v>
                </c:pt>
              </c:numCache>
            </c:numRef>
          </c:val>
          <c:extLst>
            <c:ext xmlns:c16="http://schemas.microsoft.com/office/drawing/2014/chart" uri="{C3380CC4-5D6E-409C-BE32-E72D297353CC}">
              <c16:uniqueId val="{00000002-B81B-428D-85C5-52ED6577ADA2}"/>
            </c:ext>
          </c:extLst>
        </c:ser>
        <c:ser>
          <c:idx val="1"/>
          <c:order val="1"/>
          <c:spPr>
            <a:blipFill dpi="0" rotWithShape="1">
              <a:blip xmlns:r="http://schemas.openxmlformats.org/officeDocument/2006/relationships" r:embed="rId2">
                <a:alphaModFix amt="32000"/>
              </a:blip>
              <a:srcRect/>
              <a:stretch>
                <a:fillRect/>
              </a:stretch>
            </a:blipFill>
          </c:spPr>
          <c:invertIfNegative val="0"/>
          <c:pictureOptions>
            <c:pictureFormat val="stack"/>
          </c:pictureOptions>
          <c:dPt>
            <c:idx val="0"/>
            <c:invertIfNegative val="0"/>
            <c:bubble3D val="0"/>
            <c:spPr>
              <a:blipFill dpi="0" rotWithShape="1">
                <a:blip xmlns:r="http://schemas.openxmlformats.org/officeDocument/2006/relationships" r:embed="rId3">
                  <a:alphaModFix amt="37000"/>
                </a:blip>
                <a:srcRect/>
                <a:stretch>
                  <a:fillRect/>
                </a:stretch>
              </a:blipFill>
            </c:spPr>
            <c:pictureOptions>
              <c:pictureFormat val="stack"/>
            </c:pictureOptions>
            <c:extLst>
              <c:ext xmlns:c16="http://schemas.microsoft.com/office/drawing/2014/chart" uri="{C3380CC4-5D6E-409C-BE32-E72D297353CC}">
                <c16:uniqueId val="{00000004-B81B-428D-85C5-52ED6577ADA2}"/>
              </c:ext>
            </c:extLst>
          </c:dPt>
          <c:val>
            <c:numLit>
              <c:formatCode>General</c:formatCode>
              <c:ptCount val="1"/>
              <c:pt idx="0">
                <c:v>1</c:v>
              </c:pt>
            </c:numLit>
          </c:val>
          <c:extLst>
            <c:ext xmlns:c16="http://schemas.microsoft.com/office/drawing/2014/chart" uri="{C3380CC4-5D6E-409C-BE32-E72D297353CC}">
              <c16:uniqueId val="{00000005-B81B-428D-85C5-52ED6577ADA2}"/>
            </c:ext>
          </c:extLst>
        </c:ser>
        <c:dLbls>
          <c:showLegendKey val="0"/>
          <c:showVal val="0"/>
          <c:showCatName val="0"/>
          <c:showSerName val="0"/>
          <c:showPercent val="0"/>
          <c:showBubbleSize val="0"/>
        </c:dLbls>
        <c:gapWidth val="150"/>
        <c:overlap val="100"/>
        <c:axId val="193083648"/>
        <c:axId val="196775936"/>
      </c:barChart>
      <c:catAx>
        <c:axId val="193083648"/>
        <c:scaling>
          <c:orientation val="minMax"/>
        </c:scaling>
        <c:delete val="1"/>
        <c:axPos val="l"/>
        <c:majorTickMark val="out"/>
        <c:minorTickMark val="none"/>
        <c:tickLblPos val="nextTo"/>
        <c:crossAx val="196775936"/>
        <c:crosses val="autoZero"/>
        <c:auto val="1"/>
        <c:lblAlgn val="ctr"/>
        <c:lblOffset val="100"/>
        <c:noMultiLvlLbl val="0"/>
      </c:catAx>
      <c:valAx>
        <c:axId val="196775936"/>
        <c:scaling>
          <c:orientation val="minMax"/>
        </c:scaling>
        <c:delete val="1"/>
        <c:axPos val="b"/>
        <c:numFmt formatCode="0%" sourceLinked="1"/>
        <c:majorTickMark val="out"/>
        <c:minorTickMark val="none"/>
        <c:tickLblPos val="nextTo"/>
        <c:crossAx val="193083648"/>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blipFill>
              <a:blip xmlns:r="http://schemas.openxmlformats.org/officeDocument/2006/relationships" r:embed="rId1"/>
              <a:stretch>
                <a:fillRect/>
              </a:stretch>
            </a:blipFill>
          </c:spPr>
          <c:invertIfNegative val="0"/>
          <c:dPt>
            <c:idx val="0"/>
            <c:invertIfNegative val="0"/>
            <c:bubble3D val="0"/>
            <c:spPr>
              <a:blipFill>
                <a:blip xmlns:r="http://schemas.openxmlformats.org/officeDocument/2006/relationships" r:embed="rId1"/>
                <a:stretch>
                  <a:fillRect/>
                </a:stretch>
              </a:blipFill>
            </c:spPr>
            <c:pictureOptions>
              <c:pictureFormat val="stack"/>
            </c:pictureOptions>
            <c:extLst>
              <c:ext xmlns:c16="http://schemas.microsoft.com/office/drawing/2014/chart" uri="{C3380CC4-5D6E-409C-BE32-E72D297353CC}">
                <c16:uniqueId val="{00000001-954D-4232-A282-C5EF195DB142}"/>
              </c:ext>
            </c:extLst>
          </c:dPt>
          <c:dLbls>
            <c:dLbl>
              <c:idx val="0"/>
              <c:layout>
                <c:manualLayout>
                  <c:x val="-6.0198005723325213E-3"/>
                  <c:y val="9.2592592592592587E-3"/>
                </c:manualLayout>
              </c:layout>
              <c:spPr/>
              <c:txPr>
                <a:bodyPr/>
                <a:lstStyle/>
                <a:p>
                  <a:pPr>
                    <a:defRPr sz="1800" b="1">
                      <a:solidFill>
                        <a:schemeClr val="accent6">
                          <a:lumMod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4D-4232-A282-C5EF195DB142}"/>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Calcs!$P$54</c:f>
              <c:numCache>
                <c:formatCode>0%</c:formatCode>
                <c:ptCount val="1"/>
                <c:pt idx="0">
                  <c:v>1</c:v>
                </c:pt>
              </c:numCache>
            </c:numRef>
          </c:val>
          <c:extLst>
            <c:ext xmlns:c16="http://schemas.microsoft.com/office/drawing/2014/chart" uri="{C3380CC4-5D6E-409C-BE32-E72D297353CC}">
              <c16:uniqueId val="{00000002-954D-4232-A282-C5EF195DB142}"/>
            </c:ext>
          </c:extLst>
        </c:ser>
        <c:ser>
          <c:idx val="1"/>
          <c:order val="1"/>
          <c:spPr>
            <a:blipFill dpi="0" rotWithShape="1">
              <a:blip xmlns:r="http://schemas.openxmlformats.org/officeDocument/2006/relationships" r:embed="rId2">
                <a:alphaModFix amt="32000"/>
              </a:blip>
              <a:srcRect/>
              <a:stretch>
                <a:fillRect/>
              </a:stretch>
            </a:blipFill>
          </c:spPr>
          <c:invertIfNegative val="0"/>
          <c:pictureOptions>
            <c:pictureFormat val="stack"/>
          </c:pictureOptions>
          <c:dPt>
            <c:idx val="0"/>
            <c:invertIfNegative val="0"/>
            <c:bubble3D val="0"/>
            <c:spPr>
              <a:blipFill dpi="0" rotWithShape="1">
                <a:blip xmlns:r="http://schemas.openxmlformats.org/officeDocument/2006/relationships" r:embed="rId3">
                  <a:alphaModFix amt="37000"/>
                </a:blip>
                <a:srcRect/>
                <a:stretch>
                  <a:fillRect/>
                </a:stretch>
              </a:blipFill>
            </c:spPr>
            <c:pictureOptions>
              <c:pictureFormat val="stack"/>
            </c:pictureOptions>
            <c:extLst>
              <c:ext xmlns:c16="http://schemas.microsoft.com/office/drawing/2014/chart" uri="{C3380CC4-5D6E-409C-BE32-E72D297353CC}">
                <c16:uniqueId val="{00000004-954D-4232-A282-C5EF195DB142}"/>
              </c:ext>
            </c:extLst>
          </c:dPt>
          <c:val>
            <c:numLit>
              <c:formatCode>General</c:formatCode>
              <c:ptCount val="1"/>
              <c:pt idx="0">
                <c:v>1</c:v>
              </c:pt>
            </c:numLit>
          </c:val>
          <c:extLst>
            <c:ext xmlns:c16="http://schemas.microsoft.com/office/drawing/2014/chart" uri="{C3380CC4-5D6E-409C-BE32-E72D297353CC}">
              <c16:uniqueId val="{00000005-954D-4232-A282-C5EF195DB142}"/>
            </c:ext>
          </c:extLst>
        </c:ser>
        <c:dLbls>
          <c:showLegendKey val="0"/>
          <c:showVal val="0"/>
          <c:showCatName val="0"/>
          <c:showSerName val="0"/>
          <c:showPercent val="0"/>
          <c:showBubbleSize val="0"/>
        </c:dLbls>
        <c:gapWidth val="150"/>
        <c:overlap val="100"/>
        <c:axId val="179849088"/>
        <c:axId val="179850624"/>
      </c:barChart>
      <c:catAx>
        <c:axId val="179849088"/>
        <c:scaling>
          <c:orientation val="minMax"/>
        </c:scaling>
        <c:delete val="1"/>
        <c:axPos val="l"/>
        <c:majorTickMark val="out"/>
        <c:minorTickMark val="none"/>
        <c:tickLblPos val="nextTo"/>
        <c:crossAx val="179850624"/>
        <c:crosses val="autoZero"/>
        <c:auto val="1"/>
        <c:lblAlgn val="ctr"/>
        <c:lblOffset val="100"/>
        <c:noMultiLvlLbl val="0"/>
      </c:catAx>
      <c:valAx>
        <c:axId val="179850624"/>
        <c:scaling>
          <c:orientation val="minMax"/>
        </c:scaling>
        <c:delete val="1"/>
        <c:axPos val="b"/>
        <c:numFmt formatCode="0%" sourceLinked="1"/>
        <c:majorTickMark val="out"/>
        <c:minorTickMark val="none"/>
        <c:tickLblPos val="nextTo"/>
        <c:crossAx val="179849088"/>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blipFill>
              <a:blip xmlns:r="http://schemas.openxmlformats.org/officeDocument/2006/relationships" r:embed="rId1"/>
              <a:stretch>
                <a:fillRect/>
              </a:stretch>
            </a:blipFill>
          </c:spPr>
          <c:invertIfNegative val="0"/>
          <c:dPt>
            <c:idx val="0"/>
            <c:invertIfNegative val="0"/>
            <c:bubble3D val="0"/>
            <c:spPr>
              <a:blipFill>
                <a:blip xmlns:r="http://schemas.openxmlformats.org/officeDocument/2006/relationships" r:embed="rId1"/>
                <a:stretch>
                  <a:fillRect/>
                </a:stretch>
              </a:blipFill>
            </c:spPr>
            <c:pictureOptions>
              <c:pictureFormat val="stack"/>
            </c:pictureOptions>
            <c:extLst>
              <c:ext xmlns:c16="http://schemas.microsoft.com/office/drawing/2014/chart" uri="{C3380CC4-5D6E-409C-BE32-E72D297353CC}">
                <c16:uniqueId val="{00000001-CFC5-4AEB-8BBB-FC13952281FB}"/>
              </c:ext>
            </c:extLst>
          </c:dPt>
          <c:dLbls>
            <c:dLbl>
              <c:idx val="0"/>
              <c:layout>
                <c:manualLayout>
                  <c:x val="-6.0198005723325213E-3"/>
                  <c:y val="9.2592592592592587E-3"/>
                </c:manualLayout>
              </c:layout>
              <c:spPr/>
              <c:txPr>
                <a:bodyPr/>
                <a:lstStyle/>
                <a:p>
                  <a:pPr>
                    <a:defRPr sz="1800" b="1">
                      <a:solidFill>
                        <a:schemeClr val="accent6">
                          <a:lumMod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FC5-4AEB-8BBB-FC13952281FB}"/>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Calcs!$P$55</c:f>
              <c:numCache>
                <c:formatCode>0%</c:formatCode>
                <c:ptCount val="1"/>
                <c:pt idx="0">
                  <c:v>0.83333333333333193</c:v>
                </c:pt>
              </c:numCache>
            </c:numRef>
          </c:val>
          <c:extLst>
            <c:ext xmlns:c16="http://schemas.microsoft.com/office/drawing/2014/chart" uri="{C3380CC4-5D6E-409C-BE32-E72D297353CC}">
              <c16:uniqueId val="{00000002-CFC5-4AEB-8BBB-FC13952281FB}"/>
            </c:ext>
          </c:extLst>
        </c:ser>
        <c:ser>
          <c:idx val="1"/>
          <c:order val="1"/>
          <c:spPr>
            <a:blipFill dpi="0" rotWithShape="1">
              <a:blip xmlns:r="http://schemas.openxmlformats.org/officeDocument/2006/relationships" r:embed="rId2">
                <a:alphaModFix amt="32000"/>
              </a:blip>
              <a:srcRect/>
              <a:stretch>
                <a:fillRect/>
              </a:stretch>
            </a:blipFill>
          </c:spPr>
          <c:invertIfNegative val="0"/>
          <c:pictureOptions>
            <c:pictureFormat val="stack"/>
          </c:pictureOptions>
          <c:dPt>
            <c:idx val="0"/>
            <c:invertIfNegative val="0"/>
            <c:bubble3D val="0"/>
            <c:spPr>
              <a:blipFill dpi="0" rotWithShape="1">
                <a:blip xmlns:r="http://schemas.openxmlformats.org/officeDocument/2006/relationships" r:embed="rId3">
                  <a:alphaModFix amt="37000"/>
                </a:blip>
                <a:srcRect/>
                <a:stretch>
                  <a:fillRect/>
                </a:stretch>
              </a:blipFill>
            </c:spPr>
            <c:pictureOptions>
              <c:pictureFormat val="stack"/>
            </c:pictureOptions>
            <c:extLst>
              <c:ext xmlns:c16="http://schemas.microsoft.com/office/drawing/2014/chart" uri="{C3380CC4-5D6E-409C-BE32-E72D297353CC}">
                <c16:uniqueId val="{00000004-CFC5-4AEB-8BBB-FC13952281FB}"/>
              </c:ext>
            </c:extLst>
          </c:dPt>
          <c:val>
            <c:numLit>
              <c:formatCode>General</c:formatCode>
              <c:ptCount val="1"/>
              <c:pt idx="0">
                <c:v>1</c:v>
              </c:pt>
            </c:numLit>
          </c:val>
          <c:extLst>
            <c:ext xmlns:c16="http://schemas.microsoft.com/office/drawing/2014/chart" uri="{C3380CC4-5D6E-409C-BE32-E72D297353CC}">
              <c16:uniqueId val="{00000005-CFC5-4AEB-8BBB-FC13952281FB}"/>
            </c:ext>
          </c:extLst>
        </c:ser>
        <c:dLbls>
          <c:showLegendKey val="0"/>
          <c:showVal val="0"/>
          <c:showCatName val="0"/>
          <c:showSerName val="0"/>
          <c:showPercent val="0"/>
          <c:showBubbleSize val="0"/>
        </c:dLbls>
        <c:gapWidth val="150"/>
        <c:overlap val="100"/>
        <c:axId val="179868800"/>
        <c:axId val="179870336"/>
      </c:barChart>
      <c:catAx>
        <c:axId val="179868800"/>
        <c:scaling>
          <c:orientation val="minMax"/>
        </c:scaling>
        <c:delete val="1"/>
        <c:axPos val="l"/>
        <c:majorTickMark val="out"/>
        <c:minorTickMark val="none"/>
        <c:tickLblPos val="nextTo"/>
        <c:crossAx val="179870336"/>
        <c:crosses val="autoZero"/>
        <c:auto val="1"/>
        <c:lblAlgn val="ctr"/>
        <c:lblOffset val="100"/>
        <c:noMultiLvlLbl val="0"/>
      </c:catAx>
      <c:valAx>
        <c:axId val="179870336"/>
        <c:scaling>
          <c:orientation val="minMax"/>
        </c:scaling>
        <c:delete val="1"/>
        <c:axPos val="b"/>
        <c:numFmt formatCode="0%" sourceLinked="1"/>
        <c:majorTickMark val="out"/>
        <c:minorTickMark val="none"/>
        <c:tickLblPos val="nextTo"/>
        <c:crossAx val="179868800"/>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blipFill>
              <a:blip xmlns:r="http://schemas.openxmlformats.org/officeDocument/2006/relationships" r:embed="rId1"/>
              <a:stretch>
                <a:fillRect/>
              </a:stretch>
            </a:blipFill>
          </c:spPr>
          <c:invertIfNegative val="0"/>
          <c:dPt>
            <c:idx val="0"/>
            <c:invertIfNegative val="0"/>
            <c:bubble3D val="0"/>
            <c:spPr>
              <a:blipFill>
                <a:blip xmlns:r="http://schemas.openxmlformats.org/officeDocument/2006/relationships" r:embed="rId1"/>
                <a:stretch>
                  <a:fillRect/>
                </a:stretch>
              </a:blipFill>
            </c:spPr>
            <c:pictureOptions>
              <c:pictureFormat val="stack"/>
            </c:pictureOptions>
            <c:extLst>
              <c:ext xmlns:c16="http://schemas.microsoft.com/office/drawing/2014/chart" uri="{C3380CC4-5D6E-409C-BE32-E72D297353CC}">
                <c16:uniqueId val="{00000001-CD53-44C2-97EC-7F0615A7B2F8}"/>
              </c:ext>
            </c:extLst>
          </c:dPt>
          <c:dLbls>
            <c:dLbl>
              <c:idx val="0"/>
              <c:layout>
                <c:manualLayout>
                  <c:x val="-6.0198005723325213E-3"/>
                  <c:y val="9.2592592592592587E-3"/>
                </c:manualLayout>
              </c:layout>
              <c:spPr/>
              <c:txPr>
                <a:bodyPr/>
                <a:lstStyle/>
                <a:p>
                  <a:pPr>
                    <a:defRPr sz="1800" b="1">
                      <a:solidFill>
                        <a:schemeClr val="accent6">
                          <a:lumMod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D53-44C2-97EC-7F0615A7B2F8}"/>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Calcs!$P$56</c:f>
              <c:numCache>
                <c:formatCode>0%</c:formatCode>
                <c:ptCount val="1"/>
                <c:pt idx="0">
                  <c:v>1.6666666666666716</c:v>
                </c:pt>
              </c:numCache>
            </c:numRef>
          </c:val>
          <c:extLst>
            <c:ext xmlns:c16="http://schemas.microsoft.com/office/drawing/2014/chart" uri="{C3380CC4-5D6E-409C-BE32-E72D297353CC}">
              <c16:uniqueId val="{00000002-CD53-44C2-97EC-7F0615A7B2F8}"/>
            </c:ext>
          </c:extLst>
        </c:ser>
        <c:ser>
          <c:idx val="1"/>
          <c:order val="1"/>
          <c:spPr>
            <a:blipFill dpi="0" rotWithShape="1">
              <a:blip xmlns:r="http://schemas.openxmlformats.org/officeDocument/2006/relationships" r:embed="rId2">
                <a:alphaModFix amt="32000"/>
              </a:blip>
              <a:srcRect/>
              <a:stretch>
                <a:fillRect/>
              </a:stretch>
            </a:blipFill>
          </c:spPr>
          <c:invertIfNegative val="0"/>
          <c:pictureOptions>
            <c:pictureFormat val="stack"/>
          </c:pictureOptions>
          <c:dPt>
            <c:idx val="0"/>
            <c:invertIfNegative val="0"/>
            <c:bubble3D val="0"/>
            <c:spPr>
              <a:blipFill dpi="0" rotWithShape="1">
                <a:blip xmlns:r="http://schemas.openxmlformats.org/officeDocument/2006/relationships" r:embed="rId3">
                  <a:alphaModFix amt="37000"/>
                </a:blip>
                <a:srcRect/>
                <a:stretch>
                  <a:fillRect/>
                </a:stretch>
              </a:blipFill>
            </c:spPr>
            <c:pictureOptions>
              <c:pictureFormat val="stack"/>
            </c:pictureOptions>
            <c:extLst>
              <c:ext xmlns:c16="http://schemas.microsoft.com/office/drawing/2014/chart" uri="{C3380CC4-5D6E-409C-BE32-E72D297353CC}">
                <c16:uniqueId val="{00000004-CD53-44C2-97EC-7F0615A7B2F8}"/>
              </c:ext>
            </c:extLst>
          </c:dPt>
          <c:val>
            <c:numLit>
              <c:formatCode>General</c:formatCode>
              <c:ptCount val="1"/>
              <c:pt idx="0">
                <c:v>1</c:v>
              </c:pt>
            </c:numLit>
          </c:val>
          <c:extLst>
            <c:ext xmlns:c16="http://schemas.microsoft.com/office/drawing/2014/chart" uri="{C3380CC4-5D6E-409C-BE32-E72D297353CC}">
              <c16:uniqueId val="{00000005-CD53-44C2-97EC-7F0615A7B2F8}"/>
            </c:ext>
          </c:extLst>
        </c:ser>
        <c:dLbls>
          <c:showLegendKey val="0"/>
          <c:showVal val="0"/>
          <c:showCatName val="0"/>
          <c:showSerName val="0"/>
          <c:showPercent val="0"/>
          <c:showBubbleSize val="0"/>
        </c:dLbls>
        <c:gapWidth val="150"/>
        <c:overlap val="100"/>
        <c:axId val="179970432"/>
        <c:axId val="179971968"/>
      </c:barChart>
      <c:catAx>
        <c:axId val="179970432"/>
        <c:scaling>
          <c:orientation val="minMax"/>
        </c:scaling>
        <c:delete val="1"/>
        <c:axPos val="l"/>
        <c:majorTickMark val="out"/>
        <c:minorTickMark val="none"/>
        <c:tickLblPos val="nextTo"/>
        <c:crossAx val="179971968"/>
        <c:crosses val="autoZero"/>
        <c:auto val="1"/>
        <c:lblAlgn val="ctr"/>
        <c:lblOffset val="100"/>
        <c:noMultiLvlLbl val="0"/>
      </c:catAx>
      <c:valAx>
        <c:axId val="179971968"/>
        <c:scaling>
          <c:orientation val="minMax"/>
        </c:scaling>
        <c:delete val="1"/>
        <c:axPos val="b"/>
        <c:numFmt formatCode="0%" sourceLinked="1"/>
        <c:majorTickMark val="out"/>
        <c:minorTickMark val="none"/>
        <c:tickLblPos val="nextTo"/>
        <c:crossAx val="179970432"/>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blipFill>
              <a:blip xmlns:r="http://schemas.openxmlformats.org/officeDocument/2006/relationships" r:embed="rId1"/>
              <a:stretch>
                <a:fillRect/>
              </a:stretch>
            </a:blipFill>
          </c:spPr>
          <c:invertIfNegative val="0"/>
          <c:dPt>
            <c:idx val="0"/>
            <c:invertIfNegative val="0"/>
            <c:bubble3D val="0"/>
            <c:spPr>
              <a:blipFill>
                <a:blip xmlns:r="http://schemas.openxmlformats.org/officeDocument/2006/relationships" r:embed="rId1"/>
                <a:stretch>
                  <a:fillRect/>
                </a:stretch>
              </a:blipFill>
            </c:spPr>
            <c:pictureOptions>
              <c:pictureFormat val="stack"/>
            </c:pictureOptions>
            <c:extLst>
              <c:ext xmlns:c16="http://schemas.microsoft.com/office/drawing/2014/chart" uri="{C3380CC4-5D6E-409C-BE32-E72D297353CC}">
                <c16:uniqueId val="{00000001-A937-4EF9-BA7E-42AE92802E84}"/>
              </c:ext>
            </c:extLst>
          </c:dPt>
          <c:dLbls>
            <c:dLbl>
              <c:idx val="0"/>
              <c:layout>
                <c:manualLayout>
                  <c:x val="-6.0198005723325213E-3"/>
                  <c:y val="9.2592592592592587E-3"/>
                </c:manualLayout>
              </c:layout>
              <c:spPr/>
              <c:txPr>
                <a:bodyPr/>
                <a:lstStyle/>
                <a:p>
                  <a:pPr>
                    <a:defRPr sz="1800" b="1">
                      <a:solidFill>
                        <a:schemeClr val="accent6">
                          <a:lumMod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937-4EF9-BA7E-42AE92802E84}"/>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Calcs!$P$57</c:f>
              <c:numCache>
                <c:formatCode>0%</c:formatCode>
                <c:ptCount val="1"/>
                <c:pt idx="0">
                  <c:v>1</c:v>
                </c:pt>
              </c:numCache>
            </c:numRef>
          </c:val>
          <c:extLst>
            <c:ext xmlns:c16="http://schemas.microsoft.com/office/drawing/2014/chart" uri="{C3380CC4-5D6E-409C-BE32-E72D297353CC}">
              <c16:uniqueId val="{00000002-A937-4EF9-BA7E-42AE92802E84}"/>
            </c:ext>
          </c:extLst>
        </c:ser>
        <c:ser>
          <c:idx val="1"/>
          <c:order val="1"/>
          <c:spPr>
            <a:blipFill dpi="0" rotWithShape="1">
              <a:blip xmlns:r="http://schemas.openxmlformats.org/officeDocument/2006/relationships" r:embed="rId2">
                <a:alphaModFix amt="32000"/>
              </a:blip>
              <a:srcRect/>
              <a:stretch>
                <a:fillRect/>
              </a:stretch>
            </a:blipFill>
          </c:spPr>
          <c:invertIfNegative val="0"/>
          <c:pictureOptions>
            <c:pictureFormat val="stack"/>
          </c:pictureOptions>
          <c:dPt>
            <c:idx val="0"/>
            <c:invertIfNegative val="0"/>
            <c:bubble3D val="0"/>
            <c:spPr>
              <a:blipFill dpi="0" rotWithShape="1">
                <a:blip xmlns:r="http://schemas.openxmlformats.org/officeDocument/2006/relationships" r:embed="rId3">
                  <a:alphaModFix amt="37000"/>
                </a:blip>
                <a:srcRect/>
                <a:stretch>
                  <a:fillRect/>
                </a:stretch>
              </a:blipFill>
            </c:spPr>
            <c:pictureOptions>
              <c:pictureFormat val="stack"/>
            </c:pictureOptions>
            <c:extLst>
              <c:ext xmlns:c16="http://schemas.microsoft.com/office/drawing/2014/chart" uri="{C3380CC4-5D6E-409C-BE32-E72D297353CC}">
                <c16:uniqueId val="{00000004-A937-4EF9-BA7E-42AE92802E84}"/>
              </c:ext>
            </c:extLst>
          </c:dPt>
          <c:val>
            <c:numLit>
              <c:formatCode>General</c:formatCode>
              <c:ptCount val="1"/>
              <c:pt idx="0">
                <c:v>1</c:v>
              </c:pt>
            </c:numLit>
          </c:val>
          <c:extLst>
            <c:ext xmlns:c16="http://schemas.microsoft.com/office/drawing/2014/chart" uri="{C3380CC4-5D6E-409C-BE32-E72D297353CC}">
              <c16:uniqueId val="{00000005-A937-4EF9-BA7E-42AE92802E84}"/>
            </c:ext>
          </c:extLst>
        </c:ser>
        <c:dLbls>
          <c:showLegendKey val="0"/>
          <c:showVal val="0"/>
          <c:showCatName val="0"/>
          <c:showSerName val="0"/>
          <c:showPercent val="0"/>
          <c:showBubbleSize val="0"/>
        </c:dLbls>
        <c:gapWidth val="150"/>
        <c:overlap val="100"/>
        <c:axId val="179993984"/>
        <c:axId val="179995776"/>
      </c:barChart>
      <c:catAx>
        <c:axId val="179993984"/>
        <c:scaling>
          <c:orientation val="minMax"/>
        </c:scaling>
        <c:delete val="1"/>
        <c:axPos val="l"/>
        <c:majorTickMark val="out"/>
        <c:minorTickMark val="none"/>
        <c:tickLblPos val="nextTo"/>
        <c:crossAx val="179995776"/>
        <c:crosses val="autoZero"/>
        <c:auto val="1"/>
        <c:lblAlgn val="ctr"/>
        <c:lblOffset val="100"/>
        <c:noMultiLvlLbl val="0"/>
      </c:catAx>
      <c:valAx>
        <c:axId val="179995776"/>
        <c:scaling>
          <c:orientation val="minMax"/>
        </c:scaling>
        <c:delete val="1"/>
        <c:axPos val="b"/>
        <c:numFmt formatCode="0%" sourceLinked="1"/>
        <c:majorTickMark val="out"/>
        <c:minorTickMark val="none"/>
        <c:tickLblPos val="nextTo"/>
        <c:crossAx val="179993984"/>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blipFill>
              <a:blip xmlns:r="http://schemas.openxmlformats.org/officeDocument/2006/relationships" r:embed="rId1"/>
              <a:stretch>
                <a:fillRect/>
              </a:stretch>
            </a:blipFill>
          </c:spPr>
          <c:invertIfNegative val="0"/>
          <c:dPt>
            <c:idx val="0"/>
            <c:invertIfNegative val="0"/>
            <c:bubble3D val="0"/>
            <c:spPr>
              <a:blipFill>
                <a:blip xmlns:r="http://schemas.openxmlformats.org/officeDocument/2006/relationships" r:embed="rId1"/>
                <a:stretch>
                  <a:fillRect/>
                </a:stretch>
              </a:blipFill>
            </c:spPr>
            <c:pictureOptions>
              <c:pictureFormat val="stack"/>
            </c:pictureOptions>
            <c:extLst>
              <c:ext xmlns:c16="http://schemas.microsoft.com/office/drawing/2014/chart" uri="{C3380CC4-5D6E-409C-BE32-E72D297353CC}">
                <c16:uniqueId val="{00000001-A167-49CB-ABA0-1022E01DBF7A}"/>
              </c:ext>
            </c:extLst>
          </c:dPt>
          <c:dLbls>
            <c:dLbl>
              <c:idx val="0"/>
              <c:layout>
                <c:manualLayout>
                  <c:x val="-6.0198005723325213E-3"/>
                  <c:y val="9.2592592592592587E-3"/>
                </c:manualLayout>
              </c:layout>
              <c:spPr/>
              <c:txPr>
                <a:bodyPr/>
                <a:lstStyle/>
                <a:p>
                  <a:pPr>
                    <a:defRPr sz="1800" b="1">
                      <a:solidFill>
                        <a:schemeClr val="accent6">
                          <a:lumMod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167-49CB-ABA0-1022E01DBF7A}"/>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Calcs!$P$59</c:f>
              <c:numCache>
                <c:formatCode>0%</c:formatCode>
                <c:ptCount val="1"/>
                <c:pt idx="0">
                  <c:v>1</c:v>
                </c:pt>
              </c:numCache>
            </c:numRef>
          </c:val>
          <c:extLst>
            <c:ext xmlns:c16="http://schemas.microsoft.com/office/drawing/2014/chart" uri="{C3380CC4-5D6E-409C-BE32-E72D297353CC}">
              <c16:uniqueId val="{00000002-A167-49CB-ABA0-1022E01DBF7A}"/>
            </c:ext>
          </c:extLst>
        </c:ser>
        <c:ser>
          <c:idx val="1"/>
          <c:order val="1"/>
          <c:spPr>
            <a:blipFill dpi="0" rotWithShape="1">
              <a:blip xmlns:r="http://schemas.openxmlformats.org/officeDocument/2006/relationships" r:embed="rId2">
                <a:alphaModFix amt="32000"/>
              </a:blip>
              <a:srcRect/>
              <a:stretch>
                <a:fillRect/>
              </a:stretch>
            </a:blipFill>
          </c:spPr>
          <c:invertIfNegative val="0"/>
          <c:pictureOptions>
            <c:pictureFormat val="stack"/>
          </c:pictureOptions>
          <c:dPt>
            <c:idx val="0"/>
            <c:invertIfNegative val="0"/>
            <c:bubble3D val="0"/>
            <c:spPr>
              <a:blipFill dpi="0" rotWithShape="1">
                <a:blip xmlns:r="http://schemas.openxmlformats.org/officeDocument/2006/relationships" r:embed="rId3">
                  <a:alphaModFix amt="37000"/>
                </a:blip>
                <a:srcRect/>
                <a:stretch>
                  <a:fillRect/>
                </a:stretch>
              </a:blipFill>
            </c:spPr>
            <c:pictureOptions>
              <c:pictureFormat val="stack"/>
            </c:pictureOptions>
            <c:extLst>
              <c:ext xmlns:c16="http://schemas.microsoft.com/office/drawing/2014/chart" uri="{C3380CC4-5D6E-409C-BE32-E72D297353CC}">
                <c16:uniqueId val="{00000004-A167-49CB-ABA0-1022E01DBF7A}"/>
              </c:ext>
            </c:extLst>
          </c:dPt>
          <c:val>
            <c:numLit>
              <c:formatCode>General</c:formatCode>
              <c:ptCount val="1"/>
              <c:pt idx="0">
                <c:v>1</c:v>
              </c:pt>
            </c:numLit>
          </c:val>
          <c:extLst>
            <c:ext xmlns:c16="http://schemas.microsoft.com/office/drawing/2014/chart" uri="{C3380CC4-5D6E-409C-BE32-E72D297353CC}">
              <c16:uniqueId val="{00000005-A167-49CB-ABA0-1022E01DBF7A}"/>
            </c:ext>
          </c:extLst>
        </c:ser>
        <c:dLbls>
          <c:showLegendKey val="0"/>
          <c:showVal val="0"/>
          <c:showCatName val="0"/>
          <c:showSerName val="0"/>
          <c:showPercent val="0"/>
          <c:showBubbleSize val="0"/>
        </c:dLbls>
        <c:gapWidth val="150"/>
        <c:overlap val="100"/>
        <c:axId val="180013696"/>
        <c:axId val="180023680"/>
      </c:barChart>
      <c:catAx>
        <c:axId val="180013696"/>
        <c:scaling>
          <c:orientation val="minMax"/>
        </c:scaling>
        <c:delete val="1"/>
        <c:axPos val="l"/>
        <c:majorTickMark val="out"/>
        <c:minorTickMark val="none"/>
        <c:tickLblPos val="nextTo"/>
        <c:crossAx val="180023680"/>
        <c:crosses val="autoZero"/>
        <c:auto val="1"/>
        <c:lblAlgn val="ctr"/>
        <c:lblOffset val="100"/>
        <c:noMultiLvlLbl val="0"/>
      </c:catAx>
      <c:valAx>
        <c:axId val="180023680"/>
        <c:scaling>
          <c:orientation val="minMax"/>
        </c:scaling>
        <c:delete val="1"/>
        <c:axPos val="b"/>
        <c:numFmt formatCode="0%" sourceLinked="1"/>
        <c:majorTickMark val="out"/>
        <c:minorTickMark val="none"/>
        <c:tickLblPos val="nextTo"/>
        <c:crossAx val="180013696"/>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5">
                  <a:lumMod val="75000"/>
                  <a:alpha val="65000"/>
                </a:schemeClr>
              </a:solidFill>
              <a:ln>
                <a:solidFill>
                  <a:schemeClr val="accent5">
                    <a:lumMod val="75000"/>
                  </a:schemeClr>
                </a:solidFill>
              </a:ln>
            </c:spPr>
            <c:extLst>
              <c:ext xmlns:c16="http://schemas.microsoft.com/office/drawing/2014/chart" uri="{C3380CC4-5D6E-409C-BE32-E72D297353CC}">
                <c16:uniqueId val="{00000001-C1D4-44FF-9693-9F3FA9FD9620}"/>
              </c:ext>
            </c:extLst>
          </c:dPt>
          <c:dPt>
            <c:idx val="1"/>
            <c:bubble3D val="0"/>
            <c:spPr>
              <a:solidFill>
                <a:schemeClr val="accent4">
                  <a:lumMod val="60000"/>
                  <a:lumOff val="40000"/>
                </a:schemeClr>
              </a:solidFill>
              <a:ln>
                <a:solidFill>
                  <a:schemeClr val="accent4">
                    <a:lumMod val="75000"/>
                  </a:schemeClr>
                </a:solidFill>
              </a:ln>
            </c:spPr>
            <c:extLst>
              <c:ext xmlns:c16="http://schemas.microsoft.com/office/drawing/2014/chart" uri="{C3380CC4-5D6E-409C-BE32-E72D297353CC}">
                <c16:uniqueId val="{00000003-C1D4-44FF-9693-9F3FA9FD9620}"/>
              </c:ext>
            </c:extLst>
          </c:dPt>
          <c:dPt>
            <c:idx val="2"/>
            <c:bubble3D val="0"/>
            <c:spPr>
              <a:solidFill>
                <a:srgbClr val="F68B32"/>
              </a:solidFill>
              <a:ln w="155575">
                <a:solidFill>
                  <a:srgbClr val="F68B32"/>
                </a:solidFill>
              </a:ln>
            </c:spPr>
            <c:extLst>
              <c:ext xmlns:c16="http://schemas.microsoft.com/office/drawing/2014/chart" uri="{C3380CC4-5D6E-409C-BE32-E72D297353CC}">
                <c16:uniqueId val="{00000005-C1D4-44FF-9693-9F3FA9FD9620}"/>
              </c:ext>
            </c:extLst>
          </c:dPt>
          <c:val>
            <c:numRef>
              <c:f>Calcs!$C$25:$E$25</c:f>
              <c:numCache>
                <c:formatCode>0.000</c:formatCode>
                <c:ptCount val="3"/>
                <c:pt idx="0">
                  <c:v>5.6809999999999992</c:v>
                </c:pt>
                <c:pt idx="1">
                  <c:v>5.3300000000000072</c:v>
                </c:pt>
                <c:pt idx="2">
                  <c:v>6.3739999999999926</c:v>
                </c:pt>
              </c:numCache>
            </c:numRef>
          </c:val>
          <c:extLst>
            <c:ext xmlns:c16="http://schemas.microsoft.com/office/drawing/2014/chart" uri="{C3380CC4-5D6E-409C-BE32-E72D297353CC}">
              <c16:uniqueId val="{00000006-C1D4-44FF-9693-9F3FA9FD9620}"/>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5">
                  <a:lumMod val="75000"/>
                  <a:alpha val="65000"/>
                </a:schemeClr>
              </a:solidFill>
              <a:ln>
                <a:solidFill>
                  <a:schemeClr val="accent5">
                    <a:lumMod val="75000"/>
                  </a:schemeClr>
                </a:solidFill>
              </a:ln>
            </c:spPr>
            <c:extLst>
              <c:ext xmlns:c16="http://schemas.microsoft.com/office/drawing/2014/chart" uri="{C3380CC4-5D6E-409C-BE32-E72D297353CC}">
                <c16:uniqueId val="{00000001-3AE5-4873-A037-B4A4B81BAFD3}"/>
              </c:ext>
            </c:extLst>
          </c:dPt>
          <c:dPt>
            <c:idx val="1"/>
            <c:bubble3D val="0"/>
            <c:spPr>
              <a:solidFill>
                <a:schemeClr val="accent4">
                  <a:lumMod val="60000"/>
                  <a:lumOff val="40000"/>
                </a:schemeClr>
              </a:solidFill>
              <a:ln>
                <a:solidFill>
                  <a:schemeClr val="accent4">
                    <a:lumMod val="75000"/>
                  </a:schemeClr>
                </a:solidFill>
              </a:ln>
            </c:spPr>
            <c:extLst>
              <c:ext xmlns:c16="http://schemas.microsoft.com/office/drawing/2014/chart" uri="{C3380CC4-5D6E-409C-BE32-E72D297353CC}">
                <c16:uniqueId val="{00000003-3AE5-4873-A037-B4A4B81BAFD3}"/>
              </c:ext>
            </c:extLst>
          </c:dPt>
          <c:dPt>
            <c:idx val="2"/>
            <c:bubble3D val="0"/>
            <c:spPr>
              <a:solidFill>
                <a:srgbClr val="F68B32"/>
              </a:solidFill>
              <a:ln w="155575">
                <a:solidFill>
                  <a:srgbClr val="F68B32"/>
                </a:solidFill>
              </a:ln>
            </c:spPr>
            <c:extLst>
              <c:ext xmlns:c16="http://schemas.microsoft.com/office/drawing/2014/chart" uri="{C3380CC4-5D6E-409C-BE32-E72D297353CC}">
                <c16:uniqueId val="{00000005-3AE5-4873-A037-B4A4B81BAFD3}"/>
              </c:ext>
            </c:extLst>
          </c:dPt>
          <c:val>
            <c:numRef>
              <c:f>Calcs!$C$26:$E$26</c:f>
              <c:numCache>
                <c:formatCode>0.000</c:formatCode>
                <c:ptCount val="3"/>
                <c:pt idx="0">
                  <c:v>8.7029999999999745</c:v>
                </c:pt>
                <c:pt idx="1">
                  <c:v>7.6220000000000132</c:v>
                </c:pt>
                <c:pt idx="2">
                  <c:v>10.293000000000012</c:v>
                </c:pt>
              </c:numCache>
            </c:numRef>
          </c:val>
          <c:extLst>
            <c:ext xmlns:c16="http://schemas.microsoft.com/office/drawing/2014/chart" uri="{C3380CC4-5D6E-409C-BE32-E72D297353CC}">
              <c16:uniqueId val="{00000006-3AE5-4873-A037-B4A4B81BAFD3}"/>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5">
                  <a:lumMod val="75000"/>
                  <a:alpha val="65000"/>
                </a:schemeClr>
              </a:solidFill>
              <a:ln>
                <a:solidFill>
                  <a:schemeClr val="accent5">
                    <a:lumMod val="75000"/>
                  </a:schemeClr>
                </a:solidFill>
              </a:ln>
            </c:spPr>
            <c:extLst>
              <c:ext xmlns:c16="http://schemas.microsoft.com/office/drawing/2014/chart" uri="{C3380CC4-5D6E-409C-BE32-E72D297353CC}">
                <c16:uniqueId val="{00000001-CE06-4993-8A51-2BB3C7008D77}"/>
              </c:ext>
            </c:extLst>
          </c:dPt>
          <c:dPt>
            <c:idx val="1"/>
            <c:bubble3D val="0"/>
            <c:spPr>
              <a:solidFill>
                <a:schemeClr val="accent4">
                  <a:lumMod val="60000"/>
                  <a:lumOff val="40000"/>
                </a:schemeClr>
              </a:solidFill>
              <a:ln>
                <a:solidFill>
                  <a:schemeClr val="accent4">
                    <a:lumMod val="75000"/>
                  </a:schemeClr>
                </a:solidFill>
              </a:ln>
            </c:spPr>
            <c:extLst>
              <c:ext xmlns:c16="http://schemas.microsoft.com/office/drawing/2014/chart" uri="{C3380CC4-5D6E-409C-BE32-E72D297353CC}">
                <c16:uniqueId val="{00000003-CE06-4993-8A51-2BB3C7008D77}"/>
              </c:ext>
            </c:extLst>
          </c:dPt>
          <c:dPt>
            <c:idx val="2"/>
            <c:bubble3D val="0"/>
            <c:spPr>
              <a:solidFill>
                <a:srgbClr val="F68B32"/>
              </a:solidFill>
              <a:ln w="155575">
                <a:solidFill>
                  <a:srgbClr val="F68B32"/>
                </a:solidFill>
              </a:ln>
            </c:spPr>
            <c:extLst>
              <c:ext xmlns:c16="http://schemas.microsoft.com/office/drawing/2014/chart" uri="{C3380CC4-5D6E-409C-BE32-E72D297353CC}">
                <c16:uniqueId val="{00000005-CE06-4993-8A51-2BB3C7008D77}"/>
              </c:ext>
            </c:extLst>
          </c:dPt>
          <c:val>
            <c:numRef>
              <c:f>Calcs!$C$27:$E$27</c:f>
              <c:numCache>
                <c:formatCode>0.000</c:formatCode>
                <c:ptCount val="3"/>
                <c:pt idx="0">
                  <c:v>1.8000000000000007</c:v>
                </c:pt>
                <c:pt idx="1">
                  <c:v>0.87499999999999989</c:v>
                </c:pt>
                <c:pt idx="2">
                  <c:v>0.88999999999999935</c:v>
                </c:pt>
              </c:numCache>
            </c:numRef>
          </c:val>
          <c:extLst>
            <c:ext xmlns:c16="http://schemas.microsoft.com/office/drawing/2014/chart" uri="{C3380CC4-5D6E-409C-BE32-E72D297353CC}">
              <c16:uniqueId val="{00000006-CE06-4993-8A51-2BB3C7008D77}"/>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5">
                  <a:lumMod val="75000"/>
                  <a:alpha val="65000"/>
                </a:schemeClr>
              </a:solidFill>
              <a:ln>
                <a:solidFill>
                  <a:schemeClr val="accent5">
                    <a:lumMod val="75000"/>
                  </a:schemeClr>
                </a:solidFill>
              </a:ln>
            </c:spPr>
            <c:extLst>
              <c:ext xmlns:c16="http://schemas.microsoft.com/office/drawing/2014/chart" uri="{C3380CC4-5D6E-409C-BE32-E72D297353CC}">
                <c16:uniqueId val="{00000001-D6B7-4533-9920-03B0339D54AF}"/>
              </c:ext>
            </c:extLst>
          </c:dPt>
          <c:dPt>
            <c:idx val="1"/>
            <c:bubble3D val="0"/>
            <c:spPr>
              <a:solidFill>
                <a:schemeClr val="accent4">
                  <a:lumMod val="60000"/>
                  <a:lumOff val="40000"/>
                </a:schemeClr>
              </a:solidFill>
              <a:ln>
                <a:solidFill>
                  <a:schemeClr val="accent4">
                    <a:lumMod val="75000"/>
                  </a:schemeClr>
                </a:solidFill>
              </a:ln>
            </c:spPr>
            <c:extLst>
              <c:ext xmlns:c16="http://schemas.microsoft.com/office/drawing/2014/chart" uri="{C3380CC4-5D6E-409C-BE32-E72D297353CC}">
                <c16:uniqueId val="{00000003-D6B7-4533-9920-03B0339D54AF}"/>
              </c:ext>
            </c:extLst>
          </c:dPt>
          <c:dPt>
            <c:idx val="2"/>
            <c:bubble3D val="0"/>
            <c:spPr>
              <a:solidFill>
                <a:srgbClr val="F68B32"/>
              </a:solidFill>
              <a:ln w="155575">
                <a:solidFill>
                  <a:srgbClr val="F68B32"/>
                </a:solidFill>
              </a:ln>
            </c:spPr>
            <c:extLst>
              <c:ext xmlns:c16="http://schemas.microsoft.com/office/drawing/2014/chart" uri="{C3380CC4-5D6E-409C-BE32-E72D297353CC}">
                <c16:uniqueId val="{00000005-D6B7-4533-9920-03B0339D54AF}"/>
              </c:ext>
            </c:extLst>
          </c:dPt>
          <c:val>
            <c:numRef>
              <c:f>Calcs!$C$28:$E$28</c:f>
              <c:numCache>
                <c:formatCode>0.000</c:formatCode>
                <c:ptCount val="3"/>
                <c:pt idx="0">
                  <c:v>0.35700000000000021</c:v>
                </c:pt>
                <c:pt idx="1">
                  <c:v>0.69999999999999973</c:v>
                </c:pt>
                <c:pt idx="2">
                  <c:v>0.38500000000000001</c:v>
                </c:pt>
              </c:numCache>
            </c:numRef>
          </c:val>
          <c:extLst>
            <c:ext xmlns:c16="http://schemas.microsoft.com/office/drawing/2014/chart" uri="{C3380CC4-5D6E-409C-BE32-E72D297353CC}">
              <c16:uniqueId val="{00000006-D6B7-4533-9920-03B0339D54A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5">
                  <a:lumMod val="75000"/>
                  <a:alpha val="65000"/>
                </a:schemeClr>
              </a:solidFill>
              <a:ln>
                <a:solidFill>
                  <a:schemeClr val="accent5">
                    <a:lumMod val="75000"/>
                  </a:schemeClr>
                </a:solidFill>
              </a:ln>
            </c:spPr>
            <c:extLst>
              <c:ext xmlns:c16="http://schemas.microsoft.com/office/drawing/2014/chart" uri="{C3380CC4-5D6E-409C-BE32-E72D297353CC}">
                <c16:uniqueId val="{00000001-AAF5-4FD4-BC5A-D0234AA09356}"/>
              </c:ext>
            </c:extLst>
          </c:dPt>
          <c:dPt>
            <c:idx val="1"/>
            <c:bubble3D val="0"/>
            <c:spPr>
              <a:solidFill>
                <a:schemeClr val="accent4">
                  <a:lumMod val="60000"/>
                  <a:lumOff val="40000"/>
                </a:schemeClr>
              </a:solidFill>
              <a:ln>
                <a:solidFill>
                  <a:schemeClr val="accent4">
                    <a:lumMod val="75000"/>
                  </a:schemeClr>
                </a:solidFill>
              </a:ln>
            </c:spPr>
            <c:extLst>
              <c:ext xmlns:c16="http://schemas.microsoft.com/office/drawing/2014/chart" uri="{C3380CC4-5D6E-409C-BE32-E72D297353CC}">
                <c16:uniqueId val="{00000003-AAF5-4FD4-BC5A-D0234AA09356}"/>
              </c:ext>
            </c:extLst>
          </c:dPt>
          <c:dPt>
            <c:idx val="2"/>
            <c:bubble3D val="0"/>
            <c:spPr>
              <a:solidFill>
                <a:srgbClr val="F68B32"/>
              </a:solidFill>
              <a:ln w="155575">
                <a:solidFill>
                  <a:srgbClr val="F68B32"/>
                </a:solidFill>
              </a:ln>
            </c:spPr>
            <c:extLst>
              <c:ext xmlns:c16="http://schemas.microsoft.com/office/drawing/2014/chart" uri="{C3380CC4-5D6E-409C-BE32-E72D297353CC}">
                <c16:uniqueId val="{00000005-AAF5-4FD4-BC5A-D0234AA09356}"/>
              </c:ext>
            </c:extLst>
          </c:dPt>
          <c:val>
            <c:numRef>
              <c:f>Calcs!$C$29:$E$29</c:f>
              <c:numCache>
                <c:formatCode>0.000</c:formatCode>
                <c:ptCount val="3"/>
                <c:pt idx="0">
                  <c:v>3.1800000000000068</c:v>
                </c:pt>
                <c:pt idx="1">
                  <c:v>3.1430000000000002</c:v>
                </c:pt>
                <c:pt idx="2">
                  <c:v>0.61000000000000076</c:v>
                </c:pt>
              </c:numCache>
            </c:numRef>
          </c:val>
          <c:extLst>
            <c:ext xmlns:c16="http://schemas.microsoft.com/office/drawing/2014/chart" uri="{C3380CC4-5D6E-409C-BE32-E72D297353CC}">
              <c16:uniqueId val="{00000006-AAF5-4FD4-BC5A-D0234AA09356}"/>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5">
                  <a:lumMod val="75000"/>
                  <a:alpha val="65000"/>
                </a:schemeClr>
              </a:solidFill>
              <a:ln>
                <a:solidFill>
                  <a:schemeClr val="accent5">
                    <a:lumMod val="75000"/>
                  </a:schemeClr>
                </a:solidFill>
              </a:ln>
            </c:spPr>
            <c:extLst>
              <c:ext xmlns:c16="http://schemas.microsoft.com/office/drawing/2014/chart" uri="{C3380CC4-5D6E-409C-BE32-E72D297353CC}">
                <c16:uniqueId val="{00000001-D0C8-4169-9CF9-8487B6F408E7}"/>
              </c:ext>
            </c:extLst>
          </c:dPt>
          <c:dPt>
            <c:idx val="1"/>
            <c:bubble3D val="0"/>
            <c:spPr>
              <a:solidFill>
                <a:schemeClr val="accent4">
                  <a:lumMod val="60000"/>
                  <a:lumOff val="40000"/>
                </a:schemeClr>
              </a:solidFill>
              <a:ln>
                <a:solidFill>
                  <a:schemeClr val="accent4">
                    <a:lumMod val="75000"/>
                  </a:schemeClr>
                </a:solidFill>
              </a:ln>
            </c:spPr>
            <c:extLst>
              <c:ext xmlns:c16="http://schemas.microsoft.com/office/drawing/2014/chart" uri="{C3380CC4-5D6E-409C-BE32-E72D297353CC}">
                <c16:uniqueId val="{00000003-D0C8-4169-9CF9-8487B6F408E7}"/>
              </c:ext>
            </c:extLst>
          </c:dPt>
          <c:dPt>
            <c:idx val="2"/>
            <c:bubble3D val="0"/>
            <c:spPr>
              <a:solidFill>
                <a:srgbClr val="F68B32"/>
              </a:solidFill>
              <a:ln w="155575">
                <a:solidFill>
                  <a:srgbClr val="F68B32"/>
                </a:solidFill>
              </a:ln>
            </c:spPr>
            <c:extLst>
              <c:ext xmlns:c16="http://schemas.microsoft.com/office/drawing/2014/chart" uri="{C3380CC4-5D6E-409C-BE32-E72D297353CC}">
                <c16:uniqueId val="{00000005-D0C8-4169-9CF9-8487B6F408E7}"/>
              </c:ext>
            </c:extLst>
          </c:dPt>
          <c:val>
            <c:numRef>
              <c:f>Calcs!$C$30:$E$30</c:f>
              <c:numCache>
                <c:formatCode>0.000</c:formatCode>
                <c:ptCount val="3"/>
                <c:pt idx="0">
                  <c:v>1.3500000000000005</c:v>
                </c:pt>
                <c:pt idx="1">
                  <c:v>1.1000000000000014</c:v>
                </c:pt>
                <c:pt idx="2">
                  <c:v>1.7239999999999991</c:v>
                </c:pt>
              </c:numCache>
            </c:numRef>
          </c:val>
          <c:extLst>
            <c:ext xmlns:c16="http://schemas.microsoft.com/office/drawing/2014/chart" uri="{C3380CC4-5D6E-409C-BE32-E72D297353CC}">
              <c16:uniqueId val="{00000006-D0C8-4169-9CF9-8487B6F408E7}"/>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5">
                  <a:lumMod val="75000"/>
                  <a:alpha val="65000"/>
                </a:schemeClr>
              </a:solidFill>
              <a:ln>
                <a:solidFill>
                  <a:schemeClr val="accent5">
                    <a:lumMod val="75000"/>
                  </a:schemeClr>
                </a:solidFill>
              </a:ln>
            </c:spPr>
            <c:extLst>
              <c:ext xmlns:c16="http://schemas.microsoft.com/office/drawing/2014/chart" uri="{C3380CC4-5D6E-409C-BE32-E72D297353CC}">
                <c16:uniqueId val="{00000001-3E2C-418A-BD3A-96D7660ADB8C}"/>
              </c:ext>
            </c:extLst>
          </c:dPt>
          <c:dPt>
            <c:idx val="1"/>
            <c:bubble3D val="0"/>
            <c:spPr>
              <a:solidFill>
                <a:schemeClr val="accent4">
                  <a:lumMod val="60000"/>
                  <a:lumOff val="40000"/>
                </a:schemeClr>
              </a:solidFill>
              <a:ln>
                <a:solidFill>
                  <a:schemeClr val="accent4">
                    <a:lumMod val="75000"/>
                  </a:schemeClr>
                </a:solidFill>
              </a:ln>
            </c:spPr>
            <c:extLst>
              <c:ext xmlns:c16="http://schemas.microsoft.com/office/drawing/2014/chart" uri="{C3380CC4-5D6E-409C-BE32-E72D297353CC}">
                <c16:uniqueId val="{00000003-3E2C-418A-BD3A-96D7660ADB8C}"/>
              </c:ext>
            </c:extLst>
          </c:dPt>
          <c:dPt>
            <c:idx val="2"/>
            <c:bubble3D val="0"/>
            <c:spPr>
              <a:solidFill>
                <a:srgbClr val="F68B32"/>
              </a:solidFill>
              <a:ln w="155575">
                <a:solidFill>
                  <a:srgbClr val="F68B32"/>
                </a:solidFill>
              </a:ln>
            </c:spPr>
            <c:extLst>
              <c:ext xmlns:c16="http://schemas.microsoft.com/office/drawing/2014/chart" uri="{C3380CC4-5D6E-409C-BE32-E72D297353CC}">
                <c16:uniqueId val="{00000005-3E2C-418A-BD3A-96D7660ADB8C}"/>
              </c:ext>
            </c:extLst>
          </c:dPt>
          <c:val>
            <c:numRef>
              <c:f>Calcs!$C$31:$E$31</c:f>
              <c:numCache>
                <c:formatCode>0.000</c:formatCode>
                <c:ptCount val="3"/>
                <c:pt idx="0">
                  <c:v>0</c:v>
                </c:pt>
                <c:pt idx="1">
                  <c:v>0</c:v>
                </c:pt>
                <c:pt idx="2">
                  <c:v>0</c:v>
                </c:pt>
              </c:numCache>
            </c:numRef>
          </c:val>
          <c:extLst>
            <c:ext xmlns:c16="http://schemas.microsoft.com/office/drawing/2014/chart" uri="{C3380CC4-5D6E-409C-BE32-E72D297353CC}">
              <c16:uniqueId val="{00000006-3E2C-418A-BD3A-96D7660ADB8C}"/>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5">
                  <a:lumMod val="75000"/>
                  <a:alpha val="65000"/>
                </a:schemeClr>
              </a:solidFill>
              <a:ln>
                <a:solidFill>
                  <a:schemeClr val="accent5">
                    <a:lumMod val="75000"/>
                  </a:schemeClr>
                </a:solidFill>
              </a:ln>
            </c:spPr>
            <c:extLst>
              <c:ext xmlns:c16="http://schemas.microsoft.com/office/drawing/2014/chart" uri="{C3380CC4-5D6E-409C-BE32-E72D297353CC}">
                <c16:uniqueId val="{00000001-FA6B-4754-94A9-AC6190C43F9F}"/>
              </c:ext>
            </c:extLst>
          </c:dPt>
          <c:dPt>
            <c:idx val="1"/>
            <c:bubble3D val="0"/>
            <c:spPr>
              <a:solidFill>
                <a:schemeClr val="accent4">
                  <a:lumMod val="60000"/>
                  <a:lumOff val="40000"/>
                </a:schemeClr>
              </a:solidFill>
              <a:ln>
                <a:solidFill>
                  <a:schemeClr val="accent4">
                    <a:lumMod val="75000"/>
                  </a:schemeClr>
                </a:solidFill>
              </a:ln>
            </c:spPr>
            <c:extLst>
              <c:ext xmlns:c16="http://schemas.microsoft.com/office/drawing/2014/chart" uri="{C3380CC4-5D6E-409C-BE32-E72D297353CC}">
                <c16:uniqueId val="{00000003-FA6B-4754-94A9-AC6190C43F9F}"/>
              </c:ext>
            </c:extLst>
          </c:dPt>
          <c:dPt>
            <c:idx val="2"/>
            <c:bubble3D val="0"/>
            <c:spPr>
              <a:solidFill>
                <a:srgbClr val="F68B32"/>
              </a:solidFill>
              <a:ln w="155575">
                <a:solidFill>
                  <a:srgbClr val="F68B32"/>
                </a:solidFill>
              </a:ln>
            </c:spPr>
            <c:extLst>
              <c:ext xmlns:c16="http://schemas.microsoft.com/office/drawing/2014/chart" uri="{C3380CC4-5D6E-409C-BE32-E72D297353CC}">
                <c16:uniqueId val="{00000005-FA6B-4754-94A9-AC6190C43F9F}"/>
              </c:ext>
            </c:extLst>
          </c:dPt>
          <c:val>
            <c:numRef>
              <c:f>Calcs!$C$32:$E$32</c:f>
              <c:numCache>
                <c:formatCode>0.000</c:formatCode>
                <c:ptCount val="3"/>
                <c:pt idx="0">
                  <c:v>1.7700000000000053</c:v>
                </c:pt>
                <c:pt idx="1">
                  <c:v>2.1599999999999993</c:v>
                </c:pt>
                <c:pt idx="2">
                  <c:v>0.41000000000000014</c:v>
                </c:pt>
              </c:numCache>
            </c:numRef>
          </c:val>
          <c:extLst>
            <c:ext xmlns:c16="http://schemas.microsoft.com/office/drawing/2014/chart" uri="{C3380CC4-5D6E-409C-BE32-E72D297353CC}">
              <c16:uniqueId val="{00000006-FA6B-4754-94A9-AC6190C43F9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5">
                  <a:lumMod val="75000"/>
                  <a:alpha val="65000"/>
                </a:schemeClr>
              </a:solidFill>
              <a:ln>
                <a:solidFill>
                  <a:schemeClr val="accent5">
                    <a:lumMod val="75000"/>
                  </a:schemeClr>
                </a:solidFill>
              </a:ln>
            </c:spPr>
            <c:extLst>
              <c:ext xmlns:c16="http://schemas.microsoft.com/office/drawing/2014/chart" uri="{C3380CC4-5D6E-409C-BE32-E72D297353CC}">
                <c16:uniqueId val="{00000001-1449-4DEE-8D8C-EA3BC6E2A1D4}"/>
              </c:ext>
            </c:extLst>
          </c:dPt>
          <c:dPt>
            <c:idx val="1"/>
            <c:bubble3D val="0"/>
            <c:spPr>
              <a:solidFill>
                <a:schemeClr val="accent4">
                  <a:lumMod val="60000"/>
                  <a:lumOff val="40000"/>
                </a:schemeClr>
              </a:solidFill>
              <a:ln>
                <a:solidFill>
                  <a:schemeClr val="accent4">
                    <a:lumMod val="75000"/>
                  </a:schemeClr>
                </a:solidFill>
              </a:ln>
            </c:spPr>
            <c:extLst>
              <c:ext xmlns:c16="http://schemas.microsoft.com/office/drawing/2014/chart" uri="{C3380CC4-5D6E-409C-BE32-E72D297353CC}">
                <c16:uniqueId val="{00000003-1449-4DEE-8D8C-EA3BC6E2A1D4}"/>
              </c:ext>
            </c:extLst>
          </c:dPt>
          <c:dPt>
            <c:idx val="2"/>
            <c:bubble3D val="0"/>
            <c:spPr>
              <a:solidFill>
                <a:srgbClr val="F68B32"/>
              </a:solidFill>
              <a:ln w="155575">
                <a:solidFill>
                  <a:srgbClr val="F68B32"/>
                </a:solidFill>
              </a:ln>
            </c:spPr>
            <c:extLst>
              <c:ext xmlns:c16="http://schemas.microsoft.com/office/drawing/2014/chart" uri="{C3380CC4-5D6E-409C-BE32-E72D297353CC}">
                <c16:uniqueId val="{00000005-1449-4DEE-8D8C-EA3BC6E2A1D4}"/>
              </c:ext>
            </c:extLst>
          </c:dPt>
          <c:val>
            <c:numRef>
              <c:f>Calcs!$C$33:$E$33</c:f>
              <c:numCache>
                <c:formatCode>0.000</c:formatCode>
                <c:ptCount val="3"/>
                <c:pt idx="0">
                  <c:v>0</c:v>
                </c:pt>
                <c:pt idx="1">
                  <c:v>0</c:v>
                </c:pt>
                <c:pt idx="2">
                  <c:v>0</c:v>
                </c:pt>
              </c:numCache>
            </c:numRef>
          </c:val>
          <c:extLst>
            <c:ext xmlns:c16="http://schemas.microsoft.com/office/drawing/2014/chart" uri="{C3380CC4-5D6E-409C-BE32-E72D297353CC}">
              <c16:uniqueId val="{00000006-1449-4DEE-8D8C-EA3BC6E2A1D4}"/>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5">
                  <a:lumMod val="75000"/>
                  <a:alpha val="65000"/>
                </a:schemeClr>
              </a:solidFill>
              <a:ln>
                <a:solidFill>
                  <a:schemeClr val="accent5">
                    <a:lumMod val="75000"/>
                  </a:schemeClr>
                </a:solidFill>
              </a:ln>
            </c:spPr>
            <c:extLst>
              <c:ext xmlns:c16="http://schemas.microsoft.com/office/drawing/2014/chart" uri="{C3380CC4-5D6E-409C-BE32-E72D297353CC}">
                <c16:uniqueId val="{00000001-7DF1-40CE-8DEA-3F2AB943A9A5}"/>
              </c:ext>
            </c:extLst>
          </c:dPt>
          <c:dPt>
            <c:idx val="1"/>
            <c:bubble3D val="0"/>
            <c:spPr>
              <a:solidFill>
                <a:schemeClr val="accent4">
                  <a:lumMod val="60000"/>
                  <a:lumOff val="40000"/>
                </a:schemeClr>
              </a:solidFill>
              <a:ln>
                <a:solidFill>
                  <a:schemeClr val="accent4">
                    <a:lumMod val="75000"/>
                  </a:schemeClr>
                </a:solidFill>
              </a:ln>
            </c:spPr>
            <c:extLst>
              <c:ext xmlns:c16="http://schemas.microsoft.com/office/drawing/2014/chart" uri="{C3380CC4-5D6E-409C-BE32-E72D297353CC}">
                <c16:uniqueId val="{00000003-7DF1-40CE-8DEA-3F2AB943A9A5}"/>
              </c:ext>
            </c:extLst>
          </c:dPt>
          <c:dPt>
            <c:idx val="2"/>
            <c:bubble3D val="0"/>
            <c:spPr>
              <a:solidFill>
                <a:srgbClr val="F68B32"/>
              </a:solidFill>
              <a:ln w="155575">
                <a:solidFill>
                  <a:srgbClr val="F68B32"/>
                </a:solidFill>
              </a:ln>
            </c:spPr>
            <c:extLst>
              <c:ext xmlns:c16="http://schemas.microsoft.com/office/drawing/2014/chart" uri="{C3380CC4-5D6E-409C-BE32-E72D297353CC}">
                <c16:uniqueId val="{00000005-7DF1-40CE-8DEA-3F2AB943A9A5}"/>
              </c:ext>
            </c:extLst>
          </c:dPt>
          <c:val>
            <c:numRef>
              <c:f>Calcs!$C$34:$E$34</c:f>
              <c:numCache>
                <c:formatCode>0.000</c:formatCode>
                <c:ptCount val="3"/>
                <c:pt idx="0">
                  <c:v>0.73500000000000032</c:v>
                </c:pt>
                <c:pt idx="1">
                  <c:v>0.97000000000000008</c:v>
                </c:pt>
                <c:pt idx="2">
                  <c:v>0.88499999999999968</c:v>
                </c:pt>
              </c:numCache>
            </c:numRef>
          </c:val>
          <c:extLst>
            <c:ext xmlns:c16="http://schemas.microsoft.com/office/drawing/2014/chart" uri="{C3380CC4-5D6E-409C-BE32-E72D297353CC}">
              <c16:uniqueId val="{00000006-7DF1-40CE-8DEA-3F2AB943A9A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5">
                  <a:lumMod val="75000"/>
                  <a:alpha val="65000"/>
                </a:schemeClr>
              </a:solidFill>
              <a:ln>
                <a:solidFill>
                  <a:schemeClr val="accent5">
                    <a:lumMod val="75000"/>
                  </a:schemeClr>
                </a:solidFill>
              </a:ln>
            </c:spPr>
            <c:extLst>
              <c:ext xmlns:c16="http://schemas.microsoft.com/office/drawing/2014/chart" uri="{C3380CC4-5D6E-409C-BE32-E72D297353CC}">
                <c16:uniqueId val="{00000001-D017-49BA-AAE5-F5AFC4FBFC32}"/>
              </c:ext>
            </c:extLst>
          </c:dPt>
          <c:dPt>
            <c:idx val="1"/>
            <c:bubble3D val="0"/>
            <c:spPr>
              <a:solidFill>
                <a:schemeClr val="accent4">
                  <a:lumMod val="60000"/>
                  <a:lumOff val="40000"/>
                </a:schemeClr>
              </a:solidFill>
              <a:ln>
                <a:solidFill>
                  <a:schemeClr val="accent4">
                    <a:lumMod val="75000"/>
                  </a:schemeClr>
                </a:solidFill>
              </a:ln>
            </c:spPr>
            <c:extLst>
              <c:ext xmlns:c16="http://schemas.microsoft.com/office/drawing/2014/chart" uri="{C3380CC4-5D6E-409C-BE32-E72D297353CC}">
                <c16:uniqueId val="{00000003-D017-49BA-AAE5-F5AFC4FBFC32}"/>
              </c:ext>
            </c:extLst>
          </c:dPt>
          <c:dPt>
            <c:idx val="2"/>
            <c:bubble3D val="0"/>
            <c:spPr>
              <a:solidFill>
                <a:srgbClr val="F68B32"/>
              </a:solidFill>
              <a:ln w="155575">
                <a:solidFill>
                  <a:srgbClr val="F68B32"/>
                </a:solidFill>
              </a:ln>
            </c:spPr>
            <c:extLst>
              <c:ext xmlns:c16="http://schemas.microsoft.com/office/drawing/2014/chart" uri="{C3380CC4-5D6E-409C-BE32-E72D297353CC}">
                <c16:uniqueId val="{00000005-D017-49BA-AAE5-F5AFC4FBFC32}"/>
              </c:ext>
            </c:extLst>
          </c:dPt>
          <c:val>
            <c:numRef>
              <c:f>Calcs!$C$35:$E$35</c:f>
              <c:numCache>
                <c:formatCode>0.000</c:formatCode>
                <c:ptCount val="3"/>
                <c:pt idx="0">
                  <c:v>0.39999999999999991</c:v>
                </c:pt>
                <c:pt idx="1">
                  <c:v>0.63000000000000012</c:v>
                </c:pt>
                <c:pt idx="2">
                  <c:v>1.0200000000000005</c:v>
                </c:pt>
              </c:numCache>
            </c:numRef>
          </c:val>
          <c:extLst>
            <c:ext xmlns:c16="http://schemas.microsoft.com/office/drawing/2014/chart" uri="{C3380CC4-5D6E-409C-BE32-E72D297353CC}">
              <c16:uniqueId val="{00000006-D017-49BA-AAE5-F5AFC4FBFC3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5">
                  <a:lumMod val="75000"/>
                  <a:alpha val="65000"/>
                </a:schemeClr>
              </a:solidFill>
              <a:ln>
                <a:solidFill>
                  <a:schemeClr val="accent5">
                    <a:lumMod val="75000"/>
                  </a:schemeClr>
                </a:solidFill>
              </a:ln>
            </c:spPr>
            <c:extLst>
              <c:ext xmlns:c16="http://schemas.microsoft.com/office/drawing/2014/chart" uri="{C3380CC4-5D6E-409C-BE32-E72D297353CC}">
                <c16:uniqueId val="{00000001-A5F8-4C75-9934-CFE831849042}"/>
              </c:ext>
            </c:extLst>
          </c:dPt>
          <c:dPt>
            <c:idx val="1"/>
            <c:bubble3D val="0"/>
            <c:spPr>
              <a:solidFill>
                <a:schemeClr val="accent4">
                  <a:lumMod val="60000"/>
                  <a:lumOff val="40000"/>
                </a:schemeClr>
              </a:solidFill>
              <a:ln>
                <a:solidFill>
                  <a:schemeClr val="accent4">
                    <a:lumMod val="75000"/>
                  </a:schemeClr>
                </a:solidFill>
              </a:ln>
            </c:spPr>
            <c:extLst>
              <c:ext xmlns:c16="http://schemas.microsoft.com/office/drawing/2014/chart" uri="{C3380CC4-5D6E-409C-BE32-E72D297353CC}">
                <c16:uniqueId val="{00000003-A5F8-4C75-9934-CFE831849042}"/>
              </c:ext>
            </c:extLst>
          </c:dPt>
          <c:dPt>
            <c:idx val="2"/>
            <c:bubble3D val="0"/>
            <c:spPr>
              <a:solidFill>
                <a:srgbClr val="F68B32"/>
              </a:solidFill>
              <a:ln w="155575">
                <a:solidFill>
                  <a:srgbClr val="F68B32"/>
                </a:solidFill>
              </a:ln>
            </c:spPr>
            <c:extLst>
              <c:ext xmlns:c16="http://schemas.microsoft.com/office/drawing/2014/chart" uri="{C3380CC4-5D6E-409C-BE32-E72D297353CC}">
                <c16:uniqueId val="{00000005-A5F8-4C75-9934-CFE831849042}"/>
              </c:ext>
            </c:extLst>
          </c:dPt>
          <c:val>
            <c:numRef>
              <c:f>Calcs!$C$36:$E$36</c:f>
              <c:numCache>
                <c:formatCode>0.000</c:formatCode>
                <c:ptCount val="3"/>
                <c:pt idx="0">
                  <c:v>0.19999999999999929</c:v>
                </c:pt>
                <c:pt idx="1">
                  <c:v>0</c:v>
                </c:pt>
                <c:pt idx="2">
                  <c:v>0.16999999999999993</c:v>
                </c:pt>
              </c:numCache>
            </c:numRef>
          </c:val>
          <c:extLst>
            <c:ext xmlns:c16="http://schemas.microsoft.com/office/drawing/2014/chart" uri="{C3380CC4-5D6E-409C-BE32-E72D297353CC}">
              <c16:uniqueId val="{00000006-A5F8-4C75-9934-CFE83184904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5">
                  <a:lumMod val="75000"/>
                  <a:alpha val="65000"/>
                </a:schemeClr>
              </a:solidFill>
              <a:ln>
                <a:solidFill>
                  <a:schemeClr val="accent5">
                    <a:lumMod val="75000"/>
                  </a:schemeClr>
                </a:solidFill>
              </a:ln>
            </c:spPr>
            <c:extLst>
              <c:ext xmlns:c16="http://schemas.microsoft.com/office/drawing/2014/chart" uri="{C3380CC4-5D6E-409C-BE32-E72D297353CC}">
                <c16:uniqueId val="{00000001-C2AE-4262-A62D-3E2701C97301}"/>
              </c:ext>
            </c:extLst>
          </c:dPt>
          <c:dPt>
            <c:idx val="1"/>
            <c:bubble3D val="0"/>
            <c:spPr>
              <a:solidFill>
                <a:schemeClr val="accent4">
                  <a:lumMod val="60000"/>
                  <a:lumOff val="40000"/>
                </a:schemeClr>
              </a:solidFill>
              <a:ln>
                <a:solidFill>
                  <a:schemeClr val="accent4">
                    <a:lumMod val="75000"/>
                  </a:schemeClr>
                </a:solidFill>
              </a:ln>
            </c:spPr>
            <c:extLst>
              <c:ext xmlns:c16="http://schemas.microsoft.com/office/drawing/2014/chart" uri="{C3380CC4-5D6E-409C-BE32-E72D297353CC}">
                <c16:uniqueId val="{00000003-C2AE-4262-A62D-3E2701C97301}"/>
              </c:ext>
            </c:extLst>
          </c:dPt>
          <c:dPt>
            <c:idx val="2"/>
            <c:bubble3D val="0"/>
            <c:spPr>
              <a:solidFill>
                <a:srgbClr val="F68B32"/>
              </a:solidFill>
              <a:ln w="155575">
                <a:solidFill>
                  <a:srgbClr val="F68B32"/>
                </a:solidFill>
              </a:ln>
            </c:spPr>
            <c:extLst>
              <c:ext xmlns:c16="http://schemas.microsoft.com/office/drawing/2014/chart" uri="{C3380CC4-5D6E-409C-BE32-E72D297353CC}">
                <c16:uniqueId val="{00000005-C2AE-4262-A62D-3E2701C97301}"/>
              </c:ext>
            </c:extLst>
          </c:dPt>
          <c:val>
            <c:numRef>
              <c:f>Calcs!$C$37:$E$37</c:f>
              <c:numCache>
                <c:formatCode>0.000</c:formatCode>
                <c:ptCount val="3"/>
                <c:pt idx="0">
                  <c:v>0.42000000000000015</c:v>
                </c:pt>
                <c:pt idx="1">
                  <c:v>0</c:v>
                </c:pt>
                <c:pt idx="2">
                  <c:v>0.67100000000000004</c:v>
                </c:pt>
              </c:numCache>
            </c:numRef>
          </c:val>
          <c:extLst>
            <c:ext xmlns:c16="http://schemas.microsoft.com/office/drawing/2014/chart" uri="{C3380CC4-5D6E-409C-BE32-E72D297353CC}">
              <c16:uniqueId val="{00000006-C2AE-4262-A62D-3E2701C97301}"/>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5">
                  <a:lumMod val="75000"/>
                  <a:alpha val="65000"/>
                </a:schemeClr>
              </a:solidFill>
              <a:ln>
                <a:solidFill>
                  <a:schemeClr val="accent5">
                    <a:lumMod val="75000"/>
                  </a:schemeClr>
                </a:solidFill>
              </a:ln>
            </c:spPr>
            <c:extLst>
              <c:ext xmlns:c16="http://schemas.microsoft.com/office/drawing/2014/chart" uri="{C3380CC4-5D6E-409C-BE32-E72D297353CC}">
                <c16:uniqueId val="{00000001-D17E-45F4-A13E-2D01284FEBA5}"/>
              </c:ext>
            </c:extLst>
          </c:dPt>
          <c:dPt>
            <c:idx val="1"/>
            <c:bubble3D val="0"/>
            <c:spPr>
              <a:solidFill>
                <a:schemeClr val="accent4">
                  <a:lumMod val="60000"/>
                  <a:lumOff val="40000"/>
                </a:schemeClr>
              </a:solidFill>
              <a:ln>
                <a:solidFill>
                  <a:schemeClr val="accent4">
                    <a:lumMod val="75000"/>
                  </a:schemeClr>
                </a:solidFill>
              </a:ln>
            </c:spPr>
            <c:extLst>
              <c:ext xmlns:c16="http://schemas.microsoft.com/office/drawing/2014/chart" uri="{C3380CC4-5D6E-409C-BE32-E72D297353CC}">
                <c16:uniqueId val="{00000003-D17E-45F4-A13E-2D01284FEBA5}"/>
              </c:ext>
            </c:extLst>
          </c:dPt>
          <c:dPt>
            <c:idx val="2"/>
            <c:bubble3D val="0"/>
            <c:spPr>
              <a:solidFill>
                <a:srgbClr val="F68B32"/>
              </a:solidFill>
              <a:ln w="155575">
                <a:solidFill>
                  <a:srgbClr val="F68B32"/>
                </a:solidFill>
              </a:ln>
            </c:spPr>
            <c:extLst>
              <c:ext xmlns:c16="http://schemas.microsoft.com/office/drawing/2014/chart" uri="{C3380CC4-5D6E-409C-BE32-E72D297353CC}">
                <c16:uniqueId val="{00000005-D17E-45F4-A13E-2D01284FEBA5}"/>
              </c:ext>
            </c:extLst>
          </c:dPt>
          <c:val>
            <c:numRef>
              <c:f>Calcs!$C$38:$E$38</c:f>
              <c:numCache>
                <c:formatCode>0.000</c:formatCode>
                <c:ptCount val="3"/>
                <c:pt idx="0">
                  <c:v>0</c:v>
                </c:pt>
                <c:pt idx="1">
                  <c:v>0</c:v>
                </c:pt>
                <c:pt idx="2">
                  <c:v>0.69999999999999929</c:v>
                </c:pt>
              </c:numCache>
            </c:numRef>
          </c:val>
          <c:extLst>
            <c:ext xmlns:c16="http://schemas.microsoft.com/office/drawing/2014/chart" uri="{C3380CC4-5D6E-409C-BE32-E72D297353CC}">
              <c16:uniqueId val="{00000006-D17E-45F4-A13E-2D01284FEBA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5">
                  <a:lumMod val="75000"/>
                  <a:alpha val="65000"/>
                </a:schemeClr>
              </a:solidFill>
              <a:ln>
                <a:solidFill>
                  <a:schemeClr val="accent5">
                    <a:lumMod val="75000"/>
                  </a:schemeClr>
                </a:solidFill>
              </a:ln>
            </c:spPr>
            <c:extLst>
              <c:ext xmlns:c16="http://schemas.microsoft.com/office/drawing/2014/chart" uri="{C3380CC4-5D6E-409C-BE32-E72D297353CC}">
                <c16:uniqueId val="{00000001-5818-4DFF-BAE8-D8F653A3F9A0}"/>
              </c:ext>
            </c:extLst>
          </c:dPt>
          <c:dPt>
            <c:idx val="1"/>
            <c:bubble3D val="0"/>
            <c:spPr>
              <a:solidFill>
                <a:schemeClr val="accent4">
                  <a:lumMod val="60000"/>
                  <a:lumOff val="40000"/>
                </a:schemeClr>
              </a:solidFill>
              <a:ln>
                <a:solidFill>
                  <a:schemeClr val="accent4">
                    <a:lumMod val="75000"/>
                  </a:schemeClr>
                </a:solidFill>
              </a:ln>
            </c:spPr>
            <c:extLst>
              <c:ext xmlns:c16="http://schemas.microsoft.com/office/drawing/2014/chart" uri="{C3380CC4-5D6E-409C-BE32-E72D297353CC}">
                <c16:uniqueId val="{00000003-5818-4DFF-BAE8-D8F653A3F9A0}"/>
              </c:ext>
            </c:extLst>
          </c:dPt>
          <c:dPt>
            <c:idx val="2"/>
            <c:bubble3D val="0"/>
            <c:spPr>
              <a:solidFill>
                <a:srgbClr val="F68B32"/>
              </a:solidFill>
              <a:ln w="155575">
                <a:solidFill>
                  <a:srgbClr val="F68B32"/>
                </a:solidFill>
              </a:ln>
            </c:spPr>
            <c:extLst>
              <c:ext xmlns:c16="http://schemas.microsoft.com/office/drawing/2014/chart" uri="{C3380CC4-5D6E-409C-BE32-E72D297353CC}">
                <c16:uniqueId val="{00000005-5818-4DFF-BAE8-D8F653A3F9A0}"/>
              </c:ext>
            </c:extLst>
          </c:dPt>
          <c:val>
            <c:numRef>
              <c:f>Calcs!$C$39:$E$39</c:f>
              <c:numCache>
                <c:formatCode>0.000</c:formatCode>
                <c:ptCount val="3"/>
                <c:pt idx="0">
                  <c:v>0</c:v>
                </c:pt>
                <c:pt idx="1">
                  <c:v>0</c:v>
                </c:pt>
                <c:pt idx="2">
                  <c:v>0</c:v>
                </c:pt>
              </c:numCache>
            </c:numRef>
          </c:val>
          <c:extLst>
            <c:ext xmlns:c16="http://schemas.microsoft.com/office/drawing/2014/chart" uri="{C3380CC4-5D6E-409C-BE32-E72D297353CC}">
              <c16:uniqueId val="{00000006-5818-4DFF-BAE8-D8F653A3F9A0}"/>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blipFill>
              <a:blip xmlns:r="http://schemas.openxmlformats.org/officeDocument/2006/relationships" r:embed="rId1"/>
              <a:stretch>
                <a:fillRect/>
              </a:stretch>
            </a:blipFill>
          </c:spPr>
          <c:invertIfNegative val="0"/>
          <c:dPt>
            <c:idx val="0"/>
            <c:invertIfNegative val="0"/>
            <c:bubble3D val="0"/>
            <c:spPr>
              <a:blipFill>
                <a:blip xmlns:r="http://schemas.openxmlformats.org/officeDocument/2006/relationships" r:embed="rId1"/>
                <a:stretch>
                  <a:fillRect/>
                </a:stretch>
              </a:blipFill>
            </c:spPr>
            <c:pictureOptions>
              <c:pictureFormat val="stack"/>
            </c:pictureOptions>
            <c:extLst>
              <c:ext xmlns:c16="http://schemas.microsoft.com/office/drawing/2014/chart" uri="{C3380CC4-5D6E-409C-BE32-E72D297353CC}">
                <c16:uniqueId val="{00000001-EE04-4C5C-92AE-1FE8601B5118}"/>
              </c:ext>
            </c:extLst>
          </c:dPt>
          <c:dLbls>
            <c:dLbl>
              <c:idx val="0"/>
              <c:layout>
                <c:manualLayout>
                  <c:x val="-6.0198005723325213E-3"/>
                  <c:y val="9.2592592592592587E-3"/>
                </c:manualLayout>
              </c:layout>
              <c:spPr/>
              <c:txPr>
                <a:bodyPr/>
                <a:lstStyle/>
                <a:p>
                  <a:pPr>
                    <a:defRPr sz="1800" b="1">
                      <a:solidFill>
                        <a:schemeClr val="accent6">
                          <a:lumMod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E04-4C5C-92AE-1FE8601B5118}"/>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Calcs!$P$58</c:f>
              <c:numCache>
                <c:formatCode>0%</c:formatCode>
                <c:ptCount val="1"/>
                <c:pt idx="0">
                  <c:v>1</c:v>
                </c:pt>
              </c:numCache>
            </c:numRef>
          </c:val>
          <c:extLst>
            <c:ext xmlns:c16="http://schemas.microsoft.com/office/drawing/2014/chart" uri="{C3380CC4-5D6E-409C-BE32-E72D297353CC}">
              <c16:uniqueId val="{00000002-EE04-4C5C-92AE-1FE8601B5118}"/>
            </c:ext>
          </c:extLst>
        </c:ser>
        <c:ser>
          <c:idx val="1"/>
          <c:order val="1"/>
          <c:spPr>
            <a:blipFill dpi="0" rotWithShape="1">
              <a:blip xmlns:r="http://schemas.openxmlformats.org/officeDocument/2006/relationships" r:embed="rId2">
                <a:alphaModFix amt="32000"/>
              </a:blip>
              <a:srcRect/>
              <a:stretch>
                <a:fillRect/>
              </a:stretch>
            </a:blipFill>
          </c:spPr>
          <c:invertIfNegative val="0"/>
          <c:pictureOptions>
            <c:pictureFormat val="stack"/>
          </c:pictureOptions>
          <c:dPt>
            <c:idx val="0"/>
            <c:invertIfNegative val="0"/>
            <c:bubble3D val="0"/>
            <c:spPr>
              <a:blipFill dpi="0" rotWithShape="1">
                <a:blip xmlns:r="http://schemas.openxmlformats.org/officeDocument/2006/relationships" r:embed="rId3">
                  <a:alphaModFix amt="37000"/>
                </a:blip>
                <a:srcRect/>
                <a:stretch>
                  <a:fillRect/>
                </a:stretch>
              </a:blipFill>
            </c:spPr>
            <c:pictureOptions>
              <c:pictureFormat val="stack"/>
            </c:pictureOptions>
            <c:extLst>
              <c:ext xmlns:c16="http://schemas.microsoft.com/office/drawing/2014/chart" uri="{C3380CC4-5D6E-409C-BE32-E72D297353CC}">
                <c16:uniqueId val="{00000004-EE04-4C5C-92AE-1FE8601B5118}"/>
              </c:ext>
            </c:extLst>
          </c:dPt>
          <c:val>
            <c:numLit>
              <c:formatCode>General</c:formatCode>
              <c:ptCount val="1"/>
              <c:pt idx="0">
                <c:v>1</c:v>
              </c:pt>
            </c:numLit>
          </c:val>
          <c:extLst>
            <c:ext xmlns:c16="http://schemas.microsoft.com/office/drawing/2014/chart" uri="{C3380CC4-5D6E-409C-BE32-E72D297353CC}">
              <c16:uniqueId val="{00000005-EE04-4C5C-92AE-1FE8601B5118}"/>
            </c:ext>
          </c:extLst>
        </c:ser>
        <c:dLbls>
          <c:showLegendKey val="0"/>
          <c:showVal val="0"/>
          <c:showCatName val="0"/>
          <c:showSerName val="0"/>
          <c:showPercent val="0"/>
          <c:showBubbleSize val="0"/>
        </c:dLbls>
        <c:gapWidth val="150"/>
        <c:overlap val="100"/>
        <c:axId val="180013696"/>
        <c:axId val="180023680"/>
      </c:barChart>
      <c:catAx>
        <c:axId val="180013696"/>
        <c:scaling>
          <c:orientation val="minMax"/>
        </c:scaling>
        <c:delete val="1"/>
        <c:axPos val="l"/>
        <c:majorTickMark val="out"/>
        <c:minorTickMark val="none"/>
        <c:tickLblPos val="nextTo"/>
        <c:crossAx val="180023680"/>
        <c:crosses val="autoZero"/>
        <c:auto val="1"/>
        <c:lblAlgn val="ctr"/>
        <c:lblOffset val="100"/>
        <c:noMultiLvlLbl val="0"/>
      </c:catAx>
      <c:valAx>
        <c:axId val="180023680"/>
        <c:scaling>
          <c:orientation val="minMax"/>
        </c:scaling>
        <c:delete val="1"/>
        <c:axPos val="b"/>
        <c:numFmt formatCode="0%" sourceLinked="1"/>
        <c:majorTickMark val="out"/>
        <c:minorTickMark val="none"/>
        <c:tickLblPos val="nextTo"/>
        <c:crossAx val="180013696"/>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Undercutting Programme</a:t>
            </a:r>
          </a:p>
        </c:rich>
      </c:tx>
      <c:overlay val="0"/>
    </c:title>
    <c:autoTitleDeleted val="0"/>
    <c:plotArea>
      <c:layout/>
      <c:barChart>
        <c:barDir val="col"/>
        <c:grouping val="clustered"/>
        <c:varyColors val="0"/>
        <c:ser>
          <c:idx val="0"/>
          <c:order val="0"/>
          <c:tx>
            <c:strRef>
              <c:f>Calcs!$B$24</c:f>
              <c:strCache>
                <c:ptCount val="1"/>
                <c:pt idx="0">
                  <c:v>Total (km)</c:v>
                </c:pt>
              </c:strCache>
            </c:strRef>
          </c:tx>
          <c:invertIfNegative val="0"/>
          <c:cat>
            <c:strRef>
              <c:f>Calcs!$A$25:$A$38</c:f>
              <c:strCache>
                <c:ptCount val="14"/>
                <c:pt idx="0">
                  <c:v>Main Line</c:v>
                </c:pt>
                <c:pt idx="1">
                  <c:v>North Coast Line</c:v>
                </c:pt>
                <c:pt idx="2">
                  <c:v>Ferny Grove Line</c:v>
                </c:pt>
                <c:pt idx="3">
                  <c:v>Inner City Line (via Central)</c:v>
                </c:pt>
                <c:pt idx="4">
                  <c:v>Gold Coast / Beenleigh Line</c:v>
                </c:pt>
                <c:pt idx="5">
                  <c:v>Shorncliffe Line</c:v>
                </c:pt>
                <c:pt idx="6">
                  <c:v>Springfield Line</c:v>
                </c:pt>
                <c:pt idx="7">
                  <c:v>Cleveland Line</c:v>
                </c:pt>
                <c:pt idx="8">
                  <c:v>Redcliffe Line</c:v>
                </c:pt>
                <c:pt idx="9">
                  <c:v>Doomben Line</c:v>
                </c:pt>
                <c:pt idx="10">
                  <c:v>DG Dutton Park - Fisherman Is</c:v>
                </c:pt>
                <c:pt idx="11">
                  <c:v>DG Dutton Park - ARTC Int</c:v>
                </c:pt>
                <c:pt idx="12">
                  <c:v>Tennyson Line</c:v>
                </c:pt>
                <c:pt idx="13">
                  <c:v>QR SPUR</c:v>
                </c:pt>
              </c:strCache>
            </c:strRef>
          </c:cat>
          <c:val>
            <c:numRef>
              <c:f>Calcs!$B$25:$B$38</c:f>
              <c:numCache>
                <c:formatCode>0.000</c:formatCode>
                <c:ptCount val="14"/>
                <c:pt idx="0">
                  <c:v>17.384999999999998</c:v>
                </c:pt>
                <c:pt idx="1">
                  <c:v>26.618000000000002</c:v>
                </c:pt>
                <c:pt idx="2">
                  <c:v>3.5649999999999999</c:v>
                </c:pt>
                <c:pt idx="3">
                  <c:v>1.4419999999999999</c:v>
                </c:pt>
                <c:pt idx="4">
                  <c:v>6.9330000000000087</c:v>
                </c:pt>
                <c:pt idx="5">
                  <c:v>4.1740000000000013</c:v>
                </c:pt>
                <c:pt idx="6">
                  <c:v>0</c:v>
                </c:pt>
                <c:pt idx="7">
                  <c:v>4.3400000000000052</c:v>
                </c:pt>
                <c:pt idx="8">
                  <c:v>0</c:v>
                </c:pt>
                <c:pt idx="9">
                  <c:v>2.5900000000000003</c:v>
                </c:pt>
                <c:pt idx="10">
                  <c:v>2.0500000000000007</c:v>
                </c:pt>
                <c:pt idx="11">
                  <c:v>0.36999999999999922</c:v>
                </c:pt>
                <c:pt idx="12">
                  <c:v>1.0910000000000002</c:v>
                </c:pt>
                <c:pt idx="13">
                  <c:v>0.69999999999999929</c:v>
                </c:pt>
              </c:numCache>
            </c:numRef>
          </c:val>
          <c:extLst>
            <c:ext xmlns:c16="http://schemas.microsoft.com/office/drawing/2014/chart" uri="{C3380CC4-5D6E-409C-BE32-E72D297353CC}">
              <c16:uniqueId val="{00000000-CE61-43B0-B189-F06608218ED8}"/>
            </c:ext>
          </c:extLst>
        </c:ser>
        <c:ser>
          <c:idx val="1"/>
          <c:order val="1"/>
          <c:tx>
            <c:strRef>
              <c:f>Calcs!$C$24</c:f>
              <c:strCache>
                <c:ptCount val="1"/>
                <c:pt idx="0">
                  <c:v>Low (km)</c:v>
                </c:pt>
              </c:strCache>
            </c:strRef>
          </c:tx>
          <c:spPr>
            <a:solidFill>
              <a:srgbClr val="00CC00"/>
            </a:solidFill>
          </c:spPr>
          <c:invertIfNegative val="0"/>
          <c:cat>
            <c:strRef>
              <c:f>Calcs!$A$25:$A$38</c:f>
              <c:strCache>
                <c:ptCount val="14"/>
                <c:pt idx="0">
                  <c:v>Main Line</c:v>
                </c:pt>
                <c:pt idx="1">
                  <c:v>North Coast Line</c:v>
                </c:pt>
                <c:pt idx="2">
                  <c:v>Ferny Grove Line</c:v>
                </c:pt>
                <c:pt idx="3">
                  <c:v>Inner City Line (via Central)</c:v>
                </c:pt>
                <c:pt idx="4">
                  <c:v>Gold Coast / Beenleigh Line</c:v>
                </c:pt>
                <c:pt idx="5">
                  <c:v>Shorncliffe Line</c:v>
                </c:pt>
                <c:pt idx="6">
                  <c:v>Springfield Line</c:v>
                </c:pt>
                <c:pt idx="7">
                  <c:v>Cleveland Line</c:v>
                </c:pt>
                <c:pt idx="8">
                  <c:v>Redcliffe Line</c:v>
                </c:pt>
                <c:pt idx="9">
                  <c:v>Doomben Line</c:v>
                </c:pt>
                <c:pt idx="10">
                  <c:v>DG Dutton Park - Fisherman Is</c:v>
                </c:pt>
                <c:pt idx="11">
                  <c:v>DG Dutton Park - ARTC Int</c:v>
                </c:pt>
                <c:pt idx="12">
                  <c:v>Tennyson Line</c:v>
                </c:pt>
                <c:pt idx="13">
                  <c:v>QR SPUR</c:v>
                </c:pt>
              </c:strCache>
            </c:strRef>
          </c:cat>
          <c:val>
            <c:numRef>
              <c:f>Calcs!$C$25:$C$38</c:f>
              <c:numCache>
                <c:formatCode>0.000</c:formatCode>
                <c:ptCount val="14"/>
                <c:pt idx="0">
                  <c:v>5.6809999999999992</c:v>
                </c:pt>
                <c:pt idx="1">
                  <c:v>8.7029999999999745</c:v>
                </c:pt>
                <c:pt idx="2">
                  <c:v>1.8000000000000007</c:v>
                </c:pt>
                <c:pt idx="3">
                  <c:v>0.35700000000000021</c:v>
                </c:pt>
                <c:pt idx="4">
                  <c:v>3.1800000000000068</c:v>
                </c:pt>
                <c:pt idx="5">
                  <c:v>1.3500000000000005</c:v>
                </c:pt>
                <c:pt idx="6">
                  <c:v>0</c:v>
                </c:pt>
                <c:pt idx="7">
                  <c:v>1.7700000000000053</c:v>
                </c:pt>
                <c:pt idx="8">
                  <c:v>0</c:v>
                </c:pt>
                <c:pt idx="9">
                  <c:v>0.73500000000000032</c:v>
                </c:pt>
                <c:pt idx="10">
                  <c:v>0.39999999999999991</c:v>
                </c:pt>
                <c:pt idx="11">
                  <c:v>0.19999999999999929</c:v>
                </c:pt>
                <c:pt idx="12">
                  <c:v>0.42000000000000015</c:v>
                </c:pt>
                <c:pt idx="13">
                  <c:v>0</c:v>
                </c:pt>
              </c:numCache>
            </c:numRef>
          </c:val>
          <c:extLst>
            <c:ext xmlns:c16="http://schemas.microsoft.com/office/drawing/2014/chart" uri="{C3380CC4-5D6E-409C-BE32-E72D297353CC}">
              <c16:uniqueId val="{00000001-CE61-43B0-B189-F06608218ED8}"/>
            </c:ext>
          </c:extLst>
        </c:ser>
        <c:ser>
          <c:idx val="2"/>
          <c:order val="2"/>
          <c:tx>
            <c:strRef>
              <c:f>Calcs!$D$24</c:f>
              <c:strCache>
                <c:ptCount val="1"/>
                <c:pt idx="0">
                  <c:v>Medium (km)</c:v>
                </c:pt>
              </c:strCache>
            </c:strRef>
          </c:tx>
          <c:spPr>
            <a:solidFill>
              <a:srgbClr val="9933FF"/>
            </a:solidFill>
          </c:spPr>
          <c:invertIfNegative val="0"/>
          <c:cat>
            <c:strRef>
              <c:f>Calcs!$A$25:$A$38</c:f>
              <c:strCache>
                <c:ptCount val="14"/>
                <c:pt idx="0">
                  <c:v>Main Line</c:v>
                </c:pt>
                <c:pt idx="1">
                  <c:v>North Coast Line</c:v>
                </c:pt>
                <c:pt idx="2">
                  <c:v>Ferny Grove Line</c:v>
                </c:pt>
                <c:pt idx="3">
                  <c:v>Inner City Line (via Central)</c:v>
                </c:pt>
                <c:pt idx="4">
                  <c:v>Gold Coast / Beenleigh Line</c:v>
                </c:pt>
                <c:pt idx="5">
                  <c:v>Shorncliffe Line</c:v>
                </c:pt>
                <c:pt idx="6">
                  <c:v>Springfield Line</c:v>
                </c:pt>
                <c:pt idx="7">
                  <c:v>Cleveland Line</c:v>
                </c:pt>
                <c:pt idx="8">
                  <c:v>Redcliffe Line</c:v>
                </c:pt>
                <c:pt idx="9">
                  <c:v>Doomben Line</c:v>
                </c:pt>
                <c:pt idx="10">
                  <c:v>DG Dutton Park - Fisherman Is</c:v>
                </c:pt>
                <c:pt idx="11">
                  <c:v>DG Dutton Park - ARTC Int</c:v>
                </c:pt>
                <c:pt idx="12">
                  <c:v>Tennyson Line</c:v>
                </c:pt>
                <c:pt idx="13">
                  <c:v>QR SPUR</c:v>
                </c:pt>
              </c:strCache>
            </c:strRef>
          </c:cat>
          <c:val>
            <c:numRef>
              <c:f>Calcs!$D$25:$D$38</c:f>
              <c:numCache>
                <c:formatCode>0.000</c:formatCode>
                <c:ptCount val="14"/>
                <c:pt idx="0">
                  <c:v>5.3300000000000072</c:v>
                </c:pt>
                <c:pt idx="1">
                  <c:v>7.6220000000000132</c:v>
                </c:pt>
                <c:pt idx="2">
                  <c:v>0.87499999999999989</c:v>
                </c:pt>
                <c:pt idx="3">
                  <c:v>0.69999999999999973</c:v>
                </c:pt>
                <c:pt idx="4">
                  <c:v>3.1430000000000002</c:v>
                </c:pt>
                <c:pt idx="5">
                  <c:v>1.1000000000000014</c:v>
                </c:pt>
                <c:pt idx="6">
                  <c:v>0</c:v>
                </c:pt>
                <c:pt idx="7">
                  <c:v>2.1599999999999993</c:v>
                </c:pt>
                <c:pt idx="8">
                  <c:v>0</c:v>
                </c:pt>
                <c:pt idx="9">
                  <c:v>0.97000000000000008</c:v>
                </c:pt>
                <c:pt idx="10">
                  <c:v>0.63000000000000012</c:v>
                </c:pt>
                <c:pt idx="11">
                  <c:v>0</c:v>
                </c:pt>
                <c:pt idx="12">
                  <c:v>0</c:v>
                </c:pt>
                <c:pt idx="13">
                  <c:v>0</c:v>
                </c:pt>
              </c:numCache>
            </c:numRef>
          </c:val>
          <c:extLst>
            <c:ext xmlns:c16="http://schemas.microsoft.com/office/drawing/2014/chart" uri="{C3380CC4-5D6E-409C-BE32-E72D297353CC}">
              <c16:uniqueId val="{00000002-CE61-43B0-B189-F06608218ED8}"/>
            </c:ext>
          </c:extLst>
        </c:ser>
        <c:ser>
          <c:idx val="3"/>
          <c:order val="3"/>
          <c:tx>
            <c:strRef>
              <c:f>Calcs!$E$24</c:f>
              <c:strCache>
                <c:ptCount val="1"/>
                <c:pt idx="0">
                  <c:v>High (km)</c:v>
                </c:pt>
              </c:strCache>
            </c:strRef>
          </c:tx>
          <c:spPr>
            <a:solidFill>
              <a:srgbClr val="FF0000"/>
            </a:solidFill>
          </c:spPr>
          <c:invertIfNegative val="0"/>
          <c:cat>
            <c:strRef>
              <c:f>Calcs!$A$25:$A$38</c:f>
              <c:strCache>
                <c:ptCount val="14"/>
                <c:pt idx="0">
                  <c:v>Main Line</c:v>
                </c:pt>
                <c:pt idx="1">
                  <c:v>North Coast Line</c:v>
                </c:pt>
                <c:pt idx="2">
                  <c:v>Ferny Grove Line</c:v>
                </c:pt>
                <c:pt idx="3">
                  <c:v>Inner City Line (via Central)</c:v>
                </c:pt>
                <c:pt idx="4">
                  <c:v>Gold Coast / Beenleigh Line</c:v>
                </c:pt>
                <c:pt idx="5">
                  <c:v>Shorncliffe Line</c:v>
                </c:pt>
                <c:pt idx="6">
                  <c:v>Springfield Line</c:v>
                </c:pt>
                <c:pt idx="7">
                  <c:v>Cleveland Line</c:v>
                </c:pt>
                <c:pt idx="8">
                  <c:v>Redcliffe Line</c:v>
                </c:pt>
                <c:pt idx="9">
                  <c:v>Doomben Line</c:v>
                </c:pt>
                <c:pt idx="10">
                  <c:v>DG Dutton Park - Fisherman Is</c:v>
                </c:pt>
                <c:pt idx="11">
                  <c:v>DG Dutton Park - ARTC Int</c:v>
                </c:pt>
                <c:pt idx="12">
                  <c:v>Tennyson Line</c:v>
                </c:pt>
                <c:pt idx="13">
                  <c:v>QR SPUR</c:v>
                </c:pt>
              </c:strCache>
            </c:strRef>
          </c:cat>
          <c:val>
            <c:numRef>
              <c:f>Calcs!$E$25:$E$38</c:f>
              <c:numCache>
                <c:formatCode>0.000</c:formatCode>
                <c:ptCount val="14"/>
                <c:pt idx="0">
                  <c:v>6.3739999999999926</c:v>
                </c:pt>
                <c:pt idx="1">
                  <c:v>10.293000000000012</c:v>
                </c:pt>
                <c:pt idx="2">
                  <c:v>0.88999999999999935</c:v>
                </c:pt>
                <c:pt idx="3">
                  <c:v>0.38500000000000001</c:v>
                </c:pt>
                <c:pt idx="4">
                  <c:v>0.61000000000000076</c:v>
                </c:pt>
                <c:pt idx="5">
                  <c:v>1.7239999999999991</c:v>
                </c:pt>
                <c:pt idx="6">
                  <c:v>0</c:v>
                </c:pt>
                <c:pt idx="7">
                  <c:v>0.41000000000000014</c:v>
                </c:pt>
                <c:pt idx="8">
                  <c:v>0</c:v>
                </c:pt>
                <c:pt idx="9">
                  <c:v>0.88499999999999968</c:v>
                </c:pt>
                <c:pt idx="10">
                  <c:v>1.0200000000000005</c:v>
                </c:pt>
                <c:pt idx="11">
                  <c:v>0.16999999999999993</c:v>
                </c:pt>
                <c:pt idx="12">
                  <c:v>0.67100000000000004</c:v>
                </c:pt>
                <c:pt idx="13">
                  <c:v>0.69999999999999929</c:v>
                </c:pt>
              </c:numCache>
            </c:numRef>
          </c:val>
          <c:extLst>
            <c:ext xmlns:c16="http://schemas.microsoft.com/office/drawing/2014/chart" uri="{C3380CC4-5D6E-409C-BE32-E72D297353CC}">
              <c16:uniqueId val="{00000003-CE61-43B0-B189-F06608218ED8}"/>
            </c:ext>
          </c:extLst>
        </c:ser>
        <c:dLbls>
          <c:showLegendKey val="0"/>
          <c:showVal val="0"/>
          <c:showCatName val="0"/>
          <c:showSerName val="0"/>
          <c:showPercent val="0"/>
          <c:showBubbleSize val="0"/>
        </c:dLbls>
        <c:gapWidth val="150"/>
        <c:axId val="197977600"/>
        <c:axId val="197979520"/>
      </c:barChart>
      <c:catAx>
        <c:axId val="197977600"/>
        <c:scaling>
          <c:orientation val="minMax"/>
        </c:scaling>
        <c:delete val="0"/>
        <c:axPos val="b"/>
        <c:title>
          <c:tx>
            <c:rich>
              <a:bodyPr/>
              <a:lstStyle/>
              <a:p>
                <a:pPr>
                  <a:defRPr/>
                </a:pPr>
                <a:r>
                  <a:rPr lang="en-AU"/>
                  <a:t>Line</a:t>
                </a:r>
              </a:p>
            </c:rich>
          </c:tx>
          <c:overlay val="0"/>
        </c:title>
        <c:numFmt formatCode="General" sourceLinked="0"/>
        <c:majorTickMark val="out"/>
        <c:minorTickMark val="none"/>
        <c:tickLblPos val="nextTo"/>
        <c:crossAx val="197979520"/>
        <c:crosses val="autoZero"/>
        <c:auto val="1"/>
        <c:lblAlgn val="ctr"/>
        <c:lblOffset val="100"/>
        <c:noMultiLvlLbl val="0"/>
      </c:catAx>
      <c:valAx>
        <c:axId val="197979520"/>
        <c:scaling>
          <c:orientation val="minMax"/>
        </c:scaling>
        <c:delete val="0"/>
        <c:axPos val="l"/>
        <c:majorGridlines/>
        <c:title>
          <c:tx>
            <c:rich>
              <a:bodyPr rot="-5400000" vert="horz"/>
              <a:lstStyle/>
              <a:p>
                <a:pPr>
                  <a:defRPr/>
                </a:pPr>
                <a:r>
                  <a:rPr lang="en-US"/>
                  <a:t>Total length of undercutting (km)</a:t>
                </a:r>
              </a:p>
            </c:rich>
          </c:tx>
          <c:overlay val="0"/>
        </c:title>
        <c:numFmt formatCode="0" sourceLinked="0"/>
        <c:majorTickMark val="out"/>
        <c:minorTickMark val="none"/>
        <c:tickLblPos val="nextTo"/>
        <c:crossAx val="1979776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High Priority Undercutting</a:t>
            </a:r>
          </a:p>
        </c:rich>
      </c:tx>
      <c:overlay val="0"/>
    </c:title>
    <c:autoTitleDeleted val="0"/>
    <c:plotArea>
      <c:layout/>
      <c:pieChart>
        <c:varyColors val="1"/>
        <c:ser>
          <c:idx val="0"/>
          <c:order val="0"/>
          <c:tx>
            <c:strRef>
              <c:f>Calcs!$E$24</c:f>
              <c:strCache>
                <c:ptCount val="1"/>
                <c:pt idx="0">
                  <c:v>High (km)</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Calcs!$A$25:$A$39</c:f>
              <c:strCache>
                <c:ptCount val="15"/>
                <c:pt idx="0">
                  <c:v>Main Line</c:v>
                </c:pt>
                <c:pt idx="1">
                  <c:v>North Coast Line</c:v>
                </c:pt>
                <c:pt idx="2">
                  <c:v>Ferny Grove Line</c:v>
                </c:pt>
                <c:pt idx="3">
                  <c:v>Inner City Line (via Central)</c:v>
                </c:pt>
                <c:pt idx="4">
                  <c:v>Gold Coast / Beenleigh Line</c:v>
                </c:pt>
                <c:pt idx="5">
                  <c:v>Shorncliffe Line</c:v>
                </c:pt>
                <c:pt idx="6">
                  <c:v>Springfield Line</c:v>
                </c:pt>
                <c:pt idx="7">
                  <c:v>Cleveland Line</c:v>
                </c:pt>
                <c:pt idx="8">
                  <c:v>Redcliffe Line</c:v>
                </c:pt>
                <c:pt idx="9">
                  <c:v>Doomben Line</c:v>
                </c:pt>
                <c:pt idx="10">
                  <c:v>DG Dutton Park - Fisherman Is</c:v>
                </c:pt>
                <c:pt idx="11">
                  <c:v>DG Dutton Park - ARTC Int</c:v>
                </c:pt>
                <c:pt idx="12">
                  <c:v>Tennyson Line</c:v>
                </c:pt>
                <c:pt idx="13">
                  <c:v>QR SPUR</c:v>
                </c:pt>
                <c:pt idx="14">
                  <c:v>DG Inner City</c:v>
                </c:pt>
              </c:strCache>
            </c:strRef>
          </c:cat>
          <c:val>
            <c:numRef>
              <c:f>Calcs!$E$25:$E$39</c:f>
              <c:numCache>
                <c:formatCode>0.000</c:formatCode>
                <c:ptCount val="15"/>
                <c:pt idx="0">
                  <c:v>6.3739999999999926</c:v>
                </c:pt>
                <c:pt idx="1">
                  <c:v>10.293000000000012</c:v>
                </c:pt>
                <c:pt idx="2">
                  <c:v>0.88999999999999935</c:v>
                </c:pt>
                <c:pt idx="3">
                  <c:v>0.38500000000000001</c:v>
                </c:pt>
                <c:pt idx="4">
                  <c:v>0.61000000000000076</c:v>
                </c:pt>
                <c:pt idx="5">
                  <c:v>1.7239999999999991</c:v>
                </c:pt>
                <c:pt idx="6">
                  <c:v>0</c:v>
                </c:pt>
                <c:pt idx="7">
                  <c:v>0.41000000000000014</c:v>
                </c:pt>
                <c:pt idx="8">
                  <c:v>0</c:v>
                </c:pt>
                <c:pt idx="9">
                  <c:v>0.88499999999999968</c:v>
                </c:pt>
                <c:pt idx="10">
                  <c:v>1.0200000000000005</c:v>
                </c:pt>
                <c:pt idx="11">
                  <c:v>0.16999999999999993</c:v>
                </c:pt>
                <c:pt idx="12">
                  <c:v>0.67100000000000004</c:v>
                </c:pt>
                <c:pt idx="13">
                  <c:v>0.69999999999999929</c:v>
                </c:pt>
                <c:pt idx="14">
                  <c:v>0</c:v>
                </c:pt>
              </c:numCache>
            </c:numRef>
          </c:val>
          <c:extLst>
            <c:ext xmlns:c16="http://schemas.microsoft.com/office/drawing/2014/chart" uri="{C3380CC4-5D6E-409C-BE32-E72D297353CC}">
              <c16:uniqueId val="{00000000-9D19-4472-B1E9-7B630657F20B}"/>
            </c:ext>
          </c:extLst>
        </c:ser>
        <c:dLbls>
          <c:showLegendKey val="0"/>
          <c:showVal val="0"/>
          <c:showCatName val="0"/>
          <c:showSerName val="0"/>
          <c:showPercent val="1"/>
          <c:showBubbleSize val="0"/>
          <c:showLeaderLines val="1"/>
        </c:dLbls>
        <c:firstSliceAng val="0"/>
      </c:pieChart>
    </c:plotArea>
    <c:legend>
      <c:legendPos val="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[Undercutting programme 09.09.19.xlsm]Pivot Tables!PivotTable1</c:name>
    <c:fmtId val="0"/>
  </c:pivotSource>
  <c:chart>
    <c:title>
      <c:overlay val="0"/>
    </c:title>
    <c:autoTitleDeleted val="0"/>
    <c:pivotFmts>
      <c:pivotFmt>
        <c:idx val="0"/>
        <c:marker>
          <c:symbol val="none"/>
        </c:marker>
      </c:pivotFmt>
    </c:pivotFmts>
    <c:plotArea>
      <c:layout/>
      <c:pieChart>
        <c:varyColors val="1"/>
        <c:ser>
          <c:idx val="0"/>
          <c:order val="0"/>
          <c:tx>
            <c:strRef>
              <c:f>'Pivot Tables'!$B$3:$B$4</c:f>
              <c:strCache>
                <c:ptCount val="1"/>
                <c:pt idx="0">
                  <c:v>HIGH</c:v>
                </c:pt>
              </c:strCache>
            </c:strRef>
          </c:tx>
          <c:cat>
            <c:strRef>
              <c:f>'Pivot Tables'!$A$5:$A$16</c:f>
              <c:strCache>
                <c:ptCount val="11"/>
                <c:pt idx="0">
                  <c:v>Cleveland Line</c:v>
                </c:pt>
                <c:pt idx="1">
                  <c:v>DG Dutton Park - ARTC Int</c:v>
                </c:pt>
                <c:pt idx="2">
                  <c:v>DG Dutton Park - Fisherman Is</c:v>
                </c:pt>
                <c:pt idx="3">
                  <c:v>Ferny Grove Line</c:v>
                </c:pt>
                <c:pt idx="4">
                  <c:v>Gold Coast / Beenleigh Line</c:v>
                </c:pt>
                <c:pt idx="5">
                  <c:v>Inner City Line (via Central)</c:v>
                </c:pt>
                <c:pt idx="6">
                  <c:v>Main Line</c:v>
                </c:pt>
                <c:pt idx="7">
                  <c:v>North Coast Line</c:v>
                </c:pt>
                <c:pt idx="8">
                  <c:v>QR SPUR</c:v>
                </c:pt>
                <c:pt idx="9">
                  <c:v>Shorncliffe Line</c:v>
                </c:pt>
                <c:pt idx="10">
                  <c:v>Tennyson Line</c:v>
                </c:pt>
              </c:strCache>
            </c:strRef>
          </c:cat>
          <c:val>
            <c:numRef>
              <c:f>'Pivot Tables'!$B$5:$B$16</c:f>
              <c:numCache>
                <c:formatCode>General</c:formatCode>
                <c:ptCount val="11"/>
                <c:pt idx="0">
                  <c:v>2.4300000000000015</c:v>
                </c:pt>
                <c:pt idx="1">
                  <c:v>0.36999999999999922</c:v>
                </c:pt>
                <c:pt idx="2">
                  <c:v>1.6800000000000004</c:v>
                </c:pt>
                <c:pt idx="3">
                  <c:v>1.8099999999999972</c:v>
                </c:pt>
                <c:pt idx="4">
                  <c:v>2.669999999999995</c:v>
                </c:pt>
                <c:pt idx="5">
                  <c:v>1.3699999999999999</c:v>
                </c:pt>
                <c:pt idx="6">
                  <c:v>11.82</c:v>
                </c:pt>
                <c:pt idx="7">
                  <c:v>9.5219999999999789</c:v>
                </c:pt>
                <c:pt idx="8">
                  <c:v>0.69999999999999929</c:v>
                </c:pt>
                <c:pt idx="9">
                  <c:v>1.7199999999999998</c:v>
                </c:pt>
                <c:pt idx="10">
                  <c:v>1.4500000000000002</c:v>
                </c:pt>
              </c:numCache>
            </c:numRef>
          </c:val>
          <c:extLst>
            <c:ext xmlns:c16="http://schemas.microsoft.com/office/drawing/2014/chart" uri="{C3380CC4-5D6E-409C-BE32-E72D297353CC}">
              <c16:uniqueId val="{00000000-60B7-4E2C-A08C-9F06A3EBC883}"/>
            </c:ext>
          </c:extLst>
        </c:ser>
        <c:ser>
          <c:idx val="1"/>
          <c:order val="1"/>
          <c:tx>
            <c:strRef>
              <c:f>'Pivot Tables'!$C$3:$C$4</c:f>
              <c:strCache>
                <c:ptCount val="1"/>
                <c:pt idx="0">
                  <c:v>MEDIUM</c:v>
                </c:pt>
              </c:strCache>
            </c:strRef>
          </c:tx>
          <c:cat>
            <c:strRef>
              <c:f>'Pivot Tables'!$A$5:$A$16</c:f>
              <c:strCache>
                <c:ptCount val="11"/>
                <c:pt idx="0">
                  <c:v>Cleveland Line</c:v>
                </c:pt>
                <c:pt idx="1">
                  <c:v>DG Dutton Park - ARTC Int</c:v>
                </c:pt>
                <c:pt idx="2">
                  <c:v>DG Dutton Park - Fisherman Is</c:v>
                </c:pt>
                <c:pt idx="3">
                  <c:v>Ferny Grove Line</c:v>
                </c:pt>
                <c:pt idx="4">
                  <c:v>Gold Coast / Beenleigh Line</c:v>
                </c:pt>
                <c:pt idx="5">
                  <c:v>Inner City Line (via Central)</c:v>
                </c:pt>
                <c:pt idx="6">
                  <c:v>Main Line</c:v>
                </c:pt>
                <c:pt idx="7">
                  <c:v>North Coast Line</c:v>
                </c:pt>
                <c:pt idx="8">
                  <c:v>QR SPUR</c:v>
                </c:pt>
                <c:pt idx="9">
                  <c:v>Shorncliffe Line</c:v>
                </c:pt>
                <c:pt idx="10">
                  <c:v>Tennyson Line</c:v>
                </c:pt>
              </c:strCache>
            </c:strRef>
          </c:cat>
          <c:val>
            <c:numRef>
              <c:f>'Pivot Tables'!$C$5:$C$16</c:f>
              <c:numCache>
                <c:formatCode>General</c:formatCode>
                <c:ptCount val="11"/>
                <c:pt idx="0">
                  <c:v>3.260000000000002</c:v>
                </c:pt>
                <c:pt idx="1">
                  <c:v>0.53000000000000114</c:v>
                </c:pt>
                <c:pt idx="2">
                  <c:v>0.44999999999999929</c:v>
                </c:pt>
                <c:pt idx="3">
                  <c:v>1.9399999999999991</c:v>
                </c:pt>
                <c:pt idx="4">
                  <c:v>1.6800000000000042</c:v>
                </c:pt>
                <c:pt idx="5">
                  <c:v>0.50700000000000056</c:v>
                </c:pt>
                <c:pt idx="6">
                  <c:v>7.339999999999991</c:v>
                </c:pt>
                <c:pt idx="7">
                  <c:v>10.243999999999971</c:v>
                </c:pt>
                <c:pt idx="9">
                  <c:v>0.29000000000000004</c:v>
                </c:pt>
                <c:pt idx="10">
                  <c:v>0.5</c:v>
                </c:pt>
              </c:numCache>
            </c:numRef>
          </c:val>
          <c:extLst>
            <c:ext xmlns:c16="http://schemas.microsoft.com/office/drawing/2014/chart" uri="{C3380CC4-5D6E-409C-BE32-E72D297353CC}">
              <c16:uniqueId val="{00000001-60B7-4E2C-A08C-9F06A3EBC88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[Undercutting programme 09.09.19.xlsm]Pivot Tables!PivotTable1</c:name>
    <c:fmtId val="3"/>
  </c:pivotSource>
  <c:chart>
    <c:autoTitleDeleted val="0"/>
    <c:pivotFmts>
      <c:pivotFmt>
        <c:idx val="0"/>
        <c:marker>
          <c:symbol val="none"/>
        </c:marker>
      </c:pivotFmt>
    </c:pivotFmts>
    <c:plotArea>
      <c:layout/>
      <c:barChart>
        <c:barDir val="col"/>
        <c:grouping val="stacked"/>
        <c:varyColors val="0"/>
        <c:ser>
          <c:idx val="0"/>
          <c:order val="0"/>
          <c:tx>
            <c:strRef>
              <c:f>'Pivot Tables'!$B$3:$B$4</c:f>
              <c:strCache>
                <c:ptCount val="1"/>
                <c:pt idx="0">
                  <c:v>HIGH</c:v>
                </c:pt>
              </c:strCache>
            </c:strRef>
          </c:tx>
          <c:invertIfNegative val="0"/>
          <c:cat>
            <c:strRef>
              <c:f>'Pivot Tables'!$A$5:$A$16</c:f>
              <c:strCache>
                <c:ptCount val="11"/>
                <c:pt idx="0">
                  <c:v>Cleveland Line</c:v>
                </c:pt>
                <c:pt idx="1">
                  <c:v>DG Dutton Park - ARTC Int</c:v>
                </c:pt>
                <c:pt idx="2">
                  <c:v>DG Dutton Park - Fisherman Is</c:v>
                </c:pt>
                <c:pt idx="3">
                  <c:v>Ferny Grove Line</c:v>
                </c:pt>
                <c:pt idx="4">
                  <c:v>Gold Coast / Beenleigh Line</c:v>
                </c:pt>
                <c:pt idx="5">
                  <c:v>Inner City Line (via Central)</c:v>
                </c:pt>
                <c:pt idx="6">
                  <c:v>Main Line</c:v>
                </c:pt>
                <c:pt idx="7">
                  <c:v>North Coast Line</c:v>
                </c:pt>
                <c:pt idx="8">
                  <c:v>QR SPUR</c:v>
                </c:pt>
                <c:pt idx="9">
                  <c:v>Shorncliffe Line</c:v>
                </c:pt>
                <c:pt idx="10">
                  <c:v>Tennyson Line</c:v>
                </c:pt>
              </c:strCache>
            </c:strRef>
          </c:cat>
          <c:val>
            <c:numRef>
              <c:f>'Pivot Tables'!$B$5:$B$16</c:f>
              <c:numCache>
                <c:formatCode>General</c:formatCode>
                <c:ptCount val="11"/>
                <c:pt idx="0">
                  <c:v>2.4300000000000015</c:v>
                </c:pt>
                <c:pt idx="1">
                  <c:v>0.36999999999999922</c:v>
                </c:pt>
                <c:pt idx="2">
                  <c:v>1.6800000000000004</c:v>
                </c:pt>
                <c:pt idx="3">
                  <c:v>1.8099999999999972</c:v>
                </c:pt>
                <c:pt idx="4">
                  <c:v>2.669999999999995</c:v>
                </c:pt>
                <c:pt idx="5">
                  <c:v>1.3699999999999999</c:v>
                </c:pt>
                <c:pt idx="6">
                  <c:v>11.82</c:v>
                </c:pt>
                <c:pt idx="7">
                  <c:v>9.5219999999999789</c:v>
                </c:pt>
                <c:pt idx="8">
                  <c:v>0.69999999999999929</c:v>
                </c:pt>
                <c:pt idx="9">
                  <c:v>1.7199999999999998</c:v>
                </c:pt>
                <c:pt idx="10">
                  <c:v>1.4500000000000002</c:v>
                </c:pt>
              </c:numCache>
            </c:numRef>
          </c:val>
          <c:extLst>
            <c:ext xmlns:c16="http://schemas.microsoft.com/office/drawing/2014/chart" uri="{C3380CC4-5D6E-409C-BE32-E72D297353CC}">
              <c16:uniqueId val="{00000000-F9E2-431E-8CC3-26CAEF6EDEEC}"/>
            </c:ext>
          </c:extLst>
        </c:ser>
        <c:ser>
          <c:idx val="1"/>
          <c:order val="1"/>
          <c:tx>
            <c:strRef>
              <c:f>'Pivot Tables'!$C$3:$C$4</c:f>
              <c:strCache>
                <c:ptCount val="1"/>
                <c:pt idx="0">
                  <c:v>MEDIUM</c:v>
                </c:pt>
              </c:strCache>
            </c:strRef>
          </c:tx>
          <c:invertIfNegative val="0"/>
          <c:cat>
            <c:strRef>
              <c:f>'Pivot Tables'!$A$5:$A$16</c:f>
              <c:strCache>
                <c:ptCount val="11"/>
                <c:pt idx="0">
                  <c:v>Cleveland Line</c:v>
                </c:pt>
                <c:pt idx="1">
                  <c:v>DG Dutton Park - ARTC Int</c:v>
                </c:pt>
                <c:pt idx="2">
                  <c:v>DG Dutton Park - Fisherman Is</c:v>
                </c:pt>
                <c:pt idx="3">
                  <c:v>Ferny Grove Line</c:v>
                </c:pt>
                <c:pt idx="4">
                  <c:v>Gold Coast / Beenleigh Line</c:v>
                </c:pt>
                <c:pt idx="5">
                  <c:v>Inner City Line (via Central)</c:v>
                </c:pt>
                <c:pt idx="6">
                  <c:v>Main Line</c:v>
                </c:pt>
                <c:pt idx="7">
                  <c:v>North Coast Line</c:v>
                </c:pt>
                <c:pt idx="8">
                  <c:v>QR SPUR</c:v>
                </c:pt>
                <c:pt idx="9">
                  <c:v>Shorncliffe Line</c:v>
                </c:pt>
                <c:pt idx="10">
                  <c:v>Tennyson Line</c:v>
                </c:pt>
              </c:strCache>
            </c:strRef>
          </c:cat>
          <c:val>
            <c:numRef>
              <c:f>'Pivot Tables'!$C$5:$C$16</c:f>
              <c:numCache>
                <c:formatCode>General</c:formatCode>
                <c:ptCount val="11"/>
                <c:pt idx="0">
                  <c:v>3.260000000000002</c:v>
                </c:pt>
                <c:pt idx="1">
                  <c:v>0.53000000000000114</c:v>
                </c:pt>
                <c:pt idx="2">
                  <c:v>0.44999999999999929</c:v>
                </c:pt>
                <c:pt idx="3">
                  <c:v>1.9399999999999991</c:v>
                </c:pt>
                <c:pt idx="4">
                  <c:v>1.6800000000000042</c:v>
                </c:pt>
                <c:pt idx="5">
                  <c:v>0.50700000000000056</c:v>
                </c:pt>
                <c:pt idx="6">
                  <c:v>7.339999999999991</c:v>
                </c:pt>
                <c:pt idx="7">
                  <c:v>10.243999999999971</c:v>
                </c:pt>
                <c:pt idx="9">
                  <c:v>0.29000000000000004</c:v>
                </c:pt>
                <c:pt idx="10">
                  <c:v>0.5</c:v>
                </c:pt>
              </c:numCache>
            </c:numRef>
          </c:val>
          <c:extLst>
            <c:ext xmlns:c16="http://schemas.microsoft.com/office/drawing/2014/chart" uri="{C3380CC4-5D6E-409C-BE32-E72D297353CC}">
              <c16:uniqueId val="{00000001-F9E2-431E-8CC3-26CAEF6EDEEC}"/>
            </c:ext>
          </c:extLst>
        </c:ser>
        <c:dLbls>
          <c:showLegendKey val="0"/>
          <c:showVal val="0"/>
          <c:showCatName val="0"/>
          <c:showSerName val="0"/>
          <c:showPercent val="0"/>
          <c:showBubbleSize val="0"/>
        </c:dLbls>
        <c:gapWidth val="150"/>
        <c:overlap val="100"/>
        <c:axId val="198230400"/>
        <c:axId val="198231936"/>
      </c:barChart>
      <c:catAx>
        <c:axId val="198230400"/>
        <c:scaling>
          <c:orientation val="minMax"/>
        </c:scaling>
        <c:delete val="0"/>
        <c:axPos val="b"/>
        <c:numFmt formatCode="General" sourceLinked="0"/>
        <c:majorTickMark val="out"/>
        <c:minorTickMark val="none"/>
        <c:tickLblPos val="nextTo"/>
        <c:crossAx val="198231936"/>
        <c:crosses val="autoZero"/>
        <c:auto val="1"/>
        <c:lblAlgn val="ctr"/>
        <c:lblOffset val="100"/>
        <c:noMultiLvlLbl val="0"/>
      </c:catAx>
      <c:valAx>
        <c:axId val="198231936"/>
        <c:scaling>
          <c:orientation val="minMax"/>
        </c:scaling>
        <c:delete val="0"/>
        <c:axPos val="l"/>
        <c:majorGridlines/>
        <c:numFmt formatCode="General" sourceLinked="1"/>
        <c:majorTickMark val="out"/>
        <c:minorTickMark val="none"/>
        <c:tickLblPos val="nextTo"/>
        <c:crossAx val="1982304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trlProps/ctrlProp1.xml><?xml version="1.0" encoding="utf-8"?>
<formControlPr xmlns="http://schemas.microsoft.com/office/spreadsheetml/2009/9/main" objectType="Drop" dropStyle="combo" dx="16" fmlaLink="Calcs!$D$1" fmlaRange="List!$B$2:$B$13" noThreeD="1" sel="9" val="4"/>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chart" Target="../charts/chart17.xml"/><Relationship Id="rId26" Type="http://schemas.openxmlformats.org/officeDocument/2006/relationships/chart" Target="../charts/chart25.xml"/><Relationship Id="rId3" Type="http://schemas.openxmlformats.org/officeDocument/2006/relationships/chart" Target="../charts/chart3.xml"/><Relationship Id="rId21" Type="http://schemas.openxmlformats.org/officeDocument/2006/relationships/chart" Target="../charts/chart20.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5" Type="http://schemas.openxmlformats.org/officeDocument/2006/relationships/chart" Target="../charts/chart24.xml"/><Relationship Id="rId2" Type="http://schemas.openxmlformats.org/officeDocument/2006/relationships/chart" Target="../charts/chart2.xml"/><Relationship Id="rId16" Type="http://schemas.openxmlformats.org/officeDocument/2006/relationships/chart" Target="../charts/chart15.xml"/><Relationship Id="rId20" Type="http://schemas.openxmlformats.org/officeDocument/2006/relationships/chart" Target="../charts/chart19.xml"/><Relationship Id="rId29" Type="http://schemas.openxmlformats.org/officeDocument/2006/relationships/chart" Target="../charts/chart28.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10.xml"/><Relationship Id="rId24" Type="http://schemas.openxmlformats.org/officeDocument/2006/relationships/chart" Target="../charts/chart23.xml"/><Relationship Id="rId32" Type="http://schemas.openxmlformats.org/officeDocument/2006/relationships/chart" Target="../charts/chart31.xml"/><Relationship Id="rId5" Type="http://schemas.openxmlformats.org/officeDocument/2006/relationships/chart" Target="../charts/chart4.xml"/><Relationship Id="rId15" Type="http://schemas.openxmlformats.org/officeDocument/2006/relationships/chart" Target="../charts/chart14.xml"/><Relationship Id="rId23" Type="http://schemas.openxmlformats.org/officeDocument/2006/relationships/chart" Target="../charts/chart22.xml"/><Relationship Id="rId28" Type="http://schemas.openxmlformats.org/officeDocument/2006/relationships/chart" Target="../charts/chart27.xml"/><Relationship Id="rId10" Type="http://schemas.openxmlformats.org/officeDocument/2006/relationships/chart" Target="../charts/chart9.xml"/><Relationship Id="rId19" Type="http://schemas.openxmlformats.org/officeDocument/2006/relationships/chart" Target="../charts/chart18.xml"/><Relationship Id="rId31" Type="http://schemas.openxmlformats.org/officeDocument/2006/relationships/chart" Target="../charts/chart30.xml"/><Relationship Id="rId4" Type="http://schemas.openxmlformats.org/officeDocument/2006/relationships/image" Target="../media/image4.png"/><Relationship Id="rId9" Type="http://schemas.openxmlformats.org/officeDocument/2006/relationships/chart" Target="../charts/chart8.xml"/><Relationship Id="rId14" Type="http://schemas.openxmlformats.org/officeDocument/2006/relationships/chart" Target="../charts/chart13.xml"/><Relationship Id="rId22" Type="http://schemas.openxmlformats.org/officeDocument/2006/relationships/chart" Target="../charts/chart21.xml"/><Relationship Id="rId27" Type="http://schemas.openxmlformats.org/officeDocument/2006/relationships/chart" Target="../charts/chart26.xml"/><Relationship Id="rId30" Type="http://schemas.openxmlformats.org/officeDocument/2006/relationships/chart" Target="../charts/chart29.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5.xml"/><Relationship Id="rId1" Type="http://schemas.openxmlformats.org/officeDocument/2006/relationships/chart" Target="../charts/chart34.xml"/></Relationships>
</file>

<file path=xl/drawings/drawing1.xml><?xml version="1.0" encoding="utf-8"?>
<xdr:wsDr xmlns:xdr="http://schemas.openxmlformats.org/drawingml/2006/spreadsheetDrawing" xmlns:a="http://schemas.openxmlformats.org/drawingml/2006/main">
  <xdr:twoCellAnchor>
    <xdr:from>
      <xdr:col>7</xdr:col>
      <xdr:colOff>11206</xdr:colOff>
      <xdr:row>34</xdr:row>
      <xdr:rowOff>0</xdr:rowOff>
    </xdr:from>
    <xdr:to>
      <xdr:col>8</xdr:col>
      <xdr:colOff>706531</xdr:colOff>
      <xdr:row>36</xdr:row>
      <xdr:rowOff>295275</xdr:rowOff>
    </xdr:to>
    <xdr:graphicFrame macro="">
      <xdr:nvGraphicFramePr>
        <xdr:cNvPr id="88" name="Chart 87">
          <a:extLst>
            <a:ext uri="{FF2B5EF4-FFF2-40B4-BE49-F238E27FC236}">
              <a16:creationId xmlns:a16="http://schemas.microsoft.com/office/drawing/2014/main" id="{00000000-0008-0000-0100-00005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228600</xdr:colOff>
      <xdr:row>5</xdr:row>
      <xdr:rowOff>47625</xdr:rowOff>
    </xdr:from>
    <xdr:to>
      <xdr:col>19</xdr:col>
      <xdr:colOff>114300</xdr:colOff>
      <xdr:row>25</xdr:row>
      <xdr:rowOff>0</xdr:rowOff>
    </xdr:to>
    <xdr:graphicFrame macro="">
      <xdr:nvGraphicFramePr>
        <xdr:cNvPr id="103" name="Chart 102">
          <a:extLst>
            <a:ext uri="{FF2B5EF4-FFF2-40B4-BE49-F238E27FC236}">
              <a16:creationId xmlns:a16="http://schemas.microsoft.com/office/drawing/2014/main" id="{00000000-0008-0000-0100-00006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19050</xdr:colOff>
      <xdr:row>25</xdr:row>
      <xdr:rowOff>161924</xdr:rowOff>
    </xdr:from>
    <xdr:to>
      <xdr:col>8</xdr:col>
      <xdr:colOff>714375</xdr:colOff>
      <xdr:row>28</xdr:row>
      <xdr:rowOff>295274</xdr:rowOff>
    </xdr:to>
    <xdr:graphicFrame macro="">
      <xdr:nvGraphicFramePr>
        <xdr:cNvPr id="129" name="Chart 128">
          <a:extLst>
            <a:ext uri="{FF2B5EF4-FFF2-40B4-BE49-F238E27FC236}">
              <a16:creationId xmlns:a16="http://schemas.microsoft.com/office/drawing/2014/main" id="{00000000-0008-0000-0100-00008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430787</xdr:colOff>
      <xdr:row>1</xdr:row>
      <xdr:rowOff>70042</xdr:rowOff>
    </xdr:from>
    <xdr:to>
      <xdr:col>19</xdr:col>
      <xdr:colOff>250031</xdr:colOff>
      <xdr:row>4</xdr:row>
      <xdr:rowOff>96235</xdr:rowOff>
    </xdr:to>
    <xdr:sp macro="" textlink="">
      <xdr:nvSpPr>
        <xdr:cNvPr id="2" name="Snip Single Corner Rectangle 4">
          <a:extLst>
            <a:ext uri="{FF2B5EF4-FFF2-40B4-BE49-F238E27FC236}">
              <a16:creationId xmlns:a16="http://schemas.microsoft.com/office/drawing/2014/main" id="{00000000-0008-0000-0100-000002000000}"/>
            </a:ext>
          </a:extLst>
        </xdr:cNvPr>
        <xdr:cNvSpPr/>
      </xdr:nvSpPr>
      <xdr:spPr>
        <a:xfrm>
          <a:off x="430787" y="231967"/>
          <a:ext cx="16059369" cy="511968"/>
        </a:xfrm>
        <a:prstGeom prst="snip1Rect">
          <a:avLst/>
        </a:prstGeom>
        <a:solidFill>
          <a:srgbClr val="F0ECF4">
            <a:alpha val="6509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8</xdr:col>
      <xdr:colOff>1167486</xdr:colOff>
      <xdr:row>2</xdr:row>
      <xdr:rowOff>10311</xdr:rowOff>
    </xdr:from>
    <xdr:ext cx="2359361" cy="374141"/>
    <xdr:sp macro="" textlink="">
      <xdr:nvSpPr>
        <xdr:cNvPr id="3" name="Rectangle 2">
          <a:extLst>
            <a:ext uri="{FF2B5EF4-FFF2-40B4-BE49-F238E27FC236}">
              <a16:creationId xmlns:a16="http://schemas.microsoft.com/office/drawing/2014/main" id="{00000000-0008-0000-0100-000003000000}"/>
            </a:ext>
          </a:extLst>
        </xdr:cNvPr>
        <xdr:cNvSpPr/>
      </xdr:nvSpPr>
      <xdr:spPr>
        <a:xfrm>
          <a:off x="11778336" y="334161"/>
          <a:ext cx="2359361" cy="374141"/>
        </a:xfrm>
        <a:prstGeom prst="rect">
          <a:avLst/>
        </a:prstGeom>
        <a:noFill/>
      </xdr:spPr>
      <xdr:txBody>
        <a:bodyPr wrap="square" lIns="91440" tIns="45720" rIns="91440" bIns="45720" anchor="ctr">
          <a:spAutoFit/>
        </a:bodyPr>
        <a:lstStyle/>
        <a:p>
          <a:pPr algn="l"/>
          <a:r>
            <a:rPr lang="en-US" sz="1800" b="0" cap="none" spc="0">
              <a:ln w="18415" cmpd="sng">
                <a:noFill/>
                <a:prstDash val="solid"/>
              </a:ln>
              <a:solidFill>
                <a:schemeClr val="accent1">
                  <a:lumMod val="50000"/>
                </a:schemeClr>
              </a:solidFill>
              <a:effectLst>
                <a:outerShdw blurRad="63500" dir="3600000" algn="tl" rotWithShape="0">
                  <a:srgbClr val="000000">
                    <a:alpha val="70000"/>
                  </a:srgbClr>
                </a:outerShdw>
              </a:effectLst>
            </a:rPr>
            <a:t>HIGH Priorities</a:t>
          </a:r>
          <a:r>
            <a:rPr lang="en-US" sz="1800" b="0" cap="none" spc="0" baseline="0">
              <a:ln w="18415" cmpd="sng">
                <a:noFill/>
                <a:prstDash val="solid"/>
              </a:ln>
              <a:solidFill>
                <a:schemeClr val="accent1">
                  <a:lumMod val="50000"/>
                </a:schemeClr>
              </a:solidFill>
              <a:effectLst>
                <a:outerShdw blurRad="63500" dir="3600000" algn="tl" rotWithShape="0">
                  <a:srgbClr val="000000">
                    <a:alpha val="70000"/>
                  </a:srgbClr>
                </a:outerShdw>
              </a:effectLst>
            </a:rPr>
            <a:t> </a:t>
          </a:r>
          <a:r>
            <a:rPr lang="en-US" sz="1800" b="0" cap="none" spc="0">
              <a:ln w="18415" cmpd="sng">
                <a:noFill/>
                <a:prstDash val="solid"/>
              </a:ln>
              <a:solidFill>
                <a:schemeClr val="accent1">
                  <a:lumMod val="50000"/>
                </a:schemeClr>
              </a:solidFill>
              <a:effectLst>
                <a:outerShdw blurRad="63500" dir="3600000" algn="tl" rotWithShape="0">
                  <a:srgbClr val="000000">
                    <a:alpha val="70000"/>
                  </a:srgbClr>
                </a:outerShdw>
              </a:effectLst>
            </a:rPr>
            <a:t>by Line</a:t>
          </a:r>
          <a:endParaRPr lang="en-US" sz="1800" b="0" cap="none" spc="0">
            <a:ln w="18415" cmpd="sng">
              <a:noFill/>
              <a:prstDash val="solid"/>
            </a:ln>
            <a:solidFill>
              <a:srgbClr val="BCB666"/>
            </a:solidFill>
            <a:effectLst>
              <a:outerShdw blurRad="63500" dir="3600000" algn="tl" rotWithShape="0">
                <a:srgbClr val="000000">
                  <a:alpha val="70000"/>
                </a:srgbClr>
              </a:outerShdw>
            </a:effectLst>
          </a:endParaRPr>
        </a:p>
      </xdr:txBody>
    </xdr:sp>
    <xdr:clientData/>
  </xdr:oneCellAnchor>
  <xdr:oneCellAnchor>
    <xdr:from>
      <xdr:col>1</xdr:col>
      <xdr:colOff>571501</xdr:colOff>
      <xdr:row>1</xdr:row>
      <xdr:rowOff>134477</xdr:rowOff>
    </xdr:from>
    <xdr:ext cx="3820390" cy="342786"/>
    <xdr:sp macro="" textlink="Calcs!G1">
      <xdr:nvSpPr>
        <xdr:cNvPr id="4" name="Rectangle 3">
          <a:extLst>
            <a:ext uri="{FF2B5EF4-FFF2-40B4-BE49-F238E27FC236}">
              <a16:creationId xmlns:a16="http://schemas.microsoft.com/office/drawing/2014/main" id="{00000000-0008-0000-0100-000004000000}"/>
            </a:ext>
          </a:extLst>
        </xdr:cNvPr>
        <xdr:cNvSpPr/>
      </xdr:nvSpPr>
      <xdr:spPr>
        <a:xfrm>
          <a:off x="1181101" y="296402"/>
          <a:ext cx="3820390" cy="342786"/>
        </a:xfrm>
        <a:prstGeom prst="rect">
          <a:avLst/>
        </a:prstGeom>
        <a:noFill/>
      </xdr:spPr>
      <xdr:txBody>
        <a:bodyPr wrap="square" lIns="91440" tIns="45720" rIns="91440" bIns="45720" anchor="ctr">
          <a:spAutoFit/>
        </a:bodyPr>
        <a:lstStyle/>
        <a:p>
          <a:pPr algn="l"/>
          <a:fld id="{2FC92932-911C-4A72-BBD1-08B529170A42}" type="TxLink">
            <a:rPr lang="en-US" sz="1600" b="0" i="0" u="none" strike="noStrike" cap="none" spc="0">
              <a:ln w="18415" cmpd="sng">
                <a:noFill/>
                <a:prstDash val="solid"/>
              </a:ln>
              <a:solidFill>
                <a:srgbClr val="000000"/>
              </a:solidFill>
              <a:effectLst>
                <a:outerShdw blurRad="63500" dir="3600000" algn="tl" rotWithShape="0">
                  <a:srgbClr val="000000">
                    <a:alpha val="70000"/>
                  </a:srgbClr>
                </a:outerShdw>
              </a:effectLst>
              <a:latin typeface="Arial"/>
              <a:cs typeface="Arial"/>
            </a:rPr>
            <a:pPr algn="l"/>
            <a:t>Undercutting Programme YTD Mar</a:t>
          </a:fld>
          <a:endParaRPr lang="en-US" sz="1600" b="0" cap="none" spc="0">
            <a:ln w="18415" cmpd="sng">
              <a:noFill/>
              <a:prstDash val="solid"/>
            </a:ln>
            <a:solidFill>
              <a:schemeClr val="accent1">
                <a:lumMod val="50000"/>
              </a:schemeClr>
            </a:solidFill>
            <a:effectLst>
              <a:outerShdw blurRad="63500" dir="3600000" algn="tl" rotWithShape="0">
                <a:srgbClr val="000000">
                  <a:alpha val="70000"/>
                </a:srgbClr>
              </a:outerShdw>
            </a:effectLst>
            <a:latin typeface="+mn-lt"/>
            <a:cs typeface="Arial" panose="020B0604020202020204" pitchFamily="34" charset="0"/>
          </a:endParaRPr>
        </a:p>
      </xdr:txBody>
    </xdr:sp>
    <xdr:clientData/>
  </xdr:oneCellAnchor>
  <xdr:twoCellAnchor>
    <xdr:from>
      <xdr:col>0</xdr:col>
      <xdr:colOff>570179</xdr:colOff>
      <xdr:row>23</xdr:row>
      <xdr:rowOff>84672</xdr:rowOff>
    </xdr:from>
    <xdr:to>
      <xdr:col>19</xdr:col>
      <xdr:colOff>286072</xdr:colOff>
      <xdr:row>24</xdr:row>
      <xdr:rowOff>142875</xdr:rowOff>
    </xdr:to>
    <xdr:sp macro="" textlink="">
      <xdr:nvSpPr>
        <xdr:cNvPr id="5" name="Snip Single Corner Rectangle 7">
          <a:extLst>
            <a:ext uri="{FF2B5EF4-FFF2-40B4-BE49-F238E27FC236}">
              <a16:creationId xmlns:a16="http://schemas.microsoft.com/office/drawing/2014/main" id="{00000000-0008-0000-0100-000005000000}"/>
            </a:ext>
          </a:extLst>
        </xdr:cNvPr>
        <xdr:cNvSpPr/>
      </xdr:nvSpPr>
      <xdr:spPr>
        <a:xfrm>
          <a:off x="570179" y="3151722"/>
          <a:ext cx="15956018" cy="220128"/>
        </a:xfrm>
        <a:prstGeom prst="snip1Rect">
          <a:avLst/>
        </a:prstGeom>
        <a:solidFill>
          <a:srgbClr val="F0ECF4">
            <a:alpha val="6509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1017</xdr:colOff>
      <xdr:row>44</xdr:row>
      <xdr:rowOff>0</xdr:rowOff>
    </xdr:from>
    <xdr:to>
      <xdr:col>19</xdr:col>
      <xdr:colOff>171901</xdr:colOff>
      <xdr:row>45</xdr:row>
      <xdr:rowOff>34860</xdr:rowOff>
    </xdr:to>
    <xdr:sp macro="" textlink="">
      <xdr:nvSpPr>
        <xdr:cNvPr id="6" name="Snip Single Corner Rectangle 8">
          <a:extLst>
            <a:ext uri="{FF2B5EF4-FFF2-40B4-BE49-F238E27FC236}">
              <a16:creationId xmlns:a16="http://schemas.microsoft.com/office/drawing/2014/main" id="{00000000-0008-0000-0100-000006000000}"/>
            </a:ext>
          </a:extLst>
        </xdr:cNvPr>
        <xdr:cNvSpPr/>
      </xdr:nvSpPr>
      <xdr:spPr>
        <a:xfrm>
          <a:off x="606135" y="11026588"/>
          <a:ext cx="17483972" cy="191743"/>
        </a:xfrm>
        <a:prstGeom prst="snip1Rect">
          <a:avLst/>
        </a:prstGeom>
        <a:solidFill>
          <a:srgbClr val="F0ECF4">
            <a:alpha val="6509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52666</xdr:colOff>
      <xdr:row>62</xdr:row>
      <xdr:rowOff>119661</xdr:rowOff>
    </xdr:from>
    <xdr:to>
      <xdr:col>19</xdr:col>
      <xdr:colOff>218768</xdr:colOff>
      <xdr:row>63</xdr:row>
      <xdr:rowOff>120379</xdr:rowOff>
    </xdr:to>
    <xdr:sp macro="" textlink="">
      <xdr:nvSpPr>
        <xdr:cNvPr id="7" name="Snip Single Corner Rectangle 9">
          <a:extLst>
            <a:ext uri="{FF2B5EF4-FFF2-40B4-BE49-F238E27FC236}">
              <a16:creationId xmlns:a16="http://schemas.microsoft.com/office/drawing/2014/main" id="{00000000-0008-0000-0100-000007000000}"/>
            </a:ext>
          </a:extLst>
        </xdr:cNvPr>
        <xdr:cNvSpPr/>
      </xdr:nvSpPr>
      <xdr:spPr>
        <a:xfrm>
          <a:off x="657784" y="14283896"/>
          <a:ext cx="17086984" cy="202424"/>
        </a:xfrm>
        <a:prstGeom prst="snip1Rect">
          <a:avLst/>
        </a:prstGeom>
        <a:solidFill>
          <a:srgbClr val="F0ECF4">
            <a:alpha val="6509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0</xdr:col>
      <xdr:colOff>572562</xdr:colOff>
      <xdr:row>23</xdr:row>
      <xdr:rowOff>2108</xdr:rowOff>
    </xdr:from>
    <xdr:ext cx="2680286" cy="342786"/>
    <xdr:sp macro="" textlink="">
      <xdr:nvSpPr>
        <xdr:cNvPr id="8" name="Rectangle 7">
          <a:extLst>
            <a:ext uri="{FF2B5EF4-FFF2-40B4-BE49-F238E27FC236}">
              <a16:creationId xmlns:a16="http://schemas.microsoft.com/office/drawing/2014/main" id="{00000000-0008-0000-0100-000008000000}"/>
            </a:ext>
          </a:extLst>
        </xdr:cNvPr>
        <xdr:cNvSpPr/>
      </xdr:nvSpPr>
      <xdr:spPr>
        <a:xfrm>
          <a:off x="572562" y="4831283"/>
          <a:ext cx="2680286" cy="342786"/>
        </a:xfrm>
        <a:prstGeom prst="rect">
          <a:avLst/>
        </a:prstGeom>
        <a:noFill/>
      </xdr:spPr>
      <xdr:txBody>
        <a:bodyPr wrap="none" lIns="91440" tIns="45720" rIns="91440" bIns="45720" anchor="ctr">
          <a:spAutoFit/>
        </a:bodyPr>
        <a:lstStyle/>
        <a:p>
          <a:pPr algn="l"/>
          <a:r>
            <a:rPr lang="en-US" sz="1600" b="0" cap="none" spc="0">
              <a:ln w="18415" cmpd="sng">
                <a:noFill/>
                <a:prstDash val="solid"/>
              </a:ln>
              <a:solidFill>
                <a:schemeClr val="accent1">
                  <a:lumMod val="50000"/>
                </a:schemeClr>
              </a:solidFill>
              <a:effectLst>
                <a:outerShdw blurRad="63500" dir="3600000" algn="tl" rotWithShape="0">
                  <a:srgbClr val="000000">
                    <a:alpha val="70000"/>
                  </a:srgbClr>
                </a:outerShdw>
              </a:effectLst>
              <a:latin typeface="+mn-lt"/>
            </a:rPr>
            <a:t>Undercutting</a:t>
          </a:r>
          <a:r>
            <a:rPr lang="en-US" sz="1600" b="0" cap="none" spc="0" baseline="0">
              <a:ln w="18415" cmpd="sng">
                <a:noFill/>
                <a:prstDash val="solid"/>
              </a:ln>
              <a:solidFill>
                <a:schemeClr val="accent1">
                  <a:lumMod val="50000"/>
                </a:schemeClr>
              </a:solidFill>
              <a:effectLst>
                <a:outerShdw blurRad="63500" dir="3600000" algn="tl" rotWithShape="0">
                  <a:srgbClr val="000000">
                    <a:alpha val="70000"/>
                  </a:srgbClr>
                </a:outerShdw>
              </a:effectLst>
              <a:latin typeface="+mn-lt"/>
            </a:rPr>
            <a:t> Completed (km)</a:t>
          </a:r>
          <a:endParaRPr lang="en-US" sz="1600" b="0" cap="none" spc="0">
            <a:ln w="18415" cmpd="sng">
              <a:noFill/>
              <a:prstDash val="solid"/>
            </a:ln>
            <a:solidFill>
              <a:schemeClr val="accent1">
                <a:lumMod val="50000"/>
              </a:schemeClr>
            </a:solidFill>
            <a:effectLst>
              <a:outerShdw blurRad="63500" dir="3600000" algn="tl" rotWithShape="0">
                <a:srgbClr val="000000">
                  <a:alpha val="70000"/>
                </a:srgbClr>
              </a:outerShdw>
            </a:effectLst>
            <a:latin typeface="+mn-lt"/>
          </a:endParaRPr>
        </a:p>
      </xdr:txBody>
    </xdr:sp>
    <xdr:clientData/>
  </xdr:oneCellAnchor>
  <xdr:oneCellAnchor>
    <xdr:from>
      <xdr:col>0</xdr:col>
      <xdr:colOff>599643</xdr:colOff>
      <xdr:row>1</xdr:row>
      <xdr:rowOff>27277</xdr:rowOff>
    </xdr:from>
    <xdr:ext cx="573106" cy="563273"/>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599643" y="189202"/>
          <a:ext cx="573106" cy="563273"/>
        </a:xfrm>
        <a:prstGeom prst="rect">
          <a:avLst/>
        </a:prstGeom>
      </xdr:spPr>
    </xdr:pic>
    <xdr:clientData/>
  </xdr:oneCellAnchor>
  <xdr:oneCellAnchor>
    <xdr:from>
      <xdr:col>7</xdr:col>
      <xdr:colOff>698995</xdr:colOff>
      <xdr:row>26</xdr:row>
      <xdr:rowOff>9525</xdr:rowOff>
    </xdr:from>
    <xdr:ext cx="2115707" cy="280205"/>
    <xdr:sp macro="" textlink="">
      <xdr:nvSpPr>
        <xdr:cNvPr id="15" name="Rectangle 14">
          <a:extLst>
            <a:ext uri="{FF2B5EF4-FFF2-40B4-BE49-F238E27FC236}">
              <a16:creationId xmlns:a16="http://schemas.microsoft.com/office/drawing/2014/main" id="{00000000-0008-0000-0100-00000F000000}"/>
            </a:ext>
          </a:extLst>
        </xdr:cNvPr>
        <xdr:cNvSpPr/>
      </xdr:nvSpPr>
      <xdr:spPr>
        <a:xfrm>
          <a:off x="7471270" y="5324475"/>
          <a:ext cx="2115707" cy="280205"/>
        </a:xfrm>
        <a:prstGeom prst="rect">
          <a:avLst/>
        </a:prstGeom>
        <a:noFill/>
      </xdr:spPr>
      <xdr:txBody>
        <a:bodyPr wrap="none" lIns="91440" tIns="45720" rIns="91440" bIns="45720" anchor="ctr">
          <a:spAutoFit/>
        </a:bodyPr>
        <a:lstStyle/>
        <a:p>
          <a:pPr algn="l"/>
          <a:r>
            <a:rPr lang="en-US" sz="1200" b="0" cap="none" spc="0">
              <a:ln w="18415" cmpd="sng">
                <a:noFill/>
                <a:prstDash val="solid"/>
              </a:ln>
              <a:solidFill>
                <a:schemeClr val="accent1">
                  <a:lumMod val="50000"/>
                </a:schemeClr>
              </a:solidFill>
              <a:effectLst>
                <a:outerShdw blurRad="63500" dir="3600000" algn="tl" rotWithShape="0">
                  <a:srgbClr val="000000">
                    <a:alpha val="70000"/>
                  </a:srgbClr>
                </a:outerShdw>
              </a:effectLst>
            </a:rPr>
            <a:t>% of Planned works completed</a:t>
          </a:r>
        </a:p>
      </xdr:txBody>
    </xdr:sp>
    <xdr:clientData/>
  </xdr:oneCellAnchor>
  <xdr:oneCellAnchor>
    <xdr:from>
      <xdr:col>1</xdr:col>
      <xdr:colOff>54261</xdr:colOff>
      <xdr:row>43</xdr:row>
      <xdr:rowOff>96992</xdr:rowOff>
    </xdr:from>
    <xdr:ext cx="1088888" cy="280205"/>
    <xdr:sp macro="" textlink="">
      <xdr:nvSpPr>
        <xdr:cNvPr id="16" name="Rectangle 15">
          <a:extLst>
            <a:ext uri="{FF2B5EF4-FFF2-40B4-BE49-F238E27FC236}">
              <a16:creationId xmlns:a16="http://schemas.microsoft.com/office/drawing/2014/main" id="{00000000-0008-0000-0100-000010000000}"/>
            </a:ext>
          </a:extLst>
        </xdr:cNvPr>
        <xdr:cNvSpPr/>
      </xdr:nvSpPr>
      <xdr:spPr>
        <a:xfrm>
          <a:off x="659379" y="10473639"/>
          <a:ext cx="1088888" cy="280205"/>
        </a:xfrm>
        <a:prstGeom prst="rect">
          <a:avLst/>
        </a:prstGeom>
        <a:noFill/>
      </xdr:spPr>
      <xdr:txBody>
        <a:bodyPr wrap="none" lIns="91440" tIns="45720" rIns="91440" bIns="45720" anchor="ctr">
          <a:spAutoFit/>
        </a:bodyPr>
        <a:lstStyle/>
        <a:p>
          <a:pPr algn="l"/>
          <a:r>
            <a:rPr lang="en-US" sz="1200" b="0" cap="none" spc="0">
              <a:ln w="18415" cmpd="sng">
                <a:noFill/>
                <a:prstDash val="solid"/>
              </a:ln>
              <a:solidFill>
                <a:schemeClr val="accent1">
                  <a:lumMod val="50000"/>
                </a:schemeClr>
              </a:solidFill>
              <a:effectLst>
                <a:outerShdw blurRad="63500" dir="3600000" algn="tl" rotWithShape="0">
                  <a:srgbClr val="000000">
                    <a:alpha val="70000"/>
                  </a:srgbClr>
                </a:outerShdw>
              </a:effectLst>
            </a:rPr>
            <a:t>Site</a:t>
          </a:r>
          <a:r>
            <a:rPr lang="en-US" sz="1200" b="0" cap="none" spc="0" baseline="0">
              <a:ln w="18415" cmpd="sng">
                <a:noFill/>
                <a:prstDash val="solid"/>
              </a:ln>
              <a:solidFill>
                <a:schemeClr val="accent1">
                  <a:lumMod val="50000"/>
                </a:schemeClr>
              </a:solidFill>
              <a:effectLst>
                <a:outerShdw blurRad="63500" dir="3600000" algn="tl" rotWithShape="0">
                  <a:srgbClr val="000000">
                    <a:alpha val="70000"/>
                  </a:srgbClr>
                </a:outerShdw>
              </a:effectLst>
            </a:rPr>
            <a:t> Validation</a:t>
          </a:r>
          <a:endParaRPr lang="en-US" sz="1200" b="0" cap="none" spc="0">
            <a:ln w="18415" cmpd="sng">
              <a:noFill/>
              <a:prstDash val="solid"/>
            </a:ln>
            <a:solidFill>
              <a:schemeClr val="accent1">
                <a:lumMod val="50000"/>
              </a:schemeClr>
            </a:solidFill>
            <a:effectLst>
              <a:outerShdw blurRad="63500" dir="3600000" algn="tl" rotWithShape="0">
                <a:srgbClr val="000000">
                  <a:alpha val="70000"/>
                </a:srgbClr>
              </a:outerShdw>
            </a:effectLst>
          </a:endParaRPr>
        </a:p>
      </xdr:txBody>
    </xdr:sp>
    <xdr:clientData/>
  </xdr:oneCellAnchor>
  <xdr:oneCellAnchor>
    <xdr:from>
      <xdr:col>2</xdr:col>
      <xdr:colOff>1342135</xdr:colOff>
      <xdr:row>4</xdr:row>
      <xdr:rowOff>122959</xdr:rowOff>
    </xdr:from>
    <xdr:ext cx="2925065" cy="210416"/>
    <xdr:sp macro="" textlink="">
      <xdr:nvSpPr>
        <xdr:cNvPr id="25" name="Rectangle 24">
          <a:extLst>
            <a:ext uri="{FF2B5EF4-FFF2-40B4-BE49-F238E27FC236}">
              <a16:creationId xmlns:a16="http://schemas.microsoft.com/office/drawing/2014/main" id="{00000000-0008-0000-0100-000019000000}"/>
            </a:ext>
          </a:extLst>
        </xdr:cNvPr>
        <xdr:cNvSpPr/>
      </xdr:nvSpPr>
      <xdr:spPr>
        <a:xfrm>
          <a:off x="3761485" y="770659"/>
          <a:ext cx="2925065" cy="210416"/>
        </a:xfrm>
        <a:prstGeom prst="rect">
          <a:avLst/>
        </a:prstGeom>
        <a:noFill/>
      </xdr:spPr>
      <xdr:txBody>
        <a:bodyPr wrap="square" lIns="91440" tIns="45720" rIns="91440" bIns="45720" anchor="ctr">
          <a:noAutofit/>
        </a:bodyPr>
        <a:lstStyle/>
        <a:p>
          <a:pPr algn="l"/>
          <a:r>
            <a:rPr lang="en-US" sz="1100" b="0" cap="none" spc="0">
              <a:ln w="18415" cmpd="sng">
                <a:noFill/>
                <a:prstDash val="solid"/>
              </a:ln>
              <a:solidFill>
                <a:schemeClr val="accent1">
                  <a:lumMod val="50000"/>
                </a:schemeClr>
              </a:solidFill>
              <a:effectLst>
                <a:outerShdw blurRad="63500" dir="3600000" algn="tl" rotWithShape="0">
                  <a:srgbClr val="000000">
                    <a:alpha val="70000"/>
                  </a:srgbClr>
                </a:outerShdw>
              </a:effectLst>
            </a:rPr>
            <a:t>Fouled</a:t>
          </a:r>
          <a:r>
            <a:rPr lang="en-US" sz="1100" b="0" cap="none" spc="0" baseline="0">
              <a:ln w="18415" cmpd="sng">
                <a:noFill/>
                <a:prstDash val="solid"/>
              </a:ln>
              <a:solidFill>
                <a:schemeClr val="accent1">
                  <a:lumMod val="50000"/>
                </a:schemeClr>
              </a:solidFill>
              <a:effectLst>
                <a:outerShdw blurRad="63500" dir="3600000" algn="tl" rotWithShape="0">
                  <a:srgbClr val="000000">
                    <a:alpha val="70000"/>
                  </a:srgbClr>
                </a:outerShdw>
              </a:effectLst>
            </a:rPr>
            <a:t> ballast (km) according to priority</a:t>
          </a:r>
          <a:endParaRPr lang="en-US" sz="1100" b="0" cap="none" spc="0">
            <a:ln w="18415" cmpd="sng">
              <a:noFill/>
              <a:prstDash val="solid"/>
            </a:ln>
            <a:solidFill>
              <a:schemeClr val="accent1">
                <a:lumMod val="50000"/>
              </a:schemeClr>
            </a:solidFill>
            <a:effectLst>
              <a:outerShdw blurRad="63500" dir="3600000" algn="tl" rotWithShape="0">
                <a:srgbClr val="000000">
                  <a:alpha val="70000"/>
                </a:srgbClr>
              </a:outerShdw>
            </a:effectLst>
          </a:endParaRPr>
        </a:p>
      </xdr:txBody>
    </xdr:sp>
    <xdr:clientData/>
  </xdr:oneCellAnchor>
  <xdr:oneCellAnchor>
    <xdr:from>
      <xdr:col>14</xdr:col>
      <xdr:colOff>189044</xdr:colOff>
      <xdr:row>2</xdr:row>
      <xdr:rowOff>21918</xdr:rowOff>
    </xdr:from>
    <xdr:ext cx="2309572" cy="374141"/>
    <xdr:sp macro="" textlink="">
      <xdr:nvSpPr>
        <xdr:cNvPr id="26" name="Rectangle 25">
          <a:extLst>
            <a:ext uri="{FF2B5EF4-FFF2-40B4-BE49-F238E27FC236}">
              <a16:creationId xmlns:a16="http://schemas.microsoft.com/office/drawing/2014/main" id="{00000000-0008-0000-0100-00001A000000}"/>
            </a:ext>
          </a:extLst>
        </xdr:cNvPr>
        <xdr:cNvSpPr/>
      </xdr:nvSpPr>
      <xdr:spPr>
        <a:xfrm>
          <a:off x="13381169" y="345768"/>
          <a:ext cx="2309572" cy="374141"/>
        </a:xfrm>
        <a:prstGeom prst="rect">
          <a:avLst/>
        </a:prstGeom>
        <a:noFill/>
      </xdr:spPr>
      <xdr:txBody>
        <a:bodyPr wrap="square" lIns="91440" tIns="45720" rIns="91440" bIns="45720" anchor="ctr">
          <a:spAutoFit/>
        </a:bodyPr>
        <a:lstStyle/>
        <a:p>
          <a:pPr algn="l"/>
          <a:r>
            <a:rPr lang="en-US" sz="1800" b="0" cap="none" spc="0">
              <a:ln w="18415" cmpd="sng">
                <a:noFill/>
                <a:prstDash val="solid"/>
              </a:ln>
              <a:solidFill>
                <a:schemeClr val="accent1">
                  <a:lumMod val="50000"/>
                </a:schemeClr>
              </a:solidFill>
              <a:effectLst>
                <a:outerShdw blurRad="63500" dir="3600000" algn="tl" rotWithShape="0">
                  <a:srgbClr val="000000">
                    <a:alpha val="70000"/>
                  </a:srgbClr>
                </a:outerShdw>
              </a:effectLst>
            </a:rPr>
            <a:t>Progress Report</a:t>
          </a:r>
          <a:endParaRPr lang="en-US" sz="1800" b="0" cap="none" spc="0">
            <a:ln w="18415" cmpd="sng">
              <a:noFill/>
              <a:prstDash val="solid"/>
            </a:ln>
            <a:solidFill>
              <a:srgbClr val="BCB666"/>
            </a:solidFill>
            <a:effectLst>
              <a:outerShdw blurRad="63500" dir="3600000" algn="tl" rotWithShape="0">
                <a:srgbClr val="000000">
                  <a:alpha val="70000"/>
                </a:srgbClr>
              </a:outerShdw>
            </a:effectLst>
          </a:endParaRPr>
        </a:p>
      </xdr:txBody>
    </xdr:sp>
    <xdr:clientData/>
  </xdr:oneCellAnchor>
  <xdr:twoCellAnchor>
    <xdr:from>
      <xdr:col>17</xdr:col>
      <xdr:colOff>541194</xdr:colOff>
      <xdr:row>25</xdr:row>
      <xdr:rowOff>482</xdr:rowOff>
    </xdr:from>
    <xdr:to>
      <xdr:col>19</xdr:col>
      <xdr:colOff>129887</xdr:colOff>
      <xdr:row>27</xdr:row>
      <xdr:rowOff>87073</xdr:rowOff>
    </xdr:to>
    <xdr:sp macro="" textlink="[1]Calc!C91">
      <xdr:nvSpPr>
        <xdr:cNvPr id="41" name="TextBox 40">
          <a:extLst>
            <a:ext uri="{FF2B5EF4-FFF2-40B4-BE49-F238E27FC236}">
              <a16:creationId xmlns:a16="http://schemas.microsoft.com/office/drawing/2014/main" id="{00000000-0008-0000-0100-000029000000}"/>
            </a:ext>
          </a:extLst>
        </xdr:cNvPr>
        <xdr:cNvSpPr txBox="1"/>
      </xdr:nvSpPr>
      <xdr:spPr>
        <a:xfrm>
          <a:off x="15562119" y="3553307"/>
          <a:ext cx="807893" cy="410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6609A9F-FED1-46A7-9A00-1CFC7C73357D}" type="TxLink">
            <a:rPr lang="en-US" sz="1200" b="1" i="0" u="none" strike="noStrike">
              <a:solidFill>
                <a:schemeClr val="bg1"/>
              </a:solidFill>
              <a:latin typeface="Arial"/>
              <a:cs typeface="Arial"/>
            </a:rPr>
            <a:pPr/>
            <a:t>45.0%</a:t>
          </a:fld>
          <a:endParaRPr lang="en-AU" sz="1200" b="1">
            <a:solidFill>
              <a:schemeClr val="bg1"/>
            </a:solidFill>
          </a:endParaRPr>
        </a:p>
      </xdr:txBody>
    </xdr:sp>
    <xdr:clientData/>
  </xdr:twoCellAnchor>
  <xdr:twoCellAnchor>
    <xdr:from>
      <xdr:col>16</xdr:col>
      <xdr:colOff>194831</xdr:colOff>
      <xdr:row>25</xdr:row>
      <xdr:rowOff>482</xdr:rowOff>
    </xdr:from>
    <xdr:to>
      <xdr:col>17</xdr:col>
      <xdr:colOff>389660</xdr:colOff>
      <xdr:row>27</xdr:row>
      <xdr:rowOff>87073</xdr:rowOff>
    </xdr:to>
    <xdr:sp macro="" textlink="[1]Calc!C90">
      <xdr:nvSpPr>
        <xdr:cNvPr id="42" name="TextBox 41">
          <a:extLst>
            <a:ext uri="{FF2B5EF4-FFF2-40B4-BE49-F238E27FC236}">
              <a16:creationId xmlns:a16="http://schemas.microsoft.com/office/drawing/2014/main" id="{00000000-0008-0000-0100-00002A000000}"/>
            </a:ext>
          </a:extLst>
        </xdr:cNvPr>
        <xdr:cNvSpPr txBox="1"/>
      </xdr:nvSpPr>
      <xdr:spPr>
        <a:xfrm>
          <a:off x="14606156" y="3553307"/>
          <a:ext cx="804429" cy="410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C18B8E4-7290-4C6C-BF00-AA75DA190F81}" type="TxLink">
            <a:rPr lang="en-US" sz="1200" b="1" i="0" u="none" strike="noStrike">
              <a:solidFill>
                <a:schemeClr val="bg1"/>
              </a:solidFill>
              <a:latin typeface="Arial"/>
              <a:cs typeface="Arial"/>
            </a:rPr>
            <a:pPr/>
            <a:t>57.0%</a:t>
          </a:fld>
          <a:endParaRPr lang="en-AU" sz="1200" b="1">
            <a:solidFill>
              <a:schemeClr val="bg1"/>
            </a:solidFill>
          </a:endParaRPr>
        </a:p>
      </xdr:txBody>
    </xdr:sp>
    <xdr:clientData/>
  </xdr:twoCellAnchor>
  <xdr:twoCellAnchor>
    <xdr:from>
      <xdr:col>14</xdr:col>
      <xdr:colOff>294413</xdr:colOff>
      <xdr:row>25</xdr:row>
      <xdr:rowOff>10824</xdr:rowOff>
    </xdr:from>
    <xdr:to>
      <xdr:col>15</xdr:col>
      <xdr:colOff>489243</xdr:colOff>
      <xdr:row>27</xdr:row>
      <xdr:rowOff>97415</xdr:rowOff>
    </xdr:to>
    <xdr:sp macro="" textlink="[1]Calc!C89">
      <xdr:nvSpPr>
        <xdr:cNvPr id="43" name="TextBox 42">
          <a:extLst>
            <a:ext uri="{FF2B5EF4-FFF2-40B4-BE49-F238E27FC236}">
              <a16:creationId xmlns:a16="http://schemas.microsoft.com/office/drawing/2014/main" id="{00000000-0008-0000-0100-00002B000000}"/>
            </a:ext>
          </a:extLst>
        </xdr:cNvPr>
        <xdr:cNvSpPr txBox="1"/>
      </xdr:nvSpPr>
      <xdr:spPr>
        <a:xfrm>
          <a:off x="13486538" y="3563649"/>
          <a:ext cx="804430" cy="410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F1AC5CA-84F3-4B69-93F1-932B80154058}" type="TxLink">
            <a:rPr lang="en-US" sz="1200" b="1" i="0" u="none" strike="noStrike">
              <a:solidFill>
                <a:schemeClr val="bg1"/>
              </a:solidFill>
              <a:latin typeface="Arial"/>
              <a:cs typeface="Arial"/>
            </a:rPr>
            <a:pPr/>
            <a:t>81.0%</a:t>
          </a:fld>
          <a:endParaRPr lang="en-AU" sz="12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17</xdr:col>
          <xdr:colOff>0</xdr:colOff>
          <xdr:row>2</xdr:row>
          <xdr:rowOff>0</xdr:rowOff>
        </xdr:from>
        <xdr:to>
          <xdr:col>19</xdr:col>
          <xdr:colOff>0</xdr:colOff>
          <xdr:row>4</xdr:row>
          <xdr:rowOff>0</xdr:rowOff>
        </xdr:to>
        <xdr:sp macro="" textlink="">
          <xdr:nvSpPr>
            <xdr:cNvPr id="7169" name="Drop Dow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338891</xdr:colOff>
      <xdr:row>1</xdr:row>
      <xdr:rowOff>104275</xdr:rowOff>
    </xdr:from>
    <xdr:to>
      <xdr:col>7</xdr:col>
      <xdr:colOff>306234</xdr:colOff>
      <xdr:row>3</xdr:row>
      <xdr:rowOff>156881</xdr:rowOff>
    </xdr:to>
    <mc:AlternateContent xmlns:mc="http://schemas.openxmlformats.org/markup-compatibility/2006" xmlns:a14="http://schemas.microsoft.com/office/drawing/2010/main">
      <mc:Choice Requires="a14">
        <xdr:graphicFrame macro="">
          <xdr:nvGraphicFramePr>
            <xdr:cNvPr id="115" name="Year">
              <a:extLst>
                <a:ext uri="{FF2B5EF4-FFF2-40B4-BE49-F238E27FC236}">
                  <a16:creationId xmlns:a16="http://schemas.microsoft.com/office/drawing/2014/main" id="{00000000-0008-0000-0100-000073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639273" y="261158"/>
              <a:ext cx="1818715" cy="384922"/>
            </a:xfrm>
            <a:prstGeom prst="rect">
              <a:avLst/>
            </a:prstGeom>
            <a:solidFill>
              <a:prstClr val="white"/>
            </a:solidFill>
            <a:ln w="1">
              <a:solidFill>
                <a:prstClr val="green"/>
              </a:solidFill>
            </a:ln>
          </xdr:spPr>
          <xdr:txBody>
            <a:bodyPr vertOverflow="clip" horzOverflow="clip"/>
            <a:lstStyle/>
            <a:p>
              <a:r>
                <a:rPr lang="en-AU"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7</xdr:col>
      <xdr:colOff>19050</xdr:colOff>
      <xdr:row>27</xdr:row>
      <xdr:rowOff>9524</xdr:rowOff>
    </xdr:from>
    <xdr:to>
      <xdr:col>8</xdr:col>
      <xdr:colOff>714375</xdr:colOff>
      <xdr:row>29</xdr:row>
      <xdr:rowOff>304799</xdr:rowOff>
    </xdr:to>
    <xdr:graphicFrame macro="">
      <xdr:nvGraphicFramePr>
        <xdr:cNvPr id="130" name="Chart 129">
          <a:extLst>
            <a:ext uri="{FF2B5EF4-FFF2-40B4-BE49-F238E27FC236}">
              <a16:creationId xmlns:a16="http://schemas.microsoft.com/office/drawing/2014/main" id="{00000000-0008-0000-0100-00008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19050</xdr:colOff>
      <xdr:row>28</xdr:row>
      <xdr:rowOff>0</xdr:rowOff>
    </xdr:from>
    <xdr:to>
      <xdr:col>8</xdr:col>
      <xdr:colOff>714375</xdr:colOff>
      <xdr:row>30</xdr:row>
      <xdr:rowOff>295275</xdr:rowOff>
    </xdr:to>
    <xdr:graphicFrame macro="">
      <xdr:nvGraphicFramePr>
        <xdr:cNvPr id="131" name="Chart 130">
          <a:extLst>
            <a:ext uri="{FF2B5EF4-FFF2-40B4-BE49-F238E27FC236}">
              <a16:creationId xmlns:a16="http://schemas.microsoft.com/office/drawing/2014/main" id="{00000000-0008-0000-0100-00008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19050</xdr:colOff>
      <xdr:row>29</xdr:row>
      <xdr:rowOff>19050</xdr:rowOff>
    </xdr:from>
    <xdr:to>
      <xdr:col>8</xdr:col>
      <xdr:colOff>714375</xdr:colOff>
      <xdr:row>32</xdr:row>
      <xdr:rowOff>0</xdr:rowOff>
    </xdr:to>
    <xdr:graphicFrame macro="">
      <xdr:nvGraphicFramePr>
        <xdr:cNvPr id="132" name="Chart 131">
          <a:extLst>
            <a:ext uri="{FF2B5EF4-FFF2-40B4-BE49-F238E27FC236}">
              <a16:creationId xmlns:a16="http://schemas.microsoft.com/office/drawing/2014/main" id="{00000000-0008-0000-0100-00008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19050</xdr:colOff>
      <xdr:row>30</xdr:row>
      <xdr:rowOff>0</xdr:rowOff>
    </xdr:from>
    <xdr:to>
      <xdr:col>8</xdr:col>
      <xdr:colOff>714375</xdr:colOff>
      <xdr:row>32</xdr:row>
      <xdr:rowOff>295275</xdr:rowOff>
    </xdr:to>
    <xdr:graphicFrame macro="">
      <xdr:nvGraphicFramePr>
        <xdr:cNvPr id="133" name="Chart 132">
          <a:extLst>
            <a:ext uri="{FF2B5EF4-FFF2-40B4-BE49-F238E27FC236}">
              <a16:creationId xmlns:a16="http://schemas.microsoft.com/office/drawing/2014/main" id="{00000000-0008-0000-0100-00008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19050</xdr:colOff>
      <xdr:row>33</xdr:row>
      <xdr:rowOff>0</xdr:rowOff>
    </xdr:from>
    <xdr:to>
      <xdr:col>8</xdr:col>
      <xdr:colOff>714375</xdr:colOff>
      <xdr:row>35</xdr:row>
      <xdr:rowOff>295275</xdr:rowOff>
    </xdr:to>
    <xdr:graphicFrame macro="">
      <xdr:nvGraphicFramePr>
        <xdr:cNvPr id="137" name="Chart 136">
          <a:extLst>
            <a:ext uri="{FF2B5EF4-FFF2-40B4-BE49-F238E27FC236}">
              <a16:creationId xmlns:a16="http://schemas.microsoft.com/office/drawing/2014/main" id="{00000000-0008-0000-0100-00008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9525</xdr:colOff>
      <xdr:row>32</xdr:row>
      <xdr:rowOff>0</xdr:rowOff>
    </xdr:from>
    <xdr:to>
      <xdr:col>8</xdr:col>
      <xdr:colOff>704850</xdr:colOff>
      <xdr:row>34</xdr:row>
      <xdr:rowOff>295275</xdr:rowOff>
    </xdr:to>
    <xdr:graphicFrame macro="">
      <xdr:nvGraphicFramePr>
        <xdr:cNvPr id="135" name="Chart 134">
          <a:extLst>
            <a:ext uri="{FF2B5EF4-FFF2-40B4-BE49-F238E27FC236}">
              <a16:creationId xmlns:a16="http://schemas.microsoft.com/office/drawing/2014/main" id="{00000000-0008-0000-0100-00008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19050</xdr:colOff>
      <xdr:row>30</xdr:row>
      <xdr:rowOff>295275</xdr:rowOff>
    </xdr:from>
    <xdr:to>
      <xdr:col>8</xdr:col>
      <xdr:colOff>714375</xdr:colOff>
      <xdr:row>34</xdr:row>
      <xdr:rowOff>19050</xdr:rowOff>
    </xdr:to>
    <xdr:graphicFrame macro="">
      <xdr:nvGraphicFramePr>
        <xdr:cNvPr id="136" name="Chart 135">
          <a:extLst>
            <a:ext uri="{FF2B5EF4-FFF2-40B4-BE49-F238E27FC236}">
              <a16:creationId xmlns:a16="http://schemas.microsoft.com/office/drawing/2014/main" id="{00000000-0008-0000-0100-00008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19050</xdr:colOff>
      <xdr:row>35</xdr:row>
      <xdr:rowOff>0</xdr:rowOff>
    </xdr:from>
    <xdr:to>
      <xdr:col>8</xdr:col>
      <xdr:colOff>714375</xdr:colOff>
      <xdr:row>37</xdr:row>
      <xdr:rowOff>295275</xdr:rowOff>
    </xdr:to>
    <xdr:graphicFrame macro="">
      <xdr:nvGraphicFramePr>
        <xdr:cNvPr id="138" name="Chart 137">
          <a:extLst>
            <a:ext uri="{FF2B5EF4-FFF2-40B4-BE49-F238E27FC236}">
              <a16:creationId xmlns:a16="http://schemas.microsoft.com/office/drawing/2014/main" id="{00000000-0008-0000-0100-00008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19050</xdr:colOff>
      <xdr:row>36</xdr:row>
      <xdr:rowOff>7844</xdr:rowOff>
    </xdr:from>
    <xdr:to>
      <xdr:col>8</xdr:col>
      <xdr:colOff>714375</xdr:colOff>
      <xdr:row>38</xdr:row>
      <xdr:rowOff>302559</xdr:rowOff>
    </xdr:to>
    <xdr:graphicFrame macro="">
      <xdr:nvGraphicFramePr>
        <xdr:cNvPr id="139" name="Chart 138">
          <a:extLst>
            <a:ext uri="{FF2B5EF4-FFF2-40B4-BE49-F238E27FC236}">
              <a16:creationId xmlns:a16="http://schemas.microsoft.com/office/drawing/2014/main" id="{00000000-0008-0000-0100-00008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19050</xdr:colOff>
      <xdr:row>37</xdr:row>
      <xdr:rowOff>9525</xdr:rowOff>
    </xdr:from>
    <xdr:to>
      <xdr:col>8</xdr:col>
      <xdr:colOff>714375</xdr:colOff>
      <xdr:row>39</xdr:row>
      <xdr:rowOff>304800</xdr:rowOff>
    </xdr:to>
    <xdr:graphicFrame macro="">
      <xdr:nvGraphicFramePr>
        <xdr:cNvPr id="140" name="Chart 139">
          <a:extLst>
            <a:ext uri="{FF2B5EF4-FFF2-40B4-BE49-F238E27FC236}">
              <a16:creationId xmlns:a16="http://schemas.microsoft.com/office/drawing/2014/main" id="{00000000-0008-0000-0100-00008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19050</xdr:colOff>
      <xdr:row>38</xdr:row>
      <xdr:rowOff>0</xdr:rowOff>
    </xdr:from>
    <xdr:to>
      <xdr:col>8</xdr:col>
      <xdr:colOff>714375</xdr:colOff>
      <xdr:row>40</xdr:row>
      <xdr:rowOff>295275</xdr:rowOff>
    </xdr:to>
    <xdr:graphicFrame macro="">
      <xdr:nvGraphicFramePr>
        <xdr:cNvPr id="141" name="Chart 140">
          <a:extLst>
            <a:ext uri="{FF2B5EF4-FFF2-40B4-BE49-F238E27FC236}">
              <a16:creationId xmlns:a16="http://schemas.microsoft.com/office/drawing/2014/main" id="{00000000-0008-0000-0100-00008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19050</xdr:colOff>
      <xdr:row>40</xdr:row>
      <xdr:rowOff>19051</xdr:rowOff>
    </xdr:from>
    <xdr:to>
      <xdr:col>8</xdr:col>
      <xdr:colOff>714375</xdr:colOff>
      <xdr:row>42</xdr:row>
      <xdr:rowOff>302559</xdr:rowOff>
    </xdr:to>
    <xdr:graphicFrame macro="">
      <xdr:nvGraphicFramePr>
        <xdr:cNvPr id="142" name="Chart 141">
          <a:extLst>
            <a:ext uri="{FF2B5EF4-FFF2-40B4-BE49-F238E27FC236}">
              <a16:creationId xmlns:a16="http://schemas.microsoft.com/office/drawing/2014/main" id="{00000000-0008-0000-0100-00008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824754</xdr:colOff>
      <xdr:row>24</xdr:row>
      <xdr:rowOff>145675</xdr:rowOff>
    </xdr:from>
    <xdr:to>
      <xdr:col>17</xdr:col>
      <xdr:colOff>365313</xdr:colOff>
      <xdr:row>41</xdr:row>
      <xdr:rowOff>147917</xdr:rowOff>
    </xdr:to>
    <xdr:grpSp>
      <xdr:nvGrpSpPr>
        <xdr:cNvPr id="7172" name="Group 7171">
          <a:extLst>
            <a:ext uri="{FF2B5EF4-FFF2-40B4-BE49-F238E27FC236}">
              <a16:creationId xmlns:a16="http://schemas.microsoft.com/office/drawing/2014/main" id="{00000000-0008-0000-0100-0000041C0000}"/>
            </a:ext>
          </a:extLst>
        </xdr:cNvPr>
        <xdr:cNvGrpSpPr/>
      </xdr:nvGrpSpPr>
      <xdr:grpSpPr>
        <a:xfrm>
          <a:off x="11815483" y="4977651"/>
          <a:ext cx="5788959" cy="5049372"/>
          <a:chOff x="10977283" y="5210735"/>
          <a:chExt cx="5569324" cy="5022477"/>
        </a:xfrm>
      </xdr:grpSpPr>
      <xdr:grpSp>
        <xdr:nvGrpSpPr>
          <xdr:cNvPr id="7170" name="Group 7169">
            <a:extLst>
              <a:ext uri="{FF2B5EF4-FFF2-40B4-BE49-F238E27FC236}">
                <a16:creationId xmlns:a16="http://schemas.microsoft.com/office/drawing/2014/main" id="{00000000-0008-0000-0100-0000021C0000}"/>
              </a:ext>
            </a:extLst>
          </xdr:cNvPr>
          <xdr:cNvGrpSpPr/>
        </xdr:nvGrpSpPr>
        <xdr:grpSpPr>
          <a:xfrm>
            <a:off x="10977283" y="5210735"/>
            <a:ext cx="1467971" cy="1277471"/>
            <a:chOff x="11004176" y="5266765"/>
            <a:chExt cx="1467971" cy="1277471"/>
          </a:xfrm>
        </xdr:grpSpPr>
        <xdr:graphicFrame macro="">
          <xdr:nvGraphicFramePr>
            <xdr:cNvPr id="143" name="Chart 142">
              <a:extLst>
                <a:ext uri="{FF2B5EF4-FFF2-40B4-BE49-F238E27FC236}">
                  <a16:creationId xmlns:a16="http://schemas.microsoft.com/office/drawing/2014/main" id="{00000000-0008-0000-0100-00008F000000}"/>
                </a:ext>
              </a:extLst>
            </xdr:cNvPr>
            <xdr:cNvGraphicFramePr>
              <a:graphicFrameLocks/>
            </xdr:cNvGraphicFramePr>
          </xdr:nvGraphicFramePr>
          <xdr:xfrm>
            <a:off x="11004176" y="5266765"/>
            <a:ext cx="1467971" cy="1277471"/>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46" name="TextBox 145">
              <a:extLst>
                <a:ext uri="{FF2B5EF4-FFF2-40B4-BE49-F238E27FC236}">
                  <a16:creationId xmlns:a16="http://schemas.microsoft.com/office/drawing/2014/main" id="{00000000-0008-0000-0100-000092000000}"/>
                </a:ext>
              </a:extLst>
            </xdr:cNvPr>
            <xdr:cNvSpPr txBox="1"/>
          </xdr:nvSpPr>
          <xdr:spPr>
            <a:xfrm>
              <a:off x="11340354" y="5670175"/>
              <a:ext cx="829235" cy="504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800" b="1">
                  <a:latin typeface="NSimSun" panose="02010609030101010101" pitchFamily="49" charset="-122"/>
                  <a:ea typeface="NSimSun" panose="02010609030101010101" pitchFamily="49" charset="-122"/>
                </a:rPr>
                <a:t>ML</a:t>
              </a:r>
            </a:p>
          </xdr:txBody>
        </xdr:sp>
      </xdr:grpSp>
      <xdr:grpSp>
        <xdr:nvGrpSpPr>
          <xdr:cNvPr id="7171" name="Group 7170">
            <a:extLst>
              <a:ext uri="{FF2B5EF4-FFF2-40B4-BE49-F238E27FC236}">
                <a16:creationId xmlns:a16="http://schemas.microsoft.com/office/drawing/2014/main" id="{00000000-0008-0000-0100-0000031C0000}"/>
              </a:ext>
            </a:extLst>
          </xdr:cNvPr>
          <xdr:cNvGrpSpPr/>
        </xdr:nvGrpSpPr>
        <xdr:grpSpPr>
          <a:xfrm>
            <a:off x="12344401" y="5210735"/>
            <a:ext cx="1467971" cy="1277471"/>
            <a:chOff x="12393706" y="5277971"/>
            <a:chExt cx="1467971" cy="1277471"/>
          </a:xfrm>
        </xdr:grpSpPr>
        <xdr:graphicFrame macro="">
          <xdr:nvGraphicFramePr>
            <xdr:cNvPr id="145" name="Chart 144">
              <a:extLst>
                <a:ext uri="{FF2B5EF4-FFF2-40B4-BE49-F238E27FC236}">
                  <a16:creationId xmlns:a16="http://schemas.microsoft.com/office/drawing/2014/main" id="{00000000-0008-0000-0100-000091000000}"/>
                </a:ext>
              </a:extLst>
            </xdr:cNvPr>
            <xdr:cNvGraphicFramePr>
              <a:graphicFrameLocks/>
            </xdr:cNvGraphicFramePr>
          </xdr:nvGraphicFramePr>
          <xdr:xfrm>
            <a:off x="12393706" y="5277971"/>
            <a:ext cx="1467971" cy="1277471"/>
          </xdr:xfrm>
          <a:graphic>
            <a:graphicData uri="http://schemas.openxmlformats.org/drawingml/2006/chart">
              <c:chart xmlns:c="http://schemas.openxmlformats.org/drawingml/2006/chart" xmlns:r="http://schemas.openxmlformats.org/officeDocument/2006/relationships" r:id="rId18"/>
            </a:graphicData>
          </a:graphic>
        </xdr:graphicFrame>
        <xdr:sp macro="" textlink="">
          <xdr:nvSpPr>
            <xdr:cNvPr id="148" name="TextBox 147">
              <a:extLst>
                <a:ext uri="{FF2B5EF4-FFF2-40B4-BE49-F238E27FC236}">
                  <a16:creationId xmlns:a16="http://schemas.microsoft.com/office/drawing/2014/main" id="{00000000-0008-0000-0100-000094000000}"/>
                </a:ext>
              </a:extLst>
            </xdr:cNvPr>
            <xdr:cNvSpPr txBox="1"/>
          </xdr:nvSpPr>
          <xdr:spPr>
            <a:xfrm>
              <a:off x="12696266" y="5658971"/>
              <a:ext cx="829235" cy="504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800" b="1">
                  <a:latin typeface="NSimSun" panose="02010609030101010101" pitchFamily="49" charset="-122"/>
                  <a:ea typeface="NSimSun" panose="02010609030101010101" pitchFamily="49" charset="-122"/>
                </a:rPr>
                <a:t>NC</a:t>
              </a:r>
            </a:p>
          </xdr:txBody>
        </xdr:sp>
      </xdr:grpSp>
      <xdr:grpSp>
        <xdr:nvGrpSpPr>
          <xdr:cNvPr id="150" name="Group 149">
            <a:extLst>
              <a:ext uri="{FF2B5EF4-FFF2-40B4-BE49-F238E27FC236}">
                <a16:creationId xmlns:a16="http://schemas.microsoft.com/office/drawing/2014/main" id="{00000000-0008-0000-0100-000096000000}"/>
              </a:ext>
            </a:extLst>
          </xdr:cNvPr>
          <xdr:cNvGrpSpPr/>
        </xdr:nvGrpSpPr>
        <xdr:grpSpPr>
          <a:xfrm>
            <a:off x="13711519" y="5210735"/>
            <a:ext cx="1467971" cy="1277471"/>
            <a:chOff x="12393706" y="5277971"/>
            <a:chExt cx="1467971" cy="1277471"/>
          </a:xfrm>
        </xdr:grpSpPr>
        <xdr:graphicFrame macro="">
          <xdr:nvGraphicFramePr>
            <xdr:cNvPr id="151" name="Chart 150">
              <a:extLst>
                <a:ext uri="{FF2B5EF4-FFF2-40B4-BE49-F238E27FC236}">
                  <a16:creationId xmlns:a16="http://schemas.microsoft.com/office/drawing/2014/main" id="{00000000-0008-0000-0100-000097000000}"/>
                </a:ext>
              </a:extLst>
            </xdr:cNvPr>
            <xdr:cNvGraphicFramePr>
              <a:graphicFrameLocks/>
            </xdr:cNvGraphicFramePr>
          </xdr:nvGraphicFramePr>
          <xdr:xfrm>
            <a:off x="12393706" y="5277971"/>
            <a:ext cx="1467971" cy="1277471"/>
          </xdr:xfrm>
          <a:graphic>
            <a:graphicData uri="http://schemas.openxmlformats.org/drawingml/2006/chart">
              <c:chart xmlns:c="http://schemas.openxmlformats.org/drawingml/2006/chart" xmlns:r="http://schemas.openxmlformats.org/officeDocument/2006/relationships" r:id="rId19"/>
            </a:graphicData>
          </a:graphic>
        </xdr:graphicFrame>
        <xdr:sp macro="" textlink="">
          <xdr:nvSpPr>
            <xdr:cNvPr id="152" name="TextBox 151">
              <a:extLst>
                <a:ext uri="{FF2B5EF4-FFF2-40B4-BE49-F238E27FC236}">
                  <a16:creationId xmlns:a16="http://schemas.microsoft.com/office/drawing/2014/main" id="{00000000-0008-0000-0100-000098000000}"/>
                </a:ext>
              </a:extLst>
            </xdr:cNvPr>
            <xdr:cNvSpPr txBox="1"/>
          </xdr:nvSpPr>
          <xdr:spPr>
            <a:xfrm>
              <a:off x="12696266" y="5658971"/>
              <a:ext cx="829235" cy="504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800" b="1">
                  <a:latin typeface="NSimSun" panose="02010609030101010101" pitchFamily="49" charset="-122"/>
                  <a:ea typeface="NSimSun" panose="02010609030101010101" pitchFamily="49" charset="-122"/>
                </a:rPr>
                <a:t>FG</a:t>
              </a:r>
            </a:p>
          </xdr:txBody>
        </xdr:sp>
      </xdr:grpSp>
      <xdr:grpSp>
        <xdr:nvGrpSpPr>
          <xdr:cNvPr id="153" name="Group 152">
            <a:extLst>
              <a:ext uri="{FF2B5EF4-FFF2-40B4-BE49-F238E27FC236}">
                <a16:creationId xmlns:a16="http://schemas.microsoft.com/office/drawing/2014/main" id="{00000000-0008-0000-0100-000099000000}"/>
              </a:ext>
            </a:extLst>
          </xdr:cNvPr>
          <xdr:cNvGrpSpPr/>
        </xdr:nvGrpSpPr>
        <xdr:grpSpPr>
          <a:xfrm>
            <a:off x="15078636" y="5210735"/>
            <a:ext cx="1467971" cy="1277471"/>
            <a:chOff x="12393706" y="5277971"/>
            <a:chExt cx="1467971" cy="1277471"/>
          </a:xfrm>
        </xdr:grpSpPr>
        <xdr:graphicFrame macro="">
          <xdr:nvGraphicFramePr>
            <xdr:cNvPr id="154" name="Chart 153">
              <a:extLst>
                <a:ext uri="{FF2B5EF4-FFF2-40B4-BE49-F238E27FC236}">
                  <a16:creationId xmlns:a16="http://schemas.microsoft.com/office/drawing/2014/main" id="{00000000-0008-0000-0100-00009A000000}"/>
                </a:ext>
              </a:extLst>
            </xdr:cNvPr>
            <xdr:cNvGraphicFramePr>
              <a:graphicFrameLocks/>
            </xdr:cNvGraphicFramePr>
          </xdr:nvGraphicFramePr>
          <xdr:xfrm>
            <a:off x="12393706" y="5277971"/>
            <a:ext cx="1467971" cy="1277471"/>
          </xdr:xfrm>
          <a:graphic>
            <a:graphicData uri="http://schemas.openxmlformats.org/drawingml/2006/chart">
              <c:chart xmlns:c="http://schemas.openxmlformats.org/drawingml/2006/chart" xmlns:r="http://schemas.openxmlformats.org/officeDocument/2006/relationships" r:id="rId20"/>
            </a:graphicData>
          </a:graphic>
        </xdr:graphicFrame>
        <xdr:sp macro="" textlink="">
          <xdr:nvSpPr>
            <xdr:cNvPr id="155" name="TextBox 154">
              <a:extLst>
                <a:ext uri="{FF2B5EF4-FFF2-40B4-BE49-F238E27FC236}">
                  <a16:creationId xmlns:a16="http://schemas.microsoft.com/office/drawing/2014/main" id="{00000000-0008-0000-0100-00009B000000}"/>
                </a:ext>
              </a:extLst>
            </xdr:cNvPr>
            <xdr:cNvSpPr txBox="1"/>
          </xdr:nvSpPr>
          <xdr:spPr>
            <a:xfrm>
              <a:off x="12696266" y="5658971"/>
              <a:ext cx="829235" cy="504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800" b="1">
                  <a:latin typeface="NSimSun" panose="02010609030101010101" pitchFamily="49" charset="-122"/>
                  <a:ea typeface="NSimSun" panose="02010609030101010101" pitchFamily="49" charset="-122"/>
                </a:rPr>
                <a:t>IC</a:t>
              </a:r>
            </a:p>
          </xdr:txBody>
        </xdr:sp>
      </xdr:grpSp>
      <xdr:grpSp>
        <xdr:nvGrpSpPr>
          <xdr:cNvPr id="156" name="Group 155">
            <a:extLst>
              <a:ext uri="{FF2B5EF4-FFF2-40B4-BE49-F238E27FC236}">
                <a16:creationId xmlns:a16="http://schemas.microsoft.com/office/drawing/2014/main" id="{00000000-0008-0000-0100-00009C000000}"/>
              </a:ext>
            </a:extLst>
          </xdr:cNvPr>
          <xdr:cNvGrpSpPr/>
        </xdr:nvGrpSpPr>
        <xdr:grpSpPr>
          <a:xfrm>
            <a:off x="10977283" y="6459070"/>
            <a:ext cx="1467971" cy="1277471"/>
            <a:chOff x="12393706" y="5277971"/>
            <a:chExt cx="1467971" cy="1277471"/>
          </a:xfrm>
        </xdr:grpSpPr>
        <xdr:graphicFrame macro="">
          <xdr:nvGraphicFramePr>
            <xdr:cNvPr id="157" name="Chart 156">
              <a:extLst>
                <a:ext uri="{FF2B5EF4-FFF2-40B4-BE49-F238E27FC236}">
                  <a16:creationId xmlns:a16="http://schemas.microsoft.com/office/drawing/2014/main" id="{00000000-0008-0000-0100-00009D000000}"/>
                </a:ext>
              </a:extLst>
            </xdr:cNvPr>
            <xdr:cNvGraphicFramePr>
              <a:graphicFrameLocks/>
            </xdr:cNvGraphicFramePr>
          </xdr:nvGraphicFramePr>
          <xdr:xfrm>
            <a:off x="12393706" y="5277971"/>
            <a:ext cx="1467971" cy="1277471"/>
          </xdr:xfrm>
          <a:graphic>
            <a:graphicData uri="http://schemas.openxmlformats.org/drawingml/2006/chart">
              <c:chart xmlns:c="http://schemas.openxmlformats.org/drawingml/2006/chart" xmlns:r="http://schemas.openxmlformats.org/officeDocument/2006/relationships" r:id="rId21"/>
            </a:graphicData>
          </a:graphic>
        </xdr:graphicFrame>
        <xdr:sp macro="" textlink="">
          <xdr:nvSpPr>
            <xdr:cNvPr id="158" name="TextBox 157">
              <a:extLst>
                <a:ext uri="{FF2B5EF4-FFF2-40B4-BE49-F238E27FC236}">
                  <a16:creationId xmlns:a16="http://schemas.microsoft.com/office/drawing/2014/main" id="{00000000-0008-0000-0100-00009E000000}"/>
                </a:ext>
              </a:extLst>
            </xdr:cNvPr>
            <xdr:cNvSpPr txBox="1"/>
          </xdr:nvSpPr>
          <xdr:spPr>
            <a:xfrm>
              <a:off x="12696266" y="5658971"/>
              <a:ext cx="829235" cy="504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800" b="1">
                  <a:latin typeface="NSimSun" panose="02010609030101010101" pitchFamily="49" charset="-122"/>
                  <a:ea typeface="NSimSun" panose="02010609030101010101" pitchFamily="49" charset="-122"/>
                </a:rPr>
                <a:t>GC</a:t>
              </a:r>
            </a:p>
          </xdr:txBody>
        </xdr:sp>
      </xdr:grpSp>
      <xdr:grpSp>
        <xdr:nvGrpSpPr>
          <xdr:cNvPr id="159" name="Group 158">
            <a:extLst>
              <a:ext uri="{FF2B5EF4-FFF2-40B4-BE49-F238E27FC236}">
                <a16:creationId xmlns:a16="http://schemas.microsoft.com/office/drawing/2014/main" id="{00000000-0008-0000-0100-00009F000000}"/>
              </a:ext>
            </a:extLst>
          </xdr:cNvPr>
          <xdr:cNvGrpSpPr/>
        </xdr:nvGrpSpPr>
        <xdr:grpSpPr>
          <a:xfrm>
            <a:off x="12344401" y="6459070"/>
            <a:ext cx="1467971" cy="1277471"/>
            <a:chOff x="12393706" y="5277971"/>
            <a:chExt cx="1467971" cy="1277471"/>
          </a:xfrm>
        </xdr:grpSpPr>
        <xdr:graphicFrame macro="">
          <xdr:nvGraphicFramePr>
            <xdr:cNvPr id="160" name="Chart 159">
              <a:extLst>
                <a:ext uri="{FF2B5EF4-FFF2-40B4-BE49-F238E27FC236}">
                  <a16:creationId xmlns:a16="http://schemas.microsoft.com/office/drawing/2014/main" id="{00000000-0008-0000-0100-0000A0000000}"/>
                </a:ext>
              </a:extLst>
            </xdr:cNvPr>
            <xdr:cNvGraphicFramePr>
              <a:graphicFrameLocks/>
            </xdr:cNvGraphicFramePr>
          </xdr:nvGraphicFramePr>
          <xdr:xfrm>
            <a:off x="12393706" y="5277971"/>
            <a:ext cx="1467971" cy="1277471"/>
          </xdr:xfrm>
          <a:graphic>
            <a:graphicData uri="http://schemas.openxmlformats.org/drawingml/2006/chart">
              <c:chart xmlns:c="http://schemas.openxmlformats.org/drawingml/2006/chart" xmlns:r="http://schemas.openxmlformats.org/officeDocument/2006/relationships" r:id="rId22"/>
            </a:graphicData>
          </a:graphic>
        </xdr:graphicFrame>
        <xdr:sp macro="" textlink="">
          <xdr:nvSpPr>
            <xdr:cNvPr id="161" name="TextBox 160">
              <a:extLst>
                <a:ext uri="{FF2B5EF4-FFF2-40B4-BE49-F238E27FC236}">
                  <a16:creationId xmlns:a16="http://schemas.microsoft.com/office/drawing/2014/main" id="{00000000-0008-0000-0100-0000A1000000}"/>
                </a:ext>
              </a:extLst>
            </xdr:cNvPr>
            <xdr:cNvSpPr txBox="1"/>
          </xdr:nvSpPr>
          <xdr:spPr>
            <a:xfrm>
              <a:off x="12696266" y="5658971"/>
              <a:ext cx="829235" cy="504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800" b="1">
                  <a:latin typeface="NSimSun" panose="02010609030101010101" pitchFamily="49" charset="-122"/>
                  <a:ea typeface="NSimSun" panose="02010609030101010101" pitchFamily="49" charset="-122"/>
                </a:rPr>
                <a:t>SF</a:t>
              </a:r>
            </a:p>
          </xdr:txBody>
        </xdr:sp>
      </xdr:grpSp>
      <xdr:grpSp>
        <xdr:nvGrpSpPr>
          <xdr:cNvPr id="162" name="Group 161">
            <a:extLst>
              <a:ext uri="{FF2B5EF4-FFF2-40B4-BE49-F238E27FC236}">
                <a16:creationId xmlns:a16="http://schemas.microsoft.com/office/drawing/2014/main" id="{00000000-0008-0000-0100-0000A2000000}"/>
              </a:ext>
            </a:extLst>
          </xdr:cNvPr>
          <xdr:cNvGrpSpPr/>
        </xdr:nvGrpSpPr>
        <xdr:grpSpPr>
          <a:xfrm>
            <a:off x="13711519" y="6459070"/>
            <a:ext cx="1467971" cy="1277471"/>
            <a:chOff x="12393706" y="5277971"/>
            <a:chExt cx="1467971" cy="1277471"/>
          </a:xfrm>
        </xdr:grpSpPr>
        <xdr:graphicFrame macro="">
          <xdr:nvGraphicFramePr>
            <xdr:cNvPr id="163" name="Chart 162">
              <a:extLst>
                <a:ext uri="{FF2B5EF4-FFF2-40B4-BE49-F238E27FC236}">
                  <a16:creationId xmlns:a16="http://schemas.microsoft.com/office/drawing/2014/main" id="{00000000-0008-0000-0100-0000A3000000}"/>
                </a:ext>
              </a:extLst>
            </xdr:cNvPr>
            <xdr:cNvGraphicFramePr>
              <a:graphicFrameLocks/>
            </xdr:cNvGraphicFramePr>
          </xdr:nvGraphicFramePr>
          <xdr:xfrm>
            <a:off x="12393706" y="5277971"/>
            <a:ext cx="1467971" cy="1277471"/>
          </xdr:xfrm>
          <a:graphic>
            <a:graphicData uri="http://schemas.openxmlformats.org/drawingml/2006/chart">
              <c:chart xmlns:c="http://schemas.openxmlformats.org/drawingml/2006/chart" xmlns:r="http://schemas.openxmlformats.org/officeDocument/2006/relationships" r:id="rId23"/>
            </a:graphicData>
          </a:graphic>
        </xdr:graphicFrame>
        <xdr:sp macro="" textlink="">
          <xdr:nvSpPr>
            <xdr:cNvPr id="164" name="TextBox 163">
              <a:extLst>
                <a:ext uri="{FF2B5EF4-FFF2-40B4-BE49-F238E27FC236}">
                  <a16:creationId xmlns:a16="http://schemas.microsoft.com/office/drawing/2014/main" id="{00000000-0008-0000-0100-0000A4000000}"/>
                </a:ext>
              </a:extLst>
            </xdr:cNvPr>
            <xdr:cNvSpPr txBox="1"/>
          </xdr:nvSpPr>
          <xdr:spPr>
            <a:xfrm>
              <a:off x="12696266" y="5658971"/>
              <a:ext cx="829235" cy="504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800" b="1">
                  <a:latin typeface="NSimSun" panose="02010609030101010101" pitchFamily="49" charset="-122"/>
                  <a:ea typeface="NSimSun" panose="02010609030101010101" pitchFamily="49" charset="-122"/>
                </a:rPr>
                <a:t>SP</a:t>
              </a:r>
            </a:p>
          </xdr:txBody>
        </xdr:sp>
      </xdr:grpSp>
      <xdr:grpSp>
        <xdr:nvGrpSpPr>
          <xdr:cNvPr id="165" name="Group 164">
            <a:extLst>
              <a:ext uri="{FF2B5EF4-FFF2-40B4-BE49-F238E27FC236}">
                <a16:creationId xmlns:a16="http://schemas.microsoft.com/office/drawing/2014/main" id="{00000000-0008-0000-0100-0000A5000000}"/>
              </a:ext>
            </a:extLst>
          </xdr:cNvPr>
          <xdr:cNvGrpSpPr/>
        </xdr:nvGrpSpPr>
        <xdr:grpSpPr>
          <a:xfrm>
            <a:off x="15078636" y="6459070"/>
            <a:ext cx="1467971" cy="1277471"/>
            <a:chOff x="12393706" y="5277971"/>
            <a:chExt cx="1467971" cy="1277471"/>
          </a:xfrm>
        </xdr:grpSpPr>
        <xdr:graphicFrame macro="">
          <xdr:nvGraphicFramePr>
            <xdr:cNvPr id="166" name="Chart 165">
              <a:extLst>
                <a:ext uri="{FF2B5EF4-FFF2-40B4-BE49-F238E27FC236}">
                  <a16:creationId xmlns:a16="http://schemas.microsoft.com/office/drawing/2014/main" id="{00000000-0008-0000-0100-0000A6000000}"/>
                </a:ext>
              </a:extLst>
            </xdr:cNvPr>
            <xdr:cNvGraphicFramePr>
              <a:graphicFrameLocks/>
            </xdr:cNvGraphicFramePr>
          </xdr:nvGraphicFramePr>
          <xdr:xfrm>
            <a:off x="12393706" y="5277971"/>
            <a:ext cx="1467971" cy="1277471"/>
          </xdr:xfrm>
          <a:graphic>
            <a:graphicData uri="http://schemas.openxmlformats.org/drawingml/2006/chart">
              <c:chart xmlns:c="http://schemas.openxmlformats.org/drawingml/2006/chart" xmlns:r="http://schemas.openxmlformats.org/officeDocument/2006/relationships" r:id="rId24"/>
            </a:graphicData>
          </a:graphic>
        </xdr:graphicFrame>
        <xdr:sp macro="" textlink="">
          <xdr:nvSpPr>
            <xdr:cNvPr id="167" name="TextBox 166">
              <a:extLst>
                <a:ext uri="{FF2B5EF4-FFF2-40B4-BE49-F238E27FC236}">
                  <a16:creationId xmlns:a16="http://schemas.microsoft.com/office/drawing/2014/main" id="{00000000-0008-0000-0100-0000A7000000}"/>
                </a:ext>
              </a:extLst>
            </xdr:cNvPr>
            <xdr:cNvSpPr txBox="1"/>
          </xdr:nvSpPr>
          <xdr:spPr>
            <a:xfrm>
              <a:off x="12696266" y="5658971"/>
              <a:ext cx="829235" cy="504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800" b="1">
                  <a:latin typeface="NSimSun" panose="02010609030101010101" pitchFamily="49" charset="-122"/>
                  <a:ea typeface="NSimSun" panose="02010609030101010101" pitchFamily="49" charset="-122"/>
                </a:rPr>
                <a:t>CD</a:t>
              </a:r>
            </a:p>
          </xdr:txBody>
        </xdr:sp>
      </xdr:grpSp>
      <xdr:grpSp>
        <xdr:nvGrpSpPr>
          <xdr:cNvPr id="169" name="Group 168">
            <a:extLst>
              <a:ext uri="{FF2B5EF4-FFF2-40B4-BE49-F238E27FC236}">
                <a16:creationId xmlns:a16="http://schemas.microsoft.com/office/drawing/2014/main" id="{00000000-0008-0000-0100-0000A9000000}"/>
              </a:ext>
            </a:extLst>
          </xdr:cNvPr>
          <xdr:cNvGrpSpPr/>
        </xdr:nvGrpSpPr>
        <xdr:grpSpPr>
          <a:xfrm>
            <a:off x="10977283" y="7707405"/>
            <a:ext cx="1467971" cy="1277471"/>
            <a:chOff x="12393706" y="5277971"/>
            <a:chExt cx="1467971" cy="1277471"/>
          </a:xfrm>
        </xdr:grpSpPr>
        <xdr:graphicFrame macro="">
          <xdr:nvGraphicFramePr>
            <xdr:cNvPr id="170" name="Chart 169">
              <a:extLst>
                <a:ext uri="{FF2B5EF4-FFF2-40B4-BE49-F238E27FC236}">
                  <a16:creationId xmlns:a16="http://schemas.microsoft.com/office/drawing/2014/main" id="{00000000-0008-0000-0100-0000AA000000}"/>
                </a:ext>
              </a:extLst>
            </xdr:cNvPr>
            <xdr:cNvGraphicFramePr>
              <a:graphicFrameLocks/>
            </xdr:cNvGraphicFramePr>
          </xdr:nvGraphicFramePr>
          <xdr:xfrm>
            <a:off x="12393706" y="5277971"/>
            <a:ext cx="1467971" cy="1277471"/>
          </xdr:xfrm>
          <a:graphic>
            <a:graphicData uri="http://schemas.openxmlformats.org/drawingml/2006/chart">
              <c:chart xmlns:c="http://schemas.openxmlformats.org/drawingml/2006/chart" xmlns:r="http://schemas.openxmlformats.org/officeDocument/2006/relationships" r:id="rId25"/>
            </a:graphicData>
          </a:graphic>
        </xdr:graphicFrame>
        <xdr:sp macro="" textlink="">
          <xdr:nvSpPr>
            <xdr:cNvPr id="171" name="TextBox 170">
              <a:extLst>
                <a:ext uri="{FF2B5EF4-FFF2-40B4-BE49-F238E27FC236}">
                  <a16:creationId xmlns:a16="http://schemas.microsoft.com/office/drawing/2014/main" id="{00000000-0008-0000-0100-0000AB000000}"/>
                </a:ext>
              </a:extLst>
            </xdr:cNvPr>
            <xdr:cNvSpPr txBox="1"/>
          </xdr:nvSpPr>
          <xdr:spPr>
            <a:xfrm>
              <a:off x="12696266" y="5658971"/>
              <a:ext cx="829235" cy="504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800" b="1">
                  <a:latin typeface="NSimSun" panose="02010609030101010101" pitchFamily="49" charset="-122"/>
                  <a:ea typeface="NSimSun" panose="02010609030101010101" pitchFamily="49" charset="-122"/>
                </a:rPr>
                <a:t>KR</a:t>
              </a:r>
            </a:p>
          </xdr:txBody>
        </xdr:sp>
      </xdr:grpSp>
      <xdr:grpSp>
        <xdr:nvGrpSpPr>
          <xdr:cNvPr id="172" name="Group 171">
            <a:extLst>
              <a:ext uri="{FF2B5EF4-FFF2-40B4-BE49-F238E27FC236}">
                <a16:creationId xmlns:a16="http://schemas.microsoft.com/office/drawing/2014/main" id="{00000000-0008-0000-0100-0000AC000000}"/>
              </a:ext>
            </a:extLst>
          </xdr:cNvPr>
          <xdr:cNvGrpSpPr/>
        </xdr:nvGrpSpPr>
        <xdr:grpSpPr>
          <a:xfrm>
            <a:off x="12344401" y="7707405"/>
            <a:ext cx="1467971" cy="1277471"/>
            <a:chOff x="12393706" y="5277971"/>
            <a:chExt cx="1467971" cy="1277471"/>
          </a:xfrm>
        </xdr:grpSpPr>
        <xdr:graphicFrame macro="">
          <xdr:nvGraphicFramePr>
            <xdr:cNvPr id="173" name="Chart 172">
              <a:extLst>
                <a:ext uri="{FF2B5EF4-FFF2-40B4-BE49-F238E27FC236}">
                  <a16:creationId xmlns:a16="http://schemas.microsoft.com/office/drawing/2014/main" id="{00000000-0008-0000-0100-0000AD000000}"/>
                </a:ext>
              </a:extLst>
            </xdr:cNvPr>
            <xdr:cNvGraphicFramePr>
              <a:graphicFrameLocks/>
            </xdr:cNvGraphicFramePr>
          </xdr:nvGraphicFramePr>
          <xdr:xfrm>
            <a:off x="12393706" y="5277971"/>
            <a:ext cx="1467971" cy="1277471"/>
          </xdr:xfrm>
          <a:graphic>
            <a:graphicData uri="http://schemas.openxmlformats.org/drawingml/2006/chart">
              <c:chart xmlns:c="http://schemas.openxmlformats.org/drawingml/2006/chart" xmlns:r="http://schemas.openxmlformats.org/officeDocument/2006/relationships" r:id="rId26"/>
            </a:graphicData>
          </a:graphic>
        </xdr:graphicFrame>
        <xdr:sp macro="" textlink="">
          <xdr:nvSpPr>
            <xdr:cNvPr id="174" name="TextBox 173">
              <a:extLst>
                <a:ext uri="{FF2B5EF4-FFF2-40B4-BE49-F238E27FC236}">
                  <a16:creationId xmlns:a16="http://schemas.microsoft.com/office/drawing/2014/main" id="{00000000-0008-0000-0100-0000AE000000}"/>
                </a:ext>
              </a:extLst>
            </xdr:cNvPr>
            <xdr:cNvSpPr txBox="1"/>
          </xdr:nvSpPr>
          <xdr:spPr>
            <a:xfrm>
              <a:off x="12696266" y="5658971"/>
              <a:ext cx="829235" cy="504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800" b="1">
                  <a:latin typeface="NSimSun" panose="02010609030101010101" pitchFamily="49" charset="-122"/>
                  <a:ea typeface="NSimSun" panose="02010609030101010101" pitchFamily="49" charset="-122"/>
                </a:rPr>
                <a:t>PA</a:t>
              </a:r>
            </a:p>
          </xdr:txBody>
        </xdr:sp>
      </xdr:grpSp>
      <xdr:grpSp>
        <xdr:nvGrpSpPr>
          <xdr:cNvPr id="175" name="Group 174">
            <a:extLst>
              <a:ext uri="{FF2B5EF4-FFF2-40B4-BE49-F238E27FC236}">
                <a16:creationId xmlns:a16="http://schemas.microsoft.com/office/drawing/2014/main" id="{00000000-0008-0000-0100-0000AF000000}"/>
              </a:ext>
            </a:extLst>
          </xdr:cNvPr>
          <xdr:cNvGrpSpPr/>
        </xdr:nvGrpSpPr>
        <xdr:grpSpPr>
          <a:xfrm>
            <a:off x="13711519" y="7707405"/>
            <a:ext cx="1467971" cy="1277471"/>
            <a:chOff x="12393706" y="5277971"/>
            <a:chExt cx="1467971" cy="1277471"/>
          </a:xfrm>
        </xdr:grpSpPr>
        <xdr:graphicFrame macro="">
          <xdr:nvGraphicFramePr>
            <xdr:cNvPr id="176" name="Chart 175">
              <a:extLst>
                <a:ext uri="{FF2B5EF4-FFF2-40B4-BE49-F238E27FC236}">
                  <a16:creationId xmlns:a16="http://schemas.microsoft.com/office/drawing/2014/main" id="{00000000-0008-0000-0100-0000B0000000}"/>
                </a:ext>
              </a:extLst>
            </xdr:cNvPr>
            <xdr:cNvGraphicFramePr>
              <a:graphicFrameLocks/>
            </xdr:cNvGraphicFramePr>
          </xdr:nvGraphicFramePr>
          <xdr:xfrm>
            <a:off x="12393706" y="5277971"/>
            <a:ext cx="1467971" cy="1277471"/>
          </xdr:xfrm>
          <a:graphic>
            <a:graphicData uri="http://schemas.openxmlformats.org/drawingml/2006/chart">
              <c:chart xmlns:c="http://schemas.openxmlformats.org/drawingml/2006/chart" xmlns:r="http://schemas.openxmlformats.org/officeDocument/2006/relationships" r:id="rId27"/>
            </a:graphicData>
          </a:graphic>
        </xdr:graphicFrame>
        <xdr:sp macro="" textlink="">
          <xdr:nvSpPr>
            <xdr:cNvPr id="177" name="TextBox 176">
              <a:extLst>
                <a:ext uri="{FF2B5EF4-FFF2-40B4-BE49-F238E27FC236}">
                  <a16:creationId xmlns:a16="http://schemas.microsoft.com/office/drawing/2014/main" id="{00000000-0008-0000-0100-0000B1000000}"/>
                </a:ext>
              </a:extLst>
            </xdr:cNvPr>
            <xdr:cNvSpPr txBox="1"/>
          </xdr:nvSpPr>
          <xdr:spPr>
            <a:xfrm>
              <a:off x="12696266" y="5658971"/>
              <a:ext cx="829235" cy="504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800" b="1">
                  <a:latin typeface="NSimSun" panose="02010609030101010101" pitchFamily="49" charset="-122"/>
                  <a:ea typeface="NSimSun" panose="02010609030101010101" pitchFamily="49" charset="-122"/>
                </a:rPr>
                <a:t>FS</a:t>
              </a:r>
            </a:p>
          </xdr:txBody>
        </xdr:sp>
      </xdr:grpSp>
      <xdr:grpSp>
        <xdr:nvGrpSpPr>
          <xdr:cNvPr id="178" name="Group 177">
            <a:extLst>
              <a:ext uri="{FF2B5EF4-FFF2-40B4-BE49-F238E27FC236}">
                <a16:creationId xmlns:a16="http://schemas.microsoft.com/office/drawing/2014/main" id="{00000000-0008-0000-0100-0000B2000000}"/>
              </a:ext>
            </a:extLst>
          </xdr:cNvPr>
          <xdr:cNvGrpSpPr/>
        </xdr:nvGrpSpPr>
        <xdr:grpSpPr>
          <a:xfrm>
            <a:off x="15078636" y="7707405"/>
            <a:ext cx="1467971" cy="1277471"/>
            <a:chOff x="12393706" y="5277971"/>
            <a:chExt cx="1467971" cy="1277471"/>
          </a:xfrm>
        </xdr:grpSpPr>
        <xdr:graphicFrame macro="">
          <xdr:nvGraphicFramePr>
            <xdr:cNvPr id="179" name="Chart 178">
              <a:extLst>
                <a:ext uri="{FF2B5EF4-FFF2-40B4-BE49-F238E27FC236}">
                  <a16:creationId xmlns:a16="http://schemas.microsoft.com/office/drawing/2014/main" id="{00000000-0008-0000-0100-0000B3000000}"/>
                </a:ext>
              </a:extLst>
            </xdr:cNvPr>
            <xdr:cNvGraphicFramePr>
              <a:graphicFrameLocks/>
            </xdr:cNvGraphicFramePr>
          </xdr:nvGraphicFramePr>
          <xdr:xfrm>
            <a:off x="12393706" y="5277971"/>
            <a:ext cx="1467971" cy="1277471"/>
          </xdr:xfrm>
          <a:graphic>
            <a:graphicData uri="http://schemas.openxmlformats.org/drawingml/2006/chart">
              <c:chart xmlns:c="http://schemas.openxmlformats.org/drawingml/2006/chart" xmlns:r="http://schemas.openxmlformats.org/officeDocument/2006/relationships" r:id="rId28"/>
            </a:graphicData>
          </a:graphic>
        </xdr:graphicFrame>
        <xdr:sp macro="" textlink="">
          <xdr:nvSpPr>
            <xdr:cNvPr id="180" name="TextBox 179">
              <a:extLst>
                <a:ext uri="{FF2B5EF4-FFF2-40B4-BE49-F238E27FC236}">
                  <a16:creationId xmlns:a16="http://schemas.microsoft.com/office/drawing/2014/main" id="{00000000-0008-0000-0100-0000B4000000}"/>
                </a:ext>
              </a:extLst>
            </xdr:cNvPr>
            <xdr:cNvSpPr txBox="1"/>
          </xdr:nvSpPr>
          <xdr:spPr>
            <a:xfrm>
              <a:off x="12696266" y="5658971"/>
              <a:ext cx="829235" cy="504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800" b="1">
                  <a:latin typeface="NSimSun" panose="02010609030101010101" pitchFamily="49" charset="-122"/>
                  <a:ea typeface="NSimSun" panose="02010609030101010101" pitchFamily="49" charset="-122"/>
                </a:rPr>
                <a:t>DG</a:t>
              </a:r>
            </a:p>
          </xdr:txBody>
        </xdr:sp>
      </xdr:grpSp>
      <xdr:grpSp>
        <xdr:nvGrpSpPr>
          <xdr:cNvPr id="182" name="Group 181">
            <a:extLst>
              <a:ext uri="{FF2B5EF4-FFF2-40B4-BE49-F238E27FC236}">
                <a16:creationId xmlns:a16="http://schemas.microsoft.com/office/drawing/2014/main" id="{00000000-0008-0000-0100-0000B6000000}"/>
              </a:ext>
            </a:extLst>
          </xdr:cNvPr>
          <xdr:cNvGrpSpPr/>
        </xdr:nvGrpSpPr>
        <xdr:grpSpPr>
          <a:xfrm>
            <a:off x="10977283" y="8955741"/>
            <a:ext cx="1467971" cy="1277471"/>
            <a:chOff x="12393706" y="5277971"/>
            <a:chExt cx="1467971" cy="1277471"/>
          </a:xfrm>
        </xdr:grpSpPr>
        <xdr:graphicFrame macro="">
          <xdr:nvGraphicFramePr>
            <xdr:cNvPr id="183" name="Chart 182">
              <a:extLst>
                <a:ext uri="{FF2B5EF4-FFF2-40B4-BE49-F238E27FC236}">
                  <a16:creationId xmlns:a16="http://schemas.microsoft.com/office/drawing/2014/main" id="{00000000-0008-0000-0100-0000B7000000}"/>
                </a:ext>
              </a:extLst>
            </xdr:cNvPr>
            <xdr:cNvGraphicFramePr>
              <a:graphicFrameLocks/>
            </xdr:cNvGraphicFramePr>
          </xdr:nvGraphicFramePr>
          <xdr:xfrm>
            <a:off x="12393706" y="5277971"/>
            <a:ext cx="1467971" cy="1277471"/>
          </xdr:xfrm>
          <a:graphic>
            <a:graphicData uri="http://schemas.openxmlformats.org/drawingml/2006/chart">
              <c:chart xmlns:c="http://schemas.openxmlformats.org/drawingml/2006/chart" xmlns:r="http://schemas.openxmlformats.org/officeDocument/2006/relationships" r:id="rId29"/>
            </a:graphicData>
          </a:graphic>
        </xdr:graphicFrame>
        <xdr:sp macro="" textlink="">
          <xdr:nvSpPr>
            <xdr:cNvPr id="184" name="TextBox 183">
              <a:extLst>
                <a:ext uri="{FF2B5EF4-FFF2-40B4-BE49-F238E27FC236}">
                  <a16:creationId xmlns:a16="http://schemas.microsoft.com/office/drawing/2014/main" id="{00000000-0008-0000-0100-0000B8000000}"/>
                </a:ext>
              </a:extLst>
            </xdr:cNvPr>
            <xdr:cNvSpPr txBox="1"/>
          </xdr:nvSpPr>
          <xdr:spPr>
            <a:xfrm>
              <a:off x="12696266" y="5658971"/>
              <a:ext cx="829235" cy="504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800" b="1">
                  <a:latin typeface="NSimSun" panose="02010609030101010101" pitchFamily="49" charset="-122"/>
                  <a:ea typeface="NSimSun" panose="02010609030101010101" pitchFamily="49" charset="-122"/>
                </a:rPr>
                <a:t>CY</a:t>
              </a:r>
            </a:p>
          </xdr:txBody>
        </xdr:sp>
      </xdr:grpSp>
      <xdr:grpSp>
        <xdr:nvGrpSpPr>
          <xdr:cNvPr id="185" name="Group 184">
            <a:extLst>
              <a:ext uri="{FF2B5EF4-FFF2-40B4-BE49-F238E27FC236}">
                <a16:creationId xmlns:a16="http://schemas.microsoft.com/office/drawing/2014/main" id="{00000000-0008-0000-0100-0000B9000000}"/>
              </a:ext>
            </a:extLst>
          </xdr:cNvPr>
          <xdr:cNvGrpSpPr/>
        </xdr:nvGrpSpPr>
        <xdr:grpSpPr>
          <a:xfrm>
            <a:off x="12344401" y="8955741"/>
            <a:ext cx="1467971" cy="1277471"/>
            <a:chOff x="12393706" y="5277971"/>
            <a:chExt cx="1467971" cy="1277471"/>
          </a:xfrm>
        </xdr:grpSpPr>
        <xdr:graphicFrame macro="">
          <xdr:nvGraphicFramePr>
            <xdr:cNvPr id="186" name="Chart 185">
              <a:extLst>
                <a:ext uri="{FF2B5EF4-FFF2-40B4-BE49-F238E27FC236}">
                  <a16:creationId xmlns:a16="http://schemas.microsoft.com/office/drawing/2014/main" id="{00000000-0008-0000-0100-0000BA000000}"/>
                </a:ext>
              </a:extLst>
            </xdr:cNvPr>
            <xdr:cNvGraphicFramePr>
              <a:graphicFrameLocks/>
            </xdr:cNvGraphicFramePr>
          </xdr:nvGraphicFramePr>
          <xdr:xfrm>
            <a:off x="12393706" y="5277971"/>
            <a:ext cx="1467971" cy="1277471"/>
          </xdr:xfrm>
          <a:graphic>
            <a:graphicData uri="http://schemas.openxmlformats.org/drawingml/2006/chart">
              <c:chart xmlns:c="http://schemas.openxmlformats.org/drawingml/2006/chart" xmlns:r="http://schemas.openxmlformats.org/officeDocument/2006/relationships" r:id="rId30"/>
            </a:graphicData>
          </a:graphic>
        </xdr:graphicFrame>
        <xdr:sp macro="" textlink="">
          <xdr:nvSpPr>
            <xdr:cNvPr id="187" name="TextBox 186">
              <a:extLst>
                <a:ext uri="{FF2B5EF4-FFF2-40B4-BE49-F238E27FC236}">
                  <a16:creationId xmlns:a16="http://schemas.microsoft.com/office/drawing/2014/main" id="{00000000-0008-0000-0100-0000BB000000}"/>
                </a:ext>
              </a:extLst>
            </xdr:cNvPr>
            <xdr:cNvSpPr txBox="1"/>
          </xdr:nvSpPr>
          <xdr:spPr>
            <a:xfrm>
              <a:off x="12696266" y="5658971"/>
              <a:ext cx="829235" cy="504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400" b="1">
                  <a:latin typeface="NSimSun" panose="02010609030101010101" pitchFamily="49" charset="-122"/>
                  <a:ea typeface="NSimSun" panose="02010609030101010101" pitchFamily="49" charset="-122"/>
                </a:rPr>
                <a:t>SPUR</a:t>
              </a:r>
            </a:p>
          </xdr:txBody>
        </xdr:sp>
      </xdr:grpSp>
      <xdr:grpSp>
        <xdr:nvGrpSpPr>
          <xdr:cNvPr id="188" name="Group 187">
            <a:extLst>
              <a:ext uri="{FF2B5EF4-FFF2-40B4-BE49-F238E27FC236}">
                <a16:creationId xmlns:a16="http://schemas.microsoft.com/office/drawing/2014/main" id="{00000000-0008-0000-0100-0000BC000000}"/>
              </a:ext>
            </a:extLst>
          </xdr:cNvPr>
          <xdr:cNvGrpSpPr/>
        </xdr:nvGrpSpPr>
        <xdr:grpSpPr>
          <a:xfrm>
            <a:off x="13711519" y="8955741"/>
            <a:ext cx="1467971" cy="1277471"/>
            <a:chOff x="12393706" y="5277971"/>
            <a:chExt cx="1467971" cy="1277471"/>
          </a:xfrm>
        </xdr:grpSpPr>
        <xdr:graphicFrame macro="">
          <xdr:nvGraphicFramePr>
            <xdr:cNvPr id="189" name="Chart 188">
              <a:extLst>
                <a:ext uri="{FF2B5EF4-FFF2-40B4-BE49-F238E27FC236}">
                  <a16:creationId xmlns:a16="http://schemas.microsoft.com/office/drawing/2014/main" id="{00000000-0008-0000-0100-0000BD000000}"/>
                </a:ext>
              </a:extLst>
            </xdr:cNvPr>
            <xdr:cNvGraphicFramePr>
              <a:graphicFrameLocks/>
            </xdr:cNvGraphicFramePr>
          </xdr:nvGraphicFramePr>
          <xdr:xfrm>
            <a:off x="12393706" y="5277971"/>
            <a:ext cx="1467971" cy="1277471"/>
          </xdr:xfrm>
          <a:graphic>
            <a:graphicData uri="http://schemas.openxmlformats.org/drawingml/2006/chart">
              <c:chart xmlns:c="http://schemas.openxmlformats.org/drawingml/2006/chart" xmlns:r="http://schemas.openxmlformats.org/officeDocument/2006/relationships" r:id="rId31"/>
            </a:graphicData>
          </a:graphic>
        </xdr:graphicFrame>
        <xdr:sp macro="" textlink="">
          <xdr:nvSpPr>
            <xdr:cNvPr id="190" name="TextBox 189">
              <a:extLst>
                <a:ext uri="{FF2B5EF4-FFF2-40B4-BE49-F238E27FC236}">
                  <a16:creationId xmlns:a16="http://schemas.microsoft.com/office/drawing/2014/main" id="{00000000-0008-0000-0100-0000BE000000}"/>
                </a:ext>
              </a:extLst>
            </xdr:cNvPr>
            <xdr:cNvSpPr txBox="1"/>
          </xdr:nvSpPr>
          <xdr:spPr>
            <a:xfrm>
              <a:off x="12590928" y="5658971"/>
              <a:ext cx="997324" cy="504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000" b="1">
                  <a:latin typeface="NSimSun" panose="02010609030101010101" pitchFamily="49" charset="-122"/>
                  <a:ea typeface="NSimSun" panose="02010609030101010101" pitchFamily="49" charset="-122"/>
                </a:rPr>
                <a:t>DG</a:t>
              </a:r>
              <a:r>
                <a:rPr lang="en-AU" sz="2000" b="1" baseline="0">
                  <a:latin typeface="NSimSun" panose="02010609030101010101" pitchFamily="49" charset="-122"/>
                  <a:ea typeface="NSimSun" panose="02010609030101010101" pitchFamily="49" charset="-122"/>
                </a:rPr>
                <a:t>-IC</a:t>
              </a:r>
              <a:endParaRPr lang="en-AU" sz="2000" b="1">
                <a:latin typeface="NSimSun" panose="02010609030101010101" pitchFamily="49" charset="-122"/>
                <a:ea typeface="NSimSun" panose="02010609030101010101" pitchFamily="49" charset="-122"/>
              </a:endParaRPr>
            </a:p>
          </xdr:txBody>
        </xdr:sp>
      </xdr:grpSp>
    </xdr:grpSp>
    <xdr:clientData/>
  </xdr:twoCellAnchor>
  <xdr:oneCellAnchor>
    <xdr:from>
      <xdr:col>10</xdr:col>
      <xdr:colOff>382061</xdr:colOff>
      <xdr:row>23</xdr:row>
      <xdr:rowOff>12754</xdr:rowOff>
    </xdr:from>
    <xdr:ext cx="2983061" cy="342786"/>
    <xdr:sp macro="" textlink="">
      <xdr:nvSpPr>
        <xdr:cNvPr id="192" name="Rectangle 191">
          <a:extLst>
            <a:ext uri="{FF2B5EF4-FFF2-40B4-BE49-F238E27FC236}">
              <a16:creationId xmlns:a16="http://schemas.microsoft.com/office/drawing/2014/main" id="{00000000-0008-0000-0100-0000C0000000}"/>
            </a:ext>
          </a:extLst>
        </xdr:cNvPr>
        <xdr:cNvSpPr/>
      </xdr:nvSpPr>
      <xdr:spPr>
        <a:xfrm>
          <a:off x="12462002" y="4741636"/>
          <a:ext cx="2983061" cy="342786"/>
        </a:xfrm>
        <a:prstGeom prst="rect">
          <a:avLst/>
        </a:prstGeom>
        <a:noFill/>
      </xdr:spPr>
      <xdr:txBody>
        <a:bodyPr wrap="none" lIns="91440" tIns="45720" rIns="91440" bIns="45720" anchor="ctr">
          <a:spAutoFit/>
        </a:bodyPr>
        <a:lstStyle/>
        <a:p>
          <a:pPr algn="l"/>
          <a:r>
            <a:rPr lang="en-US" sz="1600" b="0" cap="none" spc="0">
              <a:ln w="18415" cmpd="sng">
                <a:noFill/>
                <a:prstDash val="solid"/>
              </a:ln>
              <a:solidFill>
                <a:schemeClr val="accent1">
                  <a:lumMod val="50000"/>
                </a:schemeClr>
              </a:solidFill>
              <a:effectLst>
                <a:outerShdw blurRad="63500" dir="3600000" algn="tl" rotWithShape="0">
                  <a:srgbClr val="000000">
                    <a:alpha val="70000"/>
                  </a:srgbClr>
                </a:outerShdw>
              </a:effectLst>
              <a:latin typeface="+mn-lt"/>
            </a:rPr>
            <a:t>Undercutting Priority</a:t>
          </a:r>
          <a:r>
            <a:rPr lang="en-US" sz="1600" b="0" cap="none" spc="0" baseline="0">
              <a:ln w="18415" cmpd="sng">
                <a:noFill/>
                <a:prstDash val="solid"/>
              </a:ln>
              <a:solidFill>
                <a:schemeClr val="accent1">
                  <a:lumMod val="50000"/>
                </a:schemeClr>
              </a:solidFill>
              <a:effectLst>
                <a:outerShdw blurRad="63500" dir="3600000" algn="tl" rotWithShape="0">
                  <a:srgbClr val="000000">
                    <a:alpha val="70000"/>
                  </a:srgbClr>
                </a:outerShdw>
              </a:effectLst>
              <a:latin typeface="+mn-lt"/>
            </a:rPr>
            <a:t> Distribution</a:t>
          </a:r>
          <a:endParaRPr lang="en-US" sz="1600" b="0" cap="none" spc="0">
            <a:ln w="18415" cmpd="sng">
              <a:noFill/>
              <a:prstDash val="solid"/>
            </a:ln>
            <a:solidFill>
              <a:schemeClr val="accent1">
                <a:lumMod val="50000"/>
              </a:schemeClr>
            </a:solidFill>
            <a:effectLst>
              <a:outerShdw blurRad="63500" dir="3600000" algn="tl" rotWithShape="0">
                <a:srgbClr val="000000">
                  <a:alpha val="70000"/>
                </a:srgbClr>
              </a:outerShdw>
            </a:effectLst>
            <a:latin typeface="+mn-lt"/>
          </a:endParaRPr>
        </a:p>
      </xdr:txBody>
    </xdr:sp>
    <xdr:clientData/>
  </xdr:oneCellAnchor>
  <xdr:oneCellAnchor>
    <xdr:from>
      <xdr:col>10</xdr:col>
      <xdr:colOff>238570</xdr:colOff>
      <xdr:row>41</xdr:row>
      <xdr:rowOff>209876</xdr:rowOff>
    </xdr:from>
    <xdr:ext cx="994640" cy="264560"/>
    <xdr:sp macro="" textlink="">
      <xdr:nvSpPr>
        <xdr:cNvPr id="193" name="Rectangle 192">
          <a:extLst>
            <a:ext uri="{FF2B5EF4-FFF2-40B4-BE49-F238E27FC236}">
              <a16:creationId xmlns:a16="http://schemas.microsoft.com/office/drawing/2014/main" id="{00000000-0008-0000-0100-0000C1000000}"/>
            </a:ext>
          </a:extLst>
        </xdr:cNvPr>
        <xdr:cNvSpPr/>
      </xdr:nvSpPr>
      <xdr:spPr>
        <a:xfrm>
          <a:off x="12318511" y="10115876"/>
          <a:ext cx="994640" cy="264560"/>
        </a:xfrm>
        <a:prstGeom prst="rect">
          <a:avLst/>
        </a:prstGeom>
        <a:noFill/>
      </xdr:spPr>
      <xdr:txBody>
        <a:bodyPr wrap="square" lIns="91440" tIns="45720" rIns="91440" bIns="45720" anchor="ctr">
          <a:spAutoFit/>
        </a:bodyPr>
        <a:lstStyle/>
        <a:p>
          <a:pPr algn="l"/>
          <a:r>
            <a:rPr lang="en-US" sz="1100" b="0" cap="none" spc="0">
              <a:ln w="18415" cmpd="sng">
                <a:noFill/>
                <a:prstDash val="solid"/>
              </a:ln>
              <a:solidFill>
                <a:schemeClr val="accent1">
                  <a:lumMod val="50000"/>
                </a:schemeClr>
              </a:solidFill>
              <a:effectLst>
                <a:outerShdw blurRad="63500" dir="3600000" algn="tl" rotWithShape="0">
                  <a:srgbClr val="000000">
                    <a:alpha val="70000"/>
                  </a:srgbClr>
                </a:outerShdw>
              </a:effectLst>
            </a:rPr>
            <a:t>HIGH </a:t>
          </a:r>
        </a:p>
      </xdr:txBody>
    </xdr:sp>
    <xdr:clientData/>
  </xdr:oneCellAnchor>
  <xdr:twoCellAnchor>
    <xdr:from>
      <xdr:col>11</xdr:col>
      <xdr:colOff>190500</xdr:colOff>
      <xdr:row>42</xdr:row>
      <xdr:rowOff>33617</xdr:rowOff>
    </xdr:from>
    <xdr:to>
      <xdr:col>11</xdr:col>
      <xdr:colOff>515470</xdr:colOff>
      <xdr:row>42</xdr:row>
      <xdr:rowOff>33617</xdr:rowOff>
    </xdr:to>
    <xdr:cxnSp macro="">
      <xdr:nvCxnSpPr>
        <xdr:cNvPr id="7174" name="Straight Connector 7173">
          <a:extLst>
            <a:ext uri="{FF2B5EF4-FFF2-40B4-BE49-F238E27FC236}">
              <a16:creationId xmlns:a16="http://schemas.microsoft.com/office/drawing/2014/main" id="{00000000-0008-0000-0100-0000061C0000}"/>
            </a:ext>
          </a:extLst>
        </xdr:cNvPr>
        <xdr:cNvCxnSpPr/>
      </xdr:nvCxnSpPr>
      <xdr:spPr>
        <a:xfrm>
          <a:off x="12875559" y="10253382"/>
          <a:ext cx="324970" cy="0"/>
        </a:xfrm>
        <a:prstGeom prst="line">
          <a:avLst/>
        </a:prstGeom>
        <a:ln w="19050">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235324</xdr:colOff>
      <xdr:row>41</xdr:row>
      <xdr:rowOff>212912</xdr:rowOff>
    </xdr:from>
    <xdr:ext cx="994640" cy="264560"/>
    <xdr:sp macro="" textlink="">
      <xdr:nvSpPr>
        <xdr:cNvPr id="197" name="Rectangle 196">
          <a:extLst>
            <a:ext uri="{FF2B5EF4-FFF2-40B4-BE49-F238E27FC236}">
              <a16:creationId xmlns:a16="http://schemas.microsoft.com/office/drawing/2014/main" id="{00000000-0008-0000-0100-0000C5000000}"/>
            </a:ext>
          </a:extLst>
        </xdr:cNvPr>
        <xdr:cNvSpPr/>
      </xdr:nvSpPr>
      <xdr:spPr>
        <a:xfrm>
          <a:off x="13525500" y="10118912"/>
          <a:ext cx="994640" cy="264560"/>
        </a:xfrm>
        <a:prstGeom prst="rect">
          <a:avLst/>
        </a:prstGeom>
        <a:noFill/>
      </xdr:spPr>
      <xdr:txBody>
        <a:bodyPr wrap="square" lIns="91440" tIns="45720" rIns="91440" bIns="45720" anchor="ctr">
          <a:spAutoFit/>
        </a:bodyPr>
        <a:lstStyle/>
        <a:p>
          <a:pPr algn="l"/>
          <a:r>
            <a:rPr lang="en-US" sz="1100" b="0" cap="none" spc="0">
              <a:ln w="18415" cmpd="sng">
                <a:noFill/>
                <a:prstDash val="solid"/>
              </a:ln>
              <a:solidFill>
                <a:schemeClr val="accent1">
                  <a:lumMod val="50000"/>
                </a:schemeClr>
              </a:solidFill>
              <a:effectLst>
                <a:outerShdw blurRad="63500" dir="3600000" algn="tl" rotWithShape="0">
                  <a:srgbClr val="000000">
                    <a:alpha val="70000"/>
                  </a:srgbClr>
                </a:outerShdw>
              </a:effectLst>
            </a:rPr>
            <a:t>MEDIUM</a:t>
          </a:r>
        </a:p>
      </xdr:txBody>
    </xdr:sp>
    <xdr:clientData/>
  </xdr:oneCellAnchor>
  <xdr:twoCellAnchor>
    <xdr:from>
      <xdr:col>13</xdr:col>
      <xdr:colOff>299313</xdr:colOff>
      <xdr:row>42</xdr:row>
      <xdr:rowOff>36653</xdr:rowOff>
    </xdr:from>
    <xdr:to>
      <xdr:col>14</xdr:col>
      <xdr:colOff>19165</xdr:colOff>
      <xdr:row>42</xdr:row>
      <xdr:rowOff>36653</xdr:rowOff>
    </xdr:to>
    <xdr:cxnSp macro="">
      <xdr:nvCxnSpPr>
        <xdr:cNvPr id="198" name="Straight Connector 197">
          <a:extLst>
            <a:ext uri="{FF2B5EF4-FFF2-40B4-BE49-F238E27FC236}">
              <a16:creationId xmlns:a16="http://schemas.microsoft.com/office/drawing/2014/main" id="{00000000-0008-0000-0100-0000C6000000}"/>
            </a:ext>
          </a:extLst>
        </xdr:cNvPr>
        <xdr:cNvCxnSpPr/>
      </xdr:nvCxnSpPr>
      <xdr:spPr>
        <a:xfrm>
          <a:off x="14194607" y="10256418"/>
          <a:ext cx="324970" cy="0"/>
        </a:xfrm>
        <a:prstGeom prst="line">
          <a:avLst/>
        </a:prstGeom>
        <a:ln w="19050">
          <a:solidFill>
            <a:schemeClr val="accent4">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362107</xdr:colOff>
      <xdr:row>41</xdr:row>
      <xdr:rowOff>214570</xdr:rowOff>
    </xdr:from>
    <xdr:ext cx="994640" cy="264560"/>
    <xdr:sp macro="" textlink="">
      <xdr:nvSpPr>
        <xdr:cNvPr id="199" name="Rectangle 198">
          <a:extLst>
            <a:ext uri="{FF2B5EF4-FFF2-40B4-BE49-F238E27FC236}">
              <a16:creationId xmlns:a16="http://schemas.microsoft.com/office/drawing/2014/main" id="{00000000-0008-0000-0100-0000C7000000}"/>
            </a:ext>
          </a:extLst>
        </xdr:cNvPr>
        <xdr:cNvSpPr/>
      </xdr:nvSpPr>
      <xdr:spPr>
        <a:xfrm>
          <a:off x="14862519" y="10120570"/>
          <a:ext cx="994640" cy="264560"/>
        </a:xfrm>
        <a:prstGeom prst="rect">
          <a:avLst/>
        </a:prstGeom>
        <a:noFill/>
      </xdr:spPr>
      <xdr:txBody>
        <a:bodyPr wrap="square" lIns="91440" tIns="45720" rIns="91440" bIns="45720" anchor="ctr">
          <a:spAutoFit/>
        </a:bodyPr>
        <a:lstStyle/>
        <a:p>
          <a:pPr algn="l"/>
          <a:r>
            <a:rPr lang="en-US" sz="1100" b="0" cap="none" spc="0">
              <a:ln w="18415" cmpd="sng">
                <a:noFill/>
                <a:prstDash val="solid"/>
              </a:ln>
              <a:solidFill>
                <a:schemeClr val="accent1">
                  <a:lumMod val="50000"/>
                </a:schemeClr>
              </a:solidFill>
              <a:effectLst>
                <a:outerShdw blurRad="63500" dir="3600000" algn="tl" rotWithShape="0">
                  <a:srgbClr val="000000">
                    <a:alpha val="70000"/>
                  </a:srgbClr>
                </a:outerShdw>
              </a:effectLst>
            </a:rPr>
            <a:t>LOW</a:t>
          </a:r>
        </a:p>
      </xdr:txBody>
    </xdr:sp>
    <xdr:clientData/>
  </xdr:oneCellAnchor>
  <xdr:twoCellAnchor>
    <xdr:from>
      <xdr:col>15</xdr:col>
      <xdr:colOff>314038</xdr:colOff>
      <xdr:row>42</xdr:row>
      <xdr:rowOff>38311</xdr:rowOff>
    </xdr:from>
    <xdr:to>
      <xdr:col>16</xdr:col>
      <xdr:colOff>33890</xdr:colOff>
      <xdr:row>42</xdr:row>
      <xdr:rowOff>38311</xdr:rowOff>
    </xdr:to>
    <xdr:cxnSp macro="">
      <xdr:nvCxnSpPr>
        <xdr:cNvPr id="200" name="Straight Connector 199">
          <a:extLst>
            <a:ext uri="{FF2B5EF4-FFF2-40B4-BE49-F238E27FC236}">
              <a16:creationId xmlns:a16="http://schemas.microsoft.com/office/drawing/2014/main" id="{00000000-0008-0000-0100-0000C8000000}"/>
            </a:ext>
          </a:extLst>
        </xdr:cNvPr>
        <xdr:cNvCxnSpPr/>
      </xdr:nvCxnSpPr>
      <xdr:spPr>
        <a:xfrm>
          <a:off x="15419567" y="10258076"/>
          <a:ext cx="324970" cy="0"/>
        </a:xfrm>
        <a:prstGeom prst="line">
          <a:avLst/>
        </a:prstGeom>
        <a:ln w="19050">
          <a:solidFill>
            <a:schemeClr val="accent5">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22412</xdr:colOff>
      <xdr:row>39</xdr:row>
      <xdr:rowOff>11205</xdr:rowOff>
    </xdr:from>
    <xdr:to>
      <xdr:col>8</xdr:col>
      <xdr:colOff>717737</xdr:colOff>
      <xdr:row>41</xdr:row>
      <xdr:rowOff>301438</xdr:rowOff>
    </xdr:to>
    <xdr:graphicFrame macro="">
      <xdr:nvGraphicFramePr>
        <xdr:cNvPr id="89" name="Chart 88">
          <a:extLst>
            <a:ext uri="{FF2B5EF4-FFF2-40B4-BE49-F238E27FC236}">
              <a16:creationId xmlns:a16="http://schemas.microsoft.com/office/drawing/2014/main" id="{00000000-0008-0000-0100-00005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oneCellAnchor>
    <xdr:from>
      <xdr:col>7</xdr:col>
      <xdr:colOff>561356</xdr:colOff>
      <xdr:row>42</xdr:row>
      <xdr:rowOff>71079</xdr:rowOff>
    </xdr:from>
    <xdr:ext cx="2498761" cy="405432"/>
    <xdr:sp macro="" textlink="Calcs!P61">
      <xdr:nvSpPr>
        <xdr:cNvPr id="90" name="Rectangle 89">
          <a:extLst>
            <a:ext uri="{FF2B5EF4-FFF2-40B4-BE49-F238E27FC236}">
              <a16:creationId xmlns:a16="http://schemas.microsoft.com/office/drawing/2014/main" id="{00000000-0008-0000-0100-00005A000000}"/>
            </a:ext>
          </a:extLst>
        </xdr:cNvPr>
        <xdr:cNvSpPr/>
      </xdr:nvSpPr>
      <xdr:spPr>
        <a:xfrm>
          <a:off x="7710709" y="10290844"/>
          <a:ext cx="2498761" cy="405432"/>
        </a:xfrm>
        <a:prstGeom prst="rect">
          <a:avLst/>
        </a:prstGeom>
        <a:noFill/>
      </xdr:spPr>
      <xdr:txBody>
        <a:bodyPr wrap="none" lIns="91440" tIns="45720" rIns="91440" bIns="45720" anchor="ctr">
          <a:spAutoFit/>
        </a:bodyPr>
        <a:lstStyle/>
        <a:p>
          <a:pPr marL="0" indent="0" algn="l"/>
          <a:fld id="{B3F809BC-15BD-48D4-801D-CB1BA5A410AC}" type="TxLink">
            <a:rPr lang="en-US" sz="2000" b="0" cap="none" spc="0">
              <a:ln w="18415" cmpd="sng">
                <a:noFill/>
                <a:prstDash val="solid"/>
              </a:ln>
              <a:solidFill>
                <a:schemeClr val="accent1">
                  <a:lumMod val="50000"/>
                </a:schemeClr>
              </a:solidFill>
              <a:effectLst>
                <a:outerShdw blurRad="63500" dir="3600000" algn="tl" rotWithShape="0">
                  <a:srgbClr val="000000">
                    <a:alpha val="70000"/>
                  </a:srgbClr>
                </a:outerShdw>
              </a:effectLst>
              <a:latin typeface="+mn-lt"/>
              <a:ea typeface="+mn-ea"/>
              <a:cs typeface="+mn-cs"/>
            </a:rPr>
            <a:pPr marL="0" indent="0" algn="l"/>
            <a:t>84% Complete Overall</a:t>
          </a:fld>
          <a:endParaRPr lang="en-US" sz="2000" b="0" cap="none" spc="0">
            <a:ln w="18415" cmpd="sng">
              <a:noFill/>
              <a:prstDash val="solid"/>
            </a:ln>
            <a:solidFill>
              <a:schemeClr val="accent1">
                <a:lumMod val="50000"/>
              </a:schemeClr>
            </a:solidFill>
            <a:effectLst>
              <a:outerShdw blurRad="63500" dir="3600000" algn="tl" rotWithShape="0">
                <a:srgbClr val="000000">
                  <a:alpha val="70000"/>
                </a:srgbClr>
              </a:outerShdw>
            </a:effectLst>
            <a:latin typeface="+mn-lt"/>
            <a:ea typeface="+mn-ea"/>
            <a:cs typeface="+mn-cs"/>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7</xdr:col>
      <xdr:colOff>542926</xdr:colOff>
      <xdr:row>114</xdr:row>
      <xdr:rowOff>95250</xdr:rowOff>
    </xdr:from>
    <xdr:to>
      <xdr:col>25</xdr:col>
      <xdr:colOff>209550</xdr:colOff>
      <xdr:row>153</xdr:row>
      <xdr:rowOff>85725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133349</xdr:colOff>
      <xdr:row>115</xdr:row>
      <xdr:rowOff>52386</xdr:rowOff>
    </xdr:from>
    <xdr:to>
      <xdr:col>6</xdr:col>
      <xdr:colOff>800099</xdr:colOff>
      <xdr:row>155</xdr:row>
      <xdr:rowOff>142875</xdr:rowOff>
    </xdr:to>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523875</xdr:colOff>
      <xdr:row>22</xdr:row>
      <xdr:rowOff>147637</xdr:rowOff>
    </xdr:from>
    <xdr:to>
      <xdr:col>6</xdr:col>
      <xdr:colOff>1000125</xdr:colOff>
      <xdr:row>48</xdr:row>
      <xdr:rowOff>123825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1047750</xdr:colOff>
      <xdr:row>5</xdr:row>
      <xdr:rowOff>4762</xdr:rowOff>
    </xdr:from>
    <xdr:to>
      <xdr:col>6</xdr:col>
      <xdr:colOff>1562100</xdr:colOff>
      <xdr:row>21</xdr:row>
      <xdr:rowOff>157162</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AS\SEQ\BLROPS\STRUCTURES\Connor%20Clarke\Learning\Copy%20of%20CongressStar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sheetName val="MProjects"/>
      <sheetName val="FTE"/>
      <sheetName val="Cash"/>
      <sheetName val="Data"/>
      <sheetName val="Admin"/>
      <sheetName val="CAPEX"/>
      <sheetName val="Social"/>
      <sheetName val="CSfaction"/>
      <sheetName val="Other"/>
      <sheetName val="Calc"/>
      <sheetName val="PieCht"/>
      <sheetName val="Top10"/>
      <sheetName val="Chart"/>
      <sheetName val="Output"/>
    </sheetNames>
    <sheetDataSet>
      <sheetData sheetId="0"/>
      <sheetData sheetId="1"/>
      <sheetData sheetId="2"/>
      <sheetData sheetId="3"/>
      <sheetData sheetId="4"/>
      <sheetData sheetId="5"/>
      <sheetData sheetId="6"/>
      <sheetData sheetId="7"/>
      <sheetData sheetId="8"/>
      <sheetData sheetId="9"/>
      <sheetData sheetId="10"/>
      <sheetData sheetId="11">
        <row r="1">
          <cell r="A1" t="str">
            <v>FTE</v>
          </cell>
        </row>
        <row r="2">
          <cell r="A2" t="str">
            <v>IT</v>
          </cell>
          <cell r="C2" t="e">
            <v>#REF!</v>
          </cell>
        </row>
        <row r="3">
          <cell r="A3" t="str">
            <v>Coms</v>
          </cell>
          <cell r="C3" t="e">
            <v>#REF!</v>
          </cell>
        </row>
        <row r="4">
          <cell r="A4" t="str">
            <v>HR</v>
          </cell>
          <cell r="C4" t="e">
            <v>#REF!</v>
          </cell>
        </row>
        <row r="5">
          <cell r="A5" t="str">
            <v>Finance</v>
          </cell>
          <cell r="C5" t="e">
            <v>#REF!</v>
          </cell>
        </row>
        <row r="6">
          <cell r="A6" t="str">
            <v>Mkting</v>
          </cell>
          <cell r="C6" t="e">
            <v>#REF!</v>
          </cell>
        </row>
        <row r="7">
          <cell r="A7" t="str">
            <v>Ops</v>
          </cell>
          <cell r="C7" t="e">
            <v>#REF!</v>
          </cell>
        </row>
        <row r="8">
          <cell r="A8" t="str">
            <v>Nwork</v>
          </cell>
          <cell r="C8" t="e">
            <v>#REF!</v>
          </cell>
        </row>
      </sheetData>
      <sheetData sheetId="12"/>
      <sheetData sheetId="13"/>
      <sheetData sheetId="1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larke, Connor" refreshedDate="43231.418814467594" createdVersion="4" refreshedVersion="4" minRefreshableVersion="3" recordCount="312" xr:uid="{00000000-000A-0000-FFFF-FFFF0A000000}">
  <cacheSource type="worksheet">
    <worksheetSource name="Table25781014"/>
  </cacheSource>
  <cacheFields count="25">
    <cacheField name="Priority" numFmtId="0">
      <sharedItems count="3">
        <s v="HIGH"/>
        <s v="LOW"/>
        <s v="MEDIUM"/>
      </sharedItems>
    </cacheField>
    <cacheField name="Delivery Priority" numFmtId="0">
      <sharedItems containsString="0" containsBlank="1" containsNumber="1" containsInteger="1" minValue="1" maxValue="2"/>
    </cacheField>
    <cacheField name="Line" numFmtId="0">
      <sharedItems count="11">
        <s v="Shorncliffe Line"/>
        <s v="DG Dutton Park - Fisherman Is"/>
        <s v="Cleveland Line"/>
        <s v="Main Line"/>
        <s v="North Coast Line"/>
        <s v="Inner City Line (via Central)"/>
        <s v="Tennyson Line"/>
        <s v="Gold Coast / Beenleigh Line"/>
        <s v="Ferny Grove Line"/>
        <s v="DG Dutton Park - ARTC Int"/>
        <s v="QR SPUR"/>
      </sharedItems>
    </cacheField>
    <cacheField name="Line Section" numFmtId="0">
      <sharedItems count="23">
        <s v="Northgate to Shorncliffe"/>
        <s v="DG Lytton Junction to Fisherman Islands"/>
        <s v="Park Road to Murarrie"/>
        <s v="DG Dutton Park to Lytton Junction"/>
        <s v="Roma Street to Corinda"/>
        <s v="Roma Street to Mayne (Exhibit)"/>
        <s v="Roma St to Bowen Hills (Cent)"/>
        <s v="Corinda to Yeerongpilly"/>
        <s v="South Brisbane to Park Road"/>
        <s v="Corinda to Ipswich"/>
        <s v="Northgate to Caboolture"/>
        <s v="Murarrie to Cleveland"/>
        <s v="Ipswich to Rosewood"/>
        <s v="Nambour to Tamaree"/>
        <s v="Park Road to Yeerongpilly"/>
        <s v="Bowen Hills to Eagle Junction"/>
        <s v="Eagle Junction to Northgate"/>
        <s v="Bowen Hills to Ferny Grove"/>
        <s v="DG Dutton Park to ARTC Interface"/>
        <s v="QR SPUR"/>
        <s v="Caboolture to Nambour"/>
        <s v="Yeerongpilly to Beenleigh"/>
        <s v="Beenleigh to Varsity Lakes"/>
      </sharedItems>
    </cacheField>
    <cacheField name="LRP" numFmtId="0">
      <sharedItems/>
    </cacheField>
    <cacheField name="Next SCAS" numFmtId="0">
      <sharedItems containsDate="1" containsBlank="1" containsMixedTypes="1" minDate="2018-05-19T00:00:00" maxDate="2019-02-02T00:00:00"/>
    </cacheField>
    <cacheField name="Track" numFmtId="0">
      <sharedItems count="8">
        <s v="Up Sub"/>
        <s v="Dual Gauge"/>
        <s v="Up Main"/>
        <s v="Down Sub"/>
        <s v="Down Main"/>
        <s v="Middle Road"/>
        <s v="Single"/>
        <s v="Spur"/>
      </sharedItems>
    </cacheField>
    <cacheField name="Start_x000a_(km)" numFmtId="164">
      <sharedItems containsSemiMixedTypes="0" containsString="0" containsNumber="1" minValue="0" maxValue="166.1"/>
    </cacheField>
    <cacheField name="End_x000a_(km)" numFmtId="164">
      <sharedItems containsSemiMixedTypes="0" containsString="0" containsNumber="1" minValue="0.255" maxValue="166.4"/>
    </cacheField>
    <cacheField name="Length (km)" numFmtId="164">
      <sharedItems containsSemiMixedTypes="0" containsString="0" containsNumber="1" minValue="3.0000000000000249E-2" maxValue="1.2999999999999972"/>
    </cacheField>
    <cacheField name="Reason for Site" numFmtId="0">
      <sharedItems containsBlank="1"/>
    </cacheField>
    <cacheField name="Ballast Condition_x000a_(GPR)" numFmtId="0">
      <sharedItems/>
    </cacheField>
    <cacheField name="Date added" numFmtId="165">
      <sharedItems containsSemiMixedTypes="0" containsNonDate="0" containsDate="1" containsString="0" minDate="2018-04-17T00:00:00" maxDate="2018-05-12T00:00:00"/>
    </cacheField>
    <cacheField name="Date Updated" numFmtId="165">
      <sharedItems containsNonDate="0" containsDate="1" containsString="0" containsBlank="1" minDate="2018-05-09T00:00:00" maxDate="2018-05-10T00:00:00"/>
    </cacheField>
    <cacheField name="Confirmed on Site?" numFmtId="0">
      <sharedItems containsBlank="1"/>
    </cacheField>
    <cacheField name="Recurring Resurf?" numFmtId="0">
      <sharedItems containsBlank="1"/>
    </cacheField>
    <cacheField name="In NMP for U/C or Recon (Y/N)" numFmtId="0">
      <sharedItems containsBlank="1"/>
    </cacheField>
    <cacheField name="Survey Required?" numFmtId="0">
      <sharedItems containsNonDate="0" containsString="0" containsBlank="1"/>
    </cacheField>
    <cacheField name="Additional track features present" numFmtId="0">
      <sharedItems containsBlank="1"/>
    </cacheField>
    <cacheField name="Comments" numFmtId="0">
      <sharedItems containsBlank="1"/>
    </cacheField>
    <cacheField name="Link to TRC and GPR data" numFmtId="0">
      <sharedItems containsBlank="1"/>
    </cacheField>
    <cacheField name="Tentatively added / Undercut Complete?" numFmtId="0">
      <sharedItems containsBlank="1"/>
    </cacheField>
    <cacheField name="Start Completed Section (km)" numFmtId="164">
      <sharedItems containsNonDate="0" containsString="0" containsBlank="1"/>
    </cacheField>
    <cacheField name="End Completed Section (km)" numFmtId="164">
      <sharedItems containsNonDate="0" containsString="0" containsBlank="1"/>
    </cacheField>
    <cacheField name="Date Completed" numFmtId="14">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larke, Connor" refreshedDate="43321.588250462963" createdVersion="4" refreshedVersion="4" minRefreshableVersion="3" recordCount="2" xr:uid="{00000000-000A-0000-FFFF-FFFF0B000000}">
  <cacheSource type="worksheet">
    <worksheetSource ref="D1:D3" sheet="List"/>
  </cacheSource>
  <cacheFields count="1">
    <cacheField name="Year" numFmtId="0">
      <sharedItems count="2">
        <s v="2018-19"/>
        <s v="2019-2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2">
  <r>
    <x v="0"/>
    <m/>
    <x v="0"/>
    <x v="0"/>
    <s v="C139"/>
    <d v="2019-02-01T00:00:00"/>
    <x v="0"/>
    <n v="0"/>
    <n v="0.87"/>
    <n v="0.87"/>
    <s v="Geometry condition"/>
    <s v="Severely Fouled"/>
    <d v="2018-04-17T00:00:00"/>
    <m/>
    <s v="Yes"/>
    <s v="Yes"/>
    <s v="Yes"/>
    <m/>
    <s v="Turnouts, Northgate Platform"/>
    <s v="Turnouts #724A and #725B in NMP to be replaced - no date allocated"/>
    <m/>
    <s v="No"/>
    <m/>
    <m/>
    <m/>
  </r>
  <r>
    <x v="0"/>
    <m/>
    <x v="1"/>
    <x v="1"/>
    <s v="C062"/>
    <d v="2018-06-16T00:00:00"/>
    <x v="1"/>
    <n v="0"/>
    <n v="0.7"/>
    <n v="0.7"/>
    <s v="Geometry condition"/>
    <s v="Severely Fouled"/>
    <d v="2018-05-08T00:00:00"/>
    <d v="2018-05-09T00:00:00"/>
    <s v="Yes"/>
    <s v="Yes"/>
    <s v="Yes"/>
    <m/>
    <s v="T/O # 673C/D.Severely fouled for 1st 200m"/>
    <s v="From Cancelled works_x000a_In NMP to undercut from 0.160 - 0.248 in 2017, 0.440 - 0.600 in June 2018 (none complete)"/>
    <m/>
    <s v="No"/>
    <m/>
    <m/>
    <m/>
  </r>
  <r>
    <x v="0"/>
    <m/>
    <x v="2"/>
    <x v="2"/>
    <s v="C152"/>
    <d v="2018-07-21T00:00:00"/>
    <x v="2"/>
    <n v="0"/>
    <n v="0.5"/>
    <n v="0.5"/>
    <s v="Geometry condition"/>
    <s v="Severely Fouled"/>
    <d v="2018-05-04T00:00:00"/>
    <m/>
    <m/>
    <s v="Yes"/>
    <s v="No"/>
    <m/>
    <s v="Park Road Platform, turnout"/>
    <s v="Investigation Required. In NMP for Recon 19/20"/>
    <s v="0.000 - 0.500"/>
    <s v="Tentative"/>
    <m/>
    <m/>
    <m/>
  </r>
  <r>
    <x v="0"/>
    <m/>
    <x v="0"/>
    <x v="0"/>
    <s v="C139"/>
    <d v="2019-02-01T00:00:00"/>
    <x v="3"/>
    <n v="0.05"/>
    <n v="0.26"/>
    <n v="0.21000000000000002"/>
    <s v="Geometry condition"/>
    <s v="Severely Fouled"/>
    <d v="2018-04-17T00:00:00"/>
    <m/>
    <s v="Yes"/>
    <s v="Yes"/>
    <s v="No"/>
    <m/>
    <s v="Turnouts &amp; Diamonds"/>
    <s v="Recurring resurf through T/Os._x000a_In NMP as turnout replacements for #724B and #725A. No date specified_x000a_Back of Diamond Shorncliffe end needs horizontal top improvement Cable troughing both sides"/>
    <m/>
    <s v="No"/>
    <m/>
    <m/>
    <m/>
  </r>
  <r>
    <x v="1"/>
    <m/>
    <x v="1"/>
    <x v="3"/>
    <s v="C062"/>
    <d v="2018-06-16T00:00:00"/>
    <x v="1"/>
    <n v="0.155"/>
    <n v="0.255"/>
    <n v="0.1"/>
    <s v="Field inspection"/>
    <s v="N/A"/>
    <d v="2018-05-08T00:00:00"/>
    <d v="2018-05-09T00:00:00"/>
    <m/>
    <s v="Yes"/>
    <m/>
    <m/>
    <m/>
    <s v="From Cancelled works. _x000a_Was resurfaced in late 2017. Monitor top (investigating) - very low priority"/>
    <m/>
    <s v="Tentative"/>
    <m/>
    <m/>
    <m/>
  </r>
  <r>
    <x v="0"/>
    <m/>
    <x v="2"/>
    <x v="2"/>
    <s v="C152"/>
    <m/>
    <x v="4"/>
    <n v="0.45"/>
    <n v="0.6"/>
    <n v="0.14999999999999997"/>
    <m/>
    <s v="Highly Fouled"/>
    <d v="2018-05-04T00:00:00"/>
    <m/>
    <m/>
    <m/>
    <s v="No"/>
    <m/>
    <s v="Turnout &amp; diamond"/>
    <s v="Investigation Required"/>
    <s v="0.450 - 0.600"/>
    <s v="Tentative"/>
    <m/>
    <m/>
    <m/>
  </r>
  <r>
    <x v="0"/>
    <m/>
    <x v="3"/>
    <x v="4"/>
    <s v="C172"/>
    <d v="2018-05-19T00:00:00"/>
    <x v="3"/>
    <n v="0.68500000000000005"/>
    <n v="0.83499999999999996"/>
    <n v="0.14999999999999991"/>
    <m/>
    <s v="Severely Fouled"/>
    <d v="2018-05-09T00:00:00"/>
    <m/>
    <m/>
    <m/>
    <m/>
    <m/>
    <m/>
    <s v="planned for 19/05/17"/>
    <s v="0.685 - 0.835"/>
    <s v="No"/>
    <m/>
    <m/>
    <m/>
  </r>
  <r>
    <x v="0"/>
    <m/>
    <x v="2"/>
    <x v="2"/>
    <s v="C152"/>
    <d v="2018-07-21T00:00:00"/>
    <x v="2"/>
    <n v="0.9"/>
    <n v="1.22"/>
    <n v="0.31999999999999995"/>
    <s v="Geometry condition"/>
    <s v="Severely Fouled"/>
    <d v="2018-05-04T00:00:00"/>
    <m/>
    <m/>
    <s v="Yes"/>
    <s v="Yes"/>
    <m/>
    <s v="Buranda Platform"/>
    <s v="In NMP for undercutting (2017 - not complete)"/>
    <s v="0.900 - 1.220"/>
    <s v="Tentative"/>
    <m/>
    <m/>
    <m/>
  </r>
  <r>
    <x v="0"/>
    <m/>
    <x v="3"/>
    <x v="4"/>
    <s v="C172"/>
    <d v="2018-05-19T00:00:00"/>
    <x v="3"/>
    <n v="1.1499999999999999"/>
    <n v="1.55"/>
    <n v="0.40000000000000013"/>
    <s v="Geometry condition"/>
    <s v="Highly Fouled"/>
    <d v="2018-04-17T00:00:00"/>
    <m/>
    <m/>
    <s v="Yes"/>
    <s v="Yes"/>
    <m/>
    <s v="Turnouts, Platform &amp; Bridge"/>
    <s v="In TRC Projected works - survey has been requested this area due to twist._x000a_In NMP to be undercut from 1.385km - 1.595km for June 2017. Not Completed"/>
    <m/>
    <s v="No"/>
    <m/>
    <m/>
    <m/>
  </r>
  <r>
    <x v="0"/>
    <m/>
    <x v="3"/>
    <x v="4"/>
    <s v="C172"/>
    <d v="2018-05-19T00:00:00"/>
    <x v="0"/>
    <n v="1.4"/>
    <n v="1.6"/>
    <n v="0.20000000000000018"/>
    <s v="Geometry condition, Platform compliance"/>
    <s v="Severely Fouled"/>
    <d v="2018-04-17T00:00:00"/>
    <m/>
    <m/>
    <s v="Yes"/>
    <s v="No"/>
    <m/>
    <s v="Platform"/>
    <s v="In NMP as rerail between 1.319km - 1.500km scheduled for June 2020 and may need to be lowered through platform (currently 44mm high) - opportunity to potentially lower track ready for 60kg rail"/>
    <m/>
    <s v="No"/>
    <m/>
    <m/>
    <m/>
  </r>
  <r>
    <x v="0"/>
    <m/>
    <x v="4"/>
    <x v="5"/>
    <s v="C173"/>
    <d v="2018-07-07T00:00:00"/>
    <x v="4"/>
    <n v="1.69"/>
    <n v="1.75"/>
    <n v="6.0000000000000053E-2"/>
    <s v="Field inspection"/>
    <s v="Highly Fouled"/>
    <d v="2018-04-30T00:00:00"/>
    <m/>
    <m/>
    <m/>
    <s v="No"/>
    <m/>
    <m/>
    <s v="Richard Marschke reported mudhole in this area. TRC shows &quot;too wet&quot; and lost lock"/>
    <s v="1.690 to 1.750"/>
    <s v="No"/>
    <m/>
    <m/>
    <m/>
  </r>
  <r>
    <x v="0"/>
    <m/>
    <x v="5"/>
    <x v="6"/>
    <s v="C170"/>
    <d v="2018-05-19T00:00:00"/>
    <x v="4"/>
    <n v="1.85"/>
    <n v="2.0699999999999998"/>
    <n v="0.21999999999999975"/>
    <s v="Geometry condition"/>
    <s v="Severely Fouled"/>
    <d v="2018-04-17T00:00:00"/>
    <m/>
    <m/>
    <m/>
    <s v="No"/>
    <m/>
    <s v="Brunswick St Platform"/>
    <m/>
    <m/>
    <s v="No"/>
    <m/>
    <m/>
    <m/>
  </r>
  <r>
    <x v="2"/>
    <m/>
    <x v="1"/>
    <x v="3"/>
    <s v="C062"/>
    <d v="2018-06-16T00:00:00"/>
    <x v="1"/>
    <n v="1.98"/>
    <n v="2.0299999999999998"/>
    <n v="4.9999999999999822E-2"/>
    <s v="Geometry condition"/>
    <s v="Severely Fouled"/>
    <d v="2018-05-08T00:00:00"/>
    <d v="2018-05-09T00:00:00"/>
    <s v="Yes"/>
    <s v="Yes"/>
    <s v="No"/>
    <m/>
    <m/>
    <m/>
    <m/>
    <s v="No"/>
    <m/>
    <m/>
    <m/>
  </r>
  <r>
    <x v="1"/>
    <m/>
    <x v="1"/>
    <x v="3"/>
    <s v="C062"/>
    <d v="2018-06-16T00:00:00"/>
    <x v="1"/>
    <n v="2.1"/>
    <n v="2.2999999999999998"/>
    <n v="0.19999999999999973"/>
    <s v="Geometry condition"/>
    <s v="Moderately Clean"/>
    <d v="2018-05-08T00:00:00"/>
    <d v="2018-05-09T00:00:00"/>
    <s v="Yes"/>
    <m/>
    <s v="Yes"/>
    <m/>
    <m/>
    <s v="In NMP to undercut from 2.100 - 2.500 in 2017 (not complete)"/>
    <m/>
    <s v="No"/>
    <m/>
    <m/>
    <m/>
  </r>
  <r>
    <x v="0"/>
    <m/>
    <x v="5"/>
    <x v="6"/>
    <s v="C170"/>
    <d v="2018-05-19T00:00:00"/>
    <x v="4"/>
    <n v="2.21"/>
    <n v="2.4"/>
    <n v="0.18999999999999995"/>
    <s v="Geometry condition"/>
    <s v="Highly Fouled"/>
    <d v="2018-04-17T00:00:00"/>
    <m/>
    <m/>
    <m/>
    <s v="No"/>
    <m/>
    <s v="Turnouts"/>
    <s v="In NMP for turnout replacement #269A. No date specified"/>
    <m/>
    <s v="No"/>
    <m/>
    <m/>
    <m/>
  </r>
  <r>
    <x v="0"/>
    <m/>
    <x v="4"/>
    <x v="5"/>
    <s v="C173"/>
    <d v="2018-07-07T00:00:00"/>
    <x v="4"/>
    <n v="2.3929999999999998"/>
    <n v="2.452"/>
    <n v="5.9000000000000163E-2"/>
    <s v="Field inspection"/>
    <s v="Moderately Fouled"/>
    <d v="2018-04-24T00:00:00"/>
    <m/>
    <m/>
    <s v="Yes"/>
    <s v="No"/>
    <m/>
    <m/>
    <s v="Mud Holes present"/>
    <m/>
    <s v="No"/>
    <m/>
    <m/>
    <m/>
  </r>
  <r>
    <x v="0"/>
    <m/>
    <x v="6"/>
    <x v="7"/>
    <s v="C048"/>
    <d v="2018-08-04T00:00:00"/>
    <x v="2"/>
    <n v="2.4350000000000001"/>
    <n v="2.7749999999999999"/>
    <n v="0.33999999999999986"/>
    <s v="Geometry condition, Field inspection"/>
    <s v="Severely Fouled"/>
    <d v="2018-05-10T00:00:00"/>
    <m/>
    <m/>
    <m/>
    <m/>
    <m/>
    <s v="Turnout #480"/>
    <s v="Dennis Moreton advised that turouts are full of dirt and coal and, as a result, the track is continually losing top and line"/>
    <s v="2.435 - 2.775"/>
    <s v="No"/>
    <m/>
    <m/>
    <m/>
  </r>
  <r>
    <x v="0"/>
    <m/>
    <x v="6"/>
    <x v="7"/>
    <s v="C048"/>
    <d v="2018-08-04T00:00:00"/>
    <x v="4"/>
    <n v="2.44"/>
    <n v="2.75"/>
    <n v="0.31000000000000005"/>
    <s v="Geometry condition, Field inspection"/>
    <s v="Severely Fouled"/>
    <d v="2018-05-10T00:00:00"/>
    <m/>
    <m/>
    <m/>
    <m/>
    <m/>
    <s v="Turnout #480"/>
    <s v="Dennis Moreton advised that turouts are full of dirt and coal and, as a result, the track is continually losing top and line"/>
    <s v="2.440 - 2.750"/>
    <s v="No"/>
    <m/>
    <m/>
    <m/>
  </r>
  <r>
    <x v="0"/>
    <m/>
    <x v="5"/>
    <x v="6"/>
    <s v="C170"/>
    <d v="2018-07-21T00:00:00"/>
    <x v="3"/>
    <n v="3"/>
    <n v="3.11"/>
    <n v="0.10999999999999988"/>
    <s v="Field inspection, Geometry condition"/>
    <s v="Severely Fouled"/>
    <d v="2018-04-30T00:00:00"/>
    <m/>
    <m/>
    <m/>
    <s v="No"/>
    <m/>
    <m/>
    <s v="Richard Marschke reported mudhole in this area. TRC shows loss of top at location of mudhole. Resurfaced 02/08/2017"/>
    <s v="3.000 - 3.110"/>
    <s v="No"/>
    <m/>
    <m/>
    <m/>
  </r>
  <r>
    <x v="2"/>
    <m/>
    <x v="1"/>
    <x v="3"/>
    <s v="C062"/>
    <d v="2018-06-16T00:00:00"/>
    <x v="1"/>
    <n v="3.25"/>
    <n v="3.55"/>
    <n v="0.29999999999999982"/>
    <s v="Geometry condition"/>
    <s v="Fouled"/>
    <d v="2018-05-08T00:00:00"/>
    <d v="2018-05-09T00:00:00"/>
    <s v="Yes"/>
    <s v="Yes"/>
    <s v="Yes"/>
    <m/>
    <m/>
    <s v="In NMP to undercut in 2016 (not complete)"/>
    <m/>
    <s v="No"/>
    <m/>
    <m/>
    <m/>
  </r>
  <r>
    <x v="0"/>
    <m/>
    <x v="7"/>
    <x v="8"/>
    <s v="C184"/>
    <d v="2018-05-19T00:00:00"/>
    <x v="2"/>
    <n v="3.78"/>
    <n v="3.88"/>
    <n v="0.10000000000000009"/>
    <m/>
    <s v="Severely Fouled"/>
    <d v="2018-05-09T00:00:00"/>
    <m/>
    <m/>
    <m/>
    <m/>
    <m/>
    <m/>
    <s v="planned for 19/05/18"/>
    <s v="3.780 - 3.880"/>
    <s v="No"/>
    <m/>
    <m/>
    <m/>
  </r>
  <r>
    <x v="2"/>
    <m/>
    <x v="2"/>
    <x v="2"/>
    <s v="C152"/>
    <d v="2018-07-21T00:00:00"/>
    <x v="4"/>
    <n v="3.98"/>
    <n v="4.5"/>
    <n v="0.52"/>
    <s v="Geometry condition"/>
    <s v="Moderately Clean"/>
    <d v="2018-05-04T00:00:00"/>
    <m/>
    <m/>
    <s v="Yes"/>
    <s v="No"/>
    <m/>
    <s v="Norman Park Platform"/>
    <s v="Check ballast for fouling - 2015 GPR shows reasonably clean"/>
    <m/>
    <s v="Tentative"/>
    <m/>
    <m/>
    <m/>
  </r>
  <r>
    <x v="2"/>
    <m/>
    <x v="0"/>
    <x v="0"/>
    <s v="C139"/>
    <d v="2018-07-14T00:00:00"/>
    <x v="0"/>
    <n v="4.03"/>
    <n v="4.25"/>
    <n v="0.21999999999999975"/>
    <s v="Geometry condition"/>
    <s v="Moderately Fouled"/>
    <d v="2018-04-17T00:00:00"/>
    <m/>
    <s v="Yes"/>
    <s v="Yes"/>
    <s v="No"/>
    <m/>
    <m/>
    <m/>
    <m/>
    <s v="No"/>
    <m/>
    <m/>
    <m/>
  </r>
  <r>
    <x v="1"/>
    <m/>
    <x v="0"/>
    <x v="0"/>
    <s v="C139"/>
    <d v="2018-07-14T00:00:00"/>
    <x v="3"/>
    <n v="4.66"/>
    <n v="4.7300000000000004"/>
    <n v="7.0000000000000284E-2"/>
    <s v="Geometry condition"/>
    <s v="Highly Fouled"/>
    <d v="2018-04-17T00:00:00"/>
    <m/>
    <s v="Yes"/>
    <m/>
    <s v="No"/>
    <m/>
    <m/>
    <s v="Rerail scheduled for 15/07/2018 (NMP)._x000a_In TRC Projected works. Cess requires reprofiling. Cable troughing"/>
    <m/>
    <s v="No"/>
    <m/>
    <m/>
    <m/>
  </r>
  <r>
    <x v="1"/>
    <m/>
    <x v="2"/>
    <x v="2"/>
    <s v="C152"/>
    <m/>
    <x v="2"/>
    <n v="4.68"/>
    <n v="4.75"/>
    <n v="7.0000000000000284E-2"/>
    <m/>
    <s v="Moderately Clean"/>
    <d v="2018-05-04T00:00:00"/>
    <m/>
    <m/>
    <m/>
    <s v="No"/>
    <m/>
    <m/>
    <s v="Inspect - GPR shows clean ballast"/>
    <s v="4.680 - 4.750"/>
    <s v="Tentative"/>
    <m/>
    <m/>
    <m/>
  </r>
  <r>
    <x v="0"/>
    <n v="2"/>
    <x v="1"/>
    <x v="3"/>
    <s v="C062"/>
    <d v="2018-06-16T00:00:00"/>
    <x v="1"/>
    <n v="5.05"/>
    <n v="5.78"/>
    <n v="0.73000000000000043"/>
    <s v="Geometry condition"/>
    <s v="Fouled"/>
    <d v="2018-05-08T00:00:00"/>
    <d v="2018-05-09T00:00:00"/>
    <s v="Yes"/>
    <s v="Yes"/>
    <s v="Yes"/>
    <m/>
    <m/>
    <s v="In NMP to undercut in 2016 (not complete)"/>
    <m/>
    <s v="No"/>
    <m/>
    <m/>
    <m/>
  </r>
  <r>
    <x v="0"/>
    <m/>
    <x v="3"/>
    <x v="4"/>
    <s v="C172"/>
    <d v="2018-05-19T00:00:00"/>
    <x v="0"/>
    <n v="5.17"/>
    <n v="5.35"/>
    <n v="0.17999999999999972"/>
    <s v="Geometry condition"/>
    <s v="Fouled"/>
    <d v="2018-04-17T00:00:00"/>
    <m/>
    <m/>
    <m/>
    <s v="No"/>
    <m/>
    <s v="Platform"/>
    <s v="Rough layers - GPR. In NMP for rerail - no timeframe given"/>
    <m/>
    <s v="No"/>
    <m/>
    <m/>
    <m/>
  </r>
  <r>
    <x v="1"/>
    <m/>
    <x v="0"/>
    <x v="0"/>
    <s v="C139"/>
    <d v="2018-07-14T00:00:00"/>
    <x v="3"/>
    <n v="5.6"/>
    <n v="5.63"/>
    <n v="3.0000000000000249E-2"/>
    <s v="Geometry condition"/>
    <s v="Severely Fouled"/>
    <d v="2018-04-17T00:00:00"/>
    <m/>
    <s v="Yes"/>
    <m/>
    <s v="No"/>
    <m/>
    <m/>
    <s v="In TRC Projected works. Cess requires reprofiling. Check Undercutting report"/>
    <m/>
    <s v="No"/>
    <m/>
    <m/>
    <m/>
  </r>
  <r>
    <x v="1"/>
    <m/>
    <x v="0"/>
    <x v="0"/>
    <s v="C139"/>
    <d v="2018-07-14T00:00:00"/>
    <x v="3"/>
    <n v="5.68"/>
    <n v="5.78"/>
    <n v="0.10000000000000053"/>
    <s v="Geometry condition"/>
    <s v="Severely Fouled"/>
    <d v="2018-04-17T00:00:00"/>
    <m/>
    <s v="Yes"/>
    <s v="Yes"/>
    <s v="No"/>
    <m/>
    <m/>
    <s v="In TRC Projected works. Cess requires reprofiling  Planned for 14/07/18"/>
    <m/>
    <s v="No"/>
    <m/>
    <m/>
    <m/>
  </r>
  <r>
    <x v="0"/>
    <m/>
    <x v="2"/>
    <x v="2"/>
    <s v="C152"/>
    <d v="2018-07-21T00:00:00"/>
    <x v="4"/>
    <n v="6.3"/>
    <n v="6.5"/>
    <n v="0.20000000000000018"/>
    <s v="Geometry condition"/>
    <s v="Severely Fouled"/>
    <d v="2018-05-04T00:00:00"/>
    <m/>
    <m/>
    <m/>
    <s v="Yes"/>
    <m/>
    <m/>
    <s v="Pumping sleepers according to TRC data. _x000a_In NMP for recon (2017 - not complete). WO:6100097246"/>
    <s v="6.300 - 6.500"/>
    <s v="No"/>
    <m/>
    <m/>
    <m/>
  </r>
  <r>
    <x v="0"/>
    <m/>
    <x v="3"/>
    <x v="4"/>
    <s v="C172"/>
    <d v="2018-05-19T00:00:00"/>
    <x v="3"/>
    <n v="6.46"/>
    <n v="6.7"/>
    <n v="0.24000000000000021"/>
    <s v="Geometry condition"/>
    <s v="Severely Fouled"/>
    <d v="2018-04-17T00:00:00"/>
    <m/>
    <m/>
    <m/>
    <s v="Yes"/>
    <m/>
    <s v="Platform"/>
    <s v="Recon planned for 30/06/2021 between 6.485 - 6.685 (NMP)"/>
    <m/>
    <s v="Tentative"/>
    <m/>
    <m/>
    <m/>
  </r>
  <r>
    <x v="0"/>
    <m/>
    <x v="0"/>
    <x v="0"/>
    <s v="C139"/>
    <d v="2018-07-14T00:00:00"/>
    <x v="3"/>
    <n v="7.12"/>
    <n v="7.4"/>
    <n v="0.28000000000000025"/>
    <s v="Geometry condition, Platform compliance"/>
    <s v="Highly Fouled"/>
    <d v="2018-04-17T00:00:00"/>
    <m/>
    <s v="Yes"/>
    <s v="Yes"/>
    <s v="Yes"/>
    <m/>
    <s v="North Boondal Platform"/>
    <s v="Recon Planned for 14/07/18 (though may not be going ahead). Also required for platform compliance. Track 130mm high"/>
    <m/>
    <s v="No longer required"/>
    <m/>
    <m/>
    <m/>
  </r>
  <r>
    <x v="0"/>
    <m/>
    <x v="0"/>
    <x v="0"/>
    <s v="C139"/>
    <d v="2018-07-14T00:00:00"/>
    <x v="0"/>
    <n v="7.17"/>
    <n v="7.27"/>
    <n v="9.9999999999999645E-2"/>
    <s v="Geometry condition"/>
    <s v="Severely Fouled"/>
    <d v="2018-04-17T00:00:00"/>
    <m/>
    <s v="Yes"/>
    <m/>
    <s v="No"/>
    <m/>
    <m/>
    <s v="GPR shows shallow free draining layer depth. Cant do in July SCAS due in Down track to recon"/>
    <m/>
    <s v="No"/>
    <m/>
    <m/>
    <m/>
  </r>
  <r>
    <x v="0"/>
    <m/>
    <x v="2"/>
    <x v="2"/>
    <s v="C152"/>
    <d v="2018-07-21T00:00:00"/>
    <x v="4"/>
    <n v="7.4"/>
    <n v="7.6"/>
    <n v="0.19999999999999929"/>
    <s v="Geometry condition"/>
    <s v="Severely Fouled"/>
    <d v="2018-05-04T00:00:00"/>
    <m/>
    <m/>
    <m/>
    <s v="Yes"/>
    <m/>
    <s v="Cannon Hill Platform"/>
    <s v="Was resurfaced 2015. Down to be resurfaced again. In NMP for recon in 2020"/>
    <s v="7.400 - 7.600"/>
    <s v="No"/>
    <m/>
    <m/>
    <m/>
  </r>
  <r>
    <x v="0"/>
    <m/>
    <x v="3"/>
    <x v="4"/>
    <s v="C172"/>
    <d v="2018-05-19T00:00:00"/>
    <x v="3"/>
    <n v="7.9"/>
    <n v="8.15"/>
    <n v="0.25"/>
    <s v="Geometry condition"/>
    <s v="Severely Fouled"/>
    <d v="2018-04-17T00:00:00"/>
    <m/>
    <m/>
    <s v="Yes"/>
    <s v="No"/>
    <m/>
    <m/>
    <m/>
    <m/>
    <s v="No"/>
    <m/>
    <m/>
    <m/>
  </r>
  <r>
    <x v="2"/>
    <m/>
    <x v="2"/>
    <x v="2"/>
    <s v="C152"/>
    <d v="2018-07-21T00:00:00"/>
    <x v="2"/>
    <n v="7.9"/>
    <n v="8.0500000000000007"/>
    <n v="0.15000000000000036"/>
    <s v="Geometry condition"/>
    <s v="Severely Fouled"/>
    <d v="2018-05-04T00:00:00"/>
    <m/>
    <m/>
    <s v="Yes"/>
    <s v="Yes"/>
    <m/>
    <s v="Turnout"/>
    <s v="In NMP for turnout replacement #693A. No date specified"/>
    <s v="7.900 - 8.050"/>
    <s v="No"/>
    <m/>
    <m/>
    <m/>
  </r>
  <r>
    <x v="0"/>
    <n v="1"/>
    <x v="1"/>
    <x v="3"/>
    <s v="C062"/>
    <d v="2018-06-16T00:00:00"/>
    <x v="1"/>
    <n v="8.0399999999999991"/>
    <n v="8.2899999999999991"/>
    <n v="0.25"/>
    <s v="Geometry condition"/>
    <s v="Fouled"/>
    <d v="2018-05-08T00:00:00"/>
    <d v="2018-05-09T00:00:00"/>
    <s v="Yes"/>
    <s v="Yes"/>
    <s v="Yes"/>
    <m/>
    <m/>
    <s v="In NMP to undercut in 2016 (not complete)"/>
    <m/>
    <s v="No"/>
    <m/>
    <m/>
    <m/>
  </r>
  <r>
    <x v="0"/>
    <m/>
    <x v="0"/>
    <x v="0"/>
    <s v="C139"/>
    <d v="2018-07-14T00:00:00"/>
    <x v="0"/>
    <n v="8.4"/>
    <n v="8.66"/>
    <n v="0.25999999999999979"/>
    <s v="Geometry condition"/>
    <s v="Severely Fouled"/>
    <d v="2018-04-17T00:00:00"/>
    <m/>
    <s v="Yes"/>
    <m/>
    <s v="No"/>
    <m/>
    <s v="Deagon Platform"/>
    <s v="GPR shows shallow FDL depth. Was resurfaced 25/02/16. Planned for 14/07/18"/>
    <m/>
    <s v="No"/>
    <m/>
    <m/>
    <m/>
  </r>
  <r>
    <x v="2"/>
    <m/>
    <x v="1"/>
    <x v="3"/>
    <s v="C062"/>
    <d v="2018-06-16T00:00:00"/>
    <x v="1"/>
    <n v="8.48"/>
    <n v="8.58"/>
    <n v="9.9999999999999645E-2"/>
    <s v="Geometry condition"/>
    <s v="Highly Fouled"/>
    <d v="2018-05-08T00:00:00"/>
    <d v="2018-05-09T00:00:00"/>
    <s v="Yes"/>
    <m/>
    <s v="Yes"/>
    <m/>
    <m/>
    <s v="In NMP to undercut in 2016 (not complete)"/>
    <m/>
    <s v="No"/>
    <m/>
    <m/>
    <m/>
  </r>
  <r>
    <x v="2"/>
    <m/>
    <x v="3"/>
    <x v="4"/>
    <s v="C172"/>
    <d v="2018-05-19T00:00:00"/>
    <x v="3"/>
    <n v="8.6"/>
    <n v="8.8000000000000007"/>
    <n v="0.20000000000000107"/>
    <s v="Geometry condition"/>
    <s v="Severely Fouled"/>
    <d v="2018-04-17T00:00:00"/>
    <m/>
    <m/>
    <s v="Yes"/>
    <s v="Yes"/>
    <m/>
    <s v="Platform"/>
    <s v="Recon planned for 19/05/18 (NMP)"/>
    <m/>
    <s v="No longer required"/>
    <m/>
    <m/>
    <m/>
  </r>
  <r>
    <x v="2"/>
    <m/>
    <x v="3"/>
    <x v="4"/>
    <s v="C172"/>
    <d v="2018-05-19T00:00:00"/>
    <x v="0"/>
    <n v="8.6"/>
    <n v="8.82"/>
    <n v="0.22000000000000064"/>
    <s v="Geometry condition"/>
    <s v="Severely Fouled"/>
    <d v="2018-04-17T00:00:00"/>
    <m/>
    <m/>
    <m/>
    <s v="Yes"/>
    <m/>
    <s v="Platform"/>
    <s v="Shallow / rough free draining layer - GPR._x000a_Recon planned for 30/06/2021 (NMP)"/>
    <m/>
    <s v="Tentative"/>
    <m/>
    <m/>
    <m/>
  </r>
  <r>
    <x v="1"/>
    <m/>
    <x v="1"/>
    <x v="3"/>
    <s v="C062"/>
    <d v="2018-06-16T00:00:00"/>
    <x v="1"/>
    <n v="8.67"/>
    <n v="8.9700000000000006"/>
    <n v="0.30000000000000071"/>
    <s v="Geometry condition"/>
    <s v="Moderately Fouled"/>
    <d v="2018-05-08T00:00:00"/>
    <d v="2018-05-09T00:00:00"/>
    <s v="Yes"/>
    <m/>
    <s v="Yes"/>
    <m/>
    <m/>
    <s v="In NMP to undercut from 8.880 - 9.000 in 2017 (not complete)"/>
    <m/>
    <s v="No"/>
    <m/>
    <m/>
    <m/>
  </r>
  <r>
    <x v="1"/>
    <m/>
    <x v="2"/>
    <x v="2"/>
    <s v="C152"/>
    <d v="2018-07-21T00:00:00"/>
    <x v="4"/>
    <n v="8.9499999999999993"/>
    <n v="9"/>
    <n v="5.0000000000000711E-2"/>
    <s v="Geometry condition"/>
    <s v="Highly Fouled"/>
    <d v="2018-05-04T00:00:00"/>
    <m/>
    <m/>
    <s v="Yes"/>
    <s v="No"/>
    <m/>
    <m/>
    <m/>
    <s v="8.950 - 9.000"/>
    <s v="No"/>
    <m/>
    <m/>
    <m/>
  </r>
  <r>
    <x v="2"/>
    <m/>
    <x v="3"/>
    <x v="4"/>
    <s v="C172"/>
    <d v="2018-05-19T00:00:00"/>
    <x v="3"/>
    <n v="9.35"/>
    <n v="9.4499999999999993"/>
    <n v="9.9999999999999645E-2"/>
    <s v="Geometry condition"/>
    <s v="Severely Fouled"/>
    <d v="2018-04-17T00:00:00"/>
    <m/>
    <m/>
    <s v="Yes"/>
    <s v="No"/>
    <m/>
    <m/>
    <s v="In TRC Projected works to be undercut._x000a_In NMP to rerail between 9.366km - 9.711km. Scheduled for 19/05/2018"/>
    <m/>
    <s v="No"/>
    <m/>
    <m/>
    <m/>
  </r>
  <r>
    <x v="2"/>
    <m/>
    <x v="0"/>
    <x v="0"/>
    <s v="C139"/>
    <d v="2018-07-14T00:00:00"/>
    <x v="0"/>
    <n v="9.35"/>
    <n v="9.42"/>
    <n v="7.0000000000000284E-2"/>
    <s v="Geometry condition"/>
    <s v="Moderately Fouled"/>
    <d v="2018-04-17T00:00:00"/>
    <m/>
    <s v="Yes"/>
    <s v="Yes"/>
    <s v="Yes"/>
    <m/>
    <m/>
    <s v="GPR shows shallow free draining layer depth. Undercutting history shows was undercut in 2016. _x000a_Needs undercut from 9.398 to l/xing (need to remove hoses from greaser). Underground cabling. Require excavators. Planned for 14/07/18"/>
    <m/>
    <s v="No"/>
    <m/>
    <m/>
    <m/>
  </r>
  <r>
    <x v="1"/>
    <m/>
    <x v="0"/>
    <x v="0"/>
    <s v="C139"/>
    <d v="2018-07-14T00:00:00"/>
    <x v="3"/>
    <n v="9.42"/>
    <n v="9.49"/>
    <n v="7.0000000000000284E-2"/>
    <s v="Geometry condition"/>
    <s v="Highly Fouled"/>
    <d v="2018-04-17T00:00:00"/>
    <m/>
    <s v="Yes"/>
    <m/>
    <s v="No"/>
    <m/>
    <s v="Sandgate Platform"/>
    <s v="Was reconditioned in 2015. Requires further works at start of platform. Do not touch second half of platform"/>
    <m/>
    <s v="No"/>
    <m/>
    <m/>
    <m/>
  </r>
  <r>
    <x v="0"/>
    <m/>
    <x v="3"/>
    <x v="4"/>
    <s v="C172"/>
    <d v="2018-05-19T00:00:00"/>
    <x v="0"/>
    <n v="10.199999999999999"/>
    <n v="10.45"/>
    <n v="0.25"/>
    <s v="Geometry condition"/>
    <s v="Severely Fouled"/>
    <d v="2018-04-17T00:00:00"/>
    <m/>
    <m/>
    <m/>
    <s v="No"/>
    <m/>
    <m/>
    <m/>
    <m/>
    <s v="No"/>
    <m/>
    <m/>
    <m/>
  </r>
  <r>
    <x v="0"/>
    <m/>
    <x v="3"/>
    <x v="4"/>
    <s v="C172"/>
    <d v="2018-05-19T00:00:00"/>
    <x v="0"/>
    <n v="10.65"/>
    <n v="11"/>
    <n v="0.34999999999999964"/>
    <s v="Geometry condition"/>
    <s v="Severely Fouled"/>
    <d v="2018-04-17T00:00:00"/>
    <m/>
    <m/>
    <m/>
    <s v="Yes"/>
    <m/>
    <s v="Turnouts &amp; Platform"/>
    <s v="In TRC Projected works to be undercut. Twist / gauge due to bearers._x000a_Scheduled for recon between 10.579km - 10.944km on 30/06/2020 (NMP)"/>
    <m/>
    <s v="Tentative"/>
    <m/>
    <m/>
    <m/>
  </r>
  <r>
    <x v="0"/>
    <m/>
    <x v="3"/>
    <x v="4"/>
    <s v="C172"/>
    <d v="2018-05-19T00:00:00"/>
    <x v="3"/>
    <n v="10.9"/>
    <n v="11.1"/>
    <n v="0.19999999999999929"/>
    <s v="Geometry condition"/>
    <s v="Severely Fouled"/>
    <d v="2018-04-17T00:00:00"/>
    <m/>
    <m/>
    <m/>
    <s v="No"/>
    <m/>
    <s v="Turnouts"/>
    <m/>
    <m/>
    <s v="No"/>
    <m/>
    <m/>
    <m/>
  </r>
  <r>
    <x v="0"/>
    <m/>
    <x v="3"/>
    <x v="9"/>
    <s v="C047"/>
    <m/>
    <x v="4"/>
    <n v="11.3"/>
    <n v="11.85"/>
    <n v="0.54999999999999893"/>
    <s v="Geometry condition"/>
    <s v="Severely Fouled"/>
    <d v="2018-05-10T00:00:00"/>
    <m/>
    <m/>
    <m/>
    <s v="No"/>
    <m/>
    <m/>
    <m/>
    <m/>
    <m/>
    <m/>
    <m/>
    <m/>
  </r>
  <r>
    <x v="0"/>
    <m/>
    <x v="4"/>
    <x v="10"/>
    <s v="C138"/>
    <d v="2018-08-25T00:00:00"/>
    <x v="4"/>
    <n v="12.1"/>
    <n v="12.38"/>
    <n v="0.28000000000000114"/>
    <s v="Geometry condition, Platform compliance"/>
    <s v="Highly Fouled"/>
    <d v="2018-04-24T00:00:00"/>
    <m/>
    <m/>
    <s v="Yes"/>
    <s v="No"/>
    <m/>
    <s v="Virginia Platform"/>
    <s v="Recurring resurf this area. Recon of bridge ends planned for 18/19. Rerail planned with 60kg rail from 12.045 - 12.366. Track is sitting high through platform and lowering is required prior to rerail (talk to Sam Korhonen for planning)."/>
    <m/>
    <s v="No"/>
    <m/>
    <m/>
    <m/>
  </r>
  <r>
    <x v="2"/>
    <m/>
    <x v="4"/>
    <x v="10"/>
    <s v="C138"/>
    <d v="2018-08-25T00:00:00"/>
    <x v="2"/>
    <n v="12.1"/>
    <n v="12.37"/>
    <n v="0.26999999999999957"/>
    <s v="Geometry condition"/>
    <s v="Moderately Clean"/>
    <d v="2018-05-02T00:00:00"/>
    <m/>
    <m/>
    <s v="Yes"/>
    <s v="No"/>
    <m/>
    <m/>
    <s v="Check ballast for fouling - 2015 GPR shows reasonably clean"/>
    <m/>
    <s v="Tentative"/>
    <m/>
    <m/>
    <m/>
  </r>
  <r>
    <x v="1"/>
    <m/>
    <x v="3"/>
    <x v="9"/>
    <s v="C047"/>
    <d v="2018-08-04T00:00:00"/>
    <x v="2"/>
    <n v="12.15"/>
    <n v="12.35"/>
    <n v="0.19999999999999929"/>
    <s v="Geometry condition"/>
    <s v="Highly Fouled"/>
    <d v="2018-05-09T00:00:00"/>
    <m/>
    <m/>
    <s v="Yes"/>
    <s v="No"/>
    <m/>
    <m/>
    <m/>
    <s v="12.150 - 12.350"/>
    <s v="No"/>
    <m/>
    <m/>
    <m/>
  </r>
  <r>
    <x v="1"/>
    <m/>
    <x v="3"/>
    <x v="9"/>
    <s v="C047"/>
    <m/>
    <x v="4"/>
    <n v="12.45"/>
    <n v="12.6"/>
    <n v="0.15000000000000036"/>
    <s v="Geometry condition"/>
    <s v="Severely Fouled"/>
    <d v="2018-05-10T00:00:00"/>
    <m/>
    <m/>
    <m/>
    <s v="No"/>
    <m/>
    <s v="Oxley Platform - Check clearances."/>
    <m/>
    <m/>
    <m/>
    <m/>
    <m/>
    <m/>
  </r>
  <r>
    <x v="2"/>
    <m/>
    <x v="3"/>
    <x v="9"/>
    <s v="C047"/>
    <d v="2018-08-04T00:00:00"/>
    <x v="2"/>
    <n v="12.8"/>
    <n v="13"/>
    <n v="0.19999999999999929"/>
    <s v="Geometry condition"/>
    <s v="Fouled"/>
    <d v="2018-05-09T00:00:00"/>
    <m/>
    <m/>
    <s v="Yes"/>
    <s v="No"/>
    <m/>
    <m/>
    <m/>
    <s v="12.800 - 13.000"/>
    <s v="No"/>
    <m/>
    <m/>
    <m/>
  </r>
  <r>
    <x v="2"/>
    <m/>
    <x v="2"/>
    <x v="11"/>
    <s v="C152"/>
    <d v="2018-06-16T00:00:00"/>
    <x v="2"/>
    <n v="13.02"/>
    <n v="13.8"/>
    <n v="0.78000000000000114"/>
    <m/>
    <s v="Severely Fouled"/>
    <d v="2018-05-09T00:00:00"/>
    <m/>
    <m/>
    <m/>
    <s v="Yes"/>
    <m/>
    <m/>
    <s v="From Cancelled works_x000a_WO: 6100158099_x000a_For smaller sections, 13.200 - 13.300 &amp; 13.600 - 13.750 higher priority"/>
    <m/>
    <s v="No"/>
    <m/>
    <m/>
    <m/>
  </r>
  <r>
    <x v="0"/>
    <m/>
    <x v="4"/>
    <x v="10"/>
    <s v="C138"/>
    <d v="2018-08-25T00:00:00"/>
    <x v="5"/>
    <n v="13.38"/>
    <n v="14.1"/>
    <n v="0.71999999999999886"/>
    <s v="Geometry condition, Field inspection"/>
    <s v="Severely Fouled"/>
    <d v="2018-04-17T00:00:00"/>
    <m/>
    <s v="Yes"/>
    <m/>
    <s v="No"/>
    <m/>
    <m/>
    <s v="Engineers inspection 28/01/17 recommended U/C from 13.540km - 13.560km and 13.800km - 13.890km. Geometry deteriotating significantly"/>
    <m/>
    <s v="No"/>
    <m/>
    <m/>
    <m/>
  </r>
  <r>
    <x v="2"/>
    <m/>
    <x v="4"/>
    <x v="10"/>
    <s v="C138"/>
    <d v="2018-08-25T00:00:00"/>
    <x v="4"/>
    <n v="14.3"/>
    <n v="14.55"/>
    <n v="0.25"/>
    <s v="Geometry condition"/>
    <s v="Severely Fouled"/>
    <d v="2018-04-24T00:00:00"/>
    <m/>
    <m/>
    <s v="Yes"/>
    <s v="No"/>
    <m/>
    <s v="Geebung Platform"/>
    <s v="Recurring resurf this area. "/>
    <m/>
    <s v="No"/>
    <m/>
    <m/>
    <m/>
  </r>
  <r>
    <x v="2"/>
    <m/>
    <x v="3"/>
    <x v="9"/>
    <s v="C047"/>
    <m/>
    <x v="4"/>
    <n v="14.3"/>
    <n v="14.5"/>
    <n v="0.19999999999999929"/>
    <s v="Geometry condition"/>
    <s v="Highly Fouled"/>
    <d v="2018-05-10T00:00:00"/>
    <m/>
    <m/>
    <m/>
    <s v="No"/>
    <m/>
    <m/>
    <m/>
    <m/>
    <m/>
    <m/>
    <m/>
    <m/>
  </r>
  <r>
    <x v="0"/>
    <m/>
    <x v="3"/>
    <x v="9"/>
    <s v="C047"/>
    <m/>
    <x v="4"/>
    <n v="15"/>
    <n v="15.45"/>
    <n v="0.44999999999999929"/>
    <s v="Geometry condition"/>
    <s v="Severely Fouled"/>
    <d v="2018-05-10T00:00:00"/>
    <m/>
    <m/>
    <m/>
    <s v="No"/>
    <m/>
    <s v="Darra Platform - check clearances."/>
    <m/>
    <m/>
    <m/>
    <m/>
    <m/>
    <m/>
  </r>
  <r>
    <x v="0"/>
    <m/>
    <x v="4"/>
    <x v="10"/>
    <s v="C138"/>
    <d v="2018-08-25T00:00:00"/>
    <x v="4"/>
    <n v="15.6"/>
    <n v="15.9"/>
    <n v="0.30000000000000071"/>
    <s v="Geometry condition"/>
    <s v="Severely Fouled"/>
    <d v="2018-04-24T00:00:00"/>
    <m/>
    <m/>
    <s v="Yes"/>
    <s v="Yes"/>
    <m/>
    <m/>
    <s v="In NMP to be undercut from 15.870 - 15.940. No date specified (was 2017)"/>
    <m/>
    <s v="No"/>
    <m/>
    <m/>
    <m/>
  </r>
  <r>
    <x v="0"/>
    <m/>
    <x v="3"/>
    <x v="9"/>
    <s v="C047"/>
    <m/>
    <x v="4"/>
    <n v="16.100000000000001"/>
    <n v="17"/>
    <n v="0.89999999999999858"/>
    <s v="Geometry condition"/>
    <s v="Severely Fouled"/>
    <d v="2018-05-10T00:00:00"/>
    <m/>
    <m/>
    <m/>
    <s v="No"/>
    <m/>
    <m/>
    <m/>
    <m/>
    <m/>
    <m/>
    <m/>
    <m/>
  </r>
  <r>
    <x v="0"/>
    <m/>
    <x v="3"/>
    <x v="9"/>
    <s v="C047"/>
    <d v="2018-08-04T00:00:00"/>
    <x v="2"/>
    <n v="16.399999999999999"/>
    <n v="16.55"/>
    <n v="0.15000000000000213"/>
    <s v="Geometry condition"/>
    <s v="Severely Fouled"/>
    <d v="2018-05-09T00:00:00"/>
    <m/>
    <m/>
    <s v="Yes"/>
    <s v="No"/>
    <m/>
    <m/>
    <s v="Turnout"/>
    <s v="16.400 - 16.800"/>
    <s v="No"/>
    <m/>
    <m/>
    <m/>
  </r>
  <r>
    <x v="0"/>
    <m/>
    <x v="3"/>
    <x v="9"/>
    <s v="C047"/>
    <d v="2018-08-04T00:00:00"/>
    <x v="2"/>
    <n v="16.57"/>
    <n v="16.72"/>
    <n v="0.14999999999999858"/>
    <s v="Geometry condition"/>
    <s v="Severely Fouled"/>
    <d v="2018-05-09T00:00:00"/>
    <m/>
    <m/>
    <s v="Yes"/>
    <s v="No"/>
    <m/>
    <m/>
    <m/>
    <m/>
    <m/>
    <m/>
    <m/>
    <m/>
  </r>
  <r>
    <x v="2"/>
    <m/>
    <x v="4"/>
    <x v="10"/>
    <s v="C138"/>
    <d v="2018-08-25T00:00:00"/>
    <x v="5"/>
    <n v="16.78"/>
    <n v="16.91"/>
    <n v="0.12999999999999901"/>
    <s v="Geometry condition"/>
    <s v="Severely Fouled"/>
    <d v="2018-04-17T00:00:00"/>
    <m/>
    <m/>
    <s v="Yes"/>
    <s v="No"/>
    <m/>
    <m/>
    <m/>
    <m/>
    <s v="No"/>
    <m/>
    <m/>
    <m/>
  </r>
  <r>
    <x v="0"/>
    <m/>
    <x v="3"/>
    <x v="9"/>
    <s v="C047"/>
    <m/>
    <x v="4"/>
    <n v="17"/>
    <n v="17.5"/>
    <n v="0.5"/>
    <s v="Geometry condition"/>
    <s v="Severely Fouled"/>
    <d v="2018-05-10T00:00:00"/>
    <m/>
    <m/>
    <m/>
    <s v="Yes"/>
    <m/>
    <m/>
    <s v="NMP says undercut planned from 17.200 - 17.400 &amp; 17.400 - 17.500 in June/July but already notes as 200 - 400 as complete - check with Robbo. "/>
    <m/>
    <s v="Tentative"/>
    <m/>
    <m/>
    <m/>
  </r>
  <r>
    <x v="2"/>
    <m/>
    <x v="3"/>
    <x v="9"/>
    <s v="C047"/>
    <m/>
    <x v="4"/>
    <n v="17.75"/>
    <n v="18"/>
    <n v="0.25"/>
    <s v="Geometry condition"/>
    <s v="Severely Fouled"/>
    <d v="2018-05-10T00:00:00"/>
    <m/>
    <m/>
    <m/>
    <s v="No"/>
    <m/>
    <m/>
    <m/>
    <m/>
    <m/>
    <m/>
    <m/>
    <m/>
  </r>
  <r>
    <x v="2"/>
    <m/>
    <x v="3"/>
    <x v="9"/>
    <s v="C047"/>
    <d v="2018-08-04T00:00:00"/>
    <x v="2"/>
    <n v="18.45"/>
    <n v="18.600000000000001"/>
    <n v="0.15000000000000213"/>
    <s v="Geometry condition"/>
    <s v="Severely Fouled"/>
    <d v="2018-05-09T00:00:00"/>
    <m/>
    <m/>
    <m/>
    <s v="No"/>
    <m/>
    <m/>
    <m/>
    <s v="18.450 - 18.600"/>
    <s v="No"/>
    <m/>
    <m/>
    <m/>
  </r>
  <r>
    <x v="1"/>
    <m/>
    <x v="3"/>
    <x v="9"/>
    <s v="C047"/>
    <m/>
    <x v="4"/>
    <n v="18.5"/>
    <n v="19.100000000000001"/>
    <n v="0.60000000000000142"/>
    <s v="Geometry condition"/>
    <s v="Severely Fouled"/>
    <d v="2018-05-10T00:00:00"/>
    <m/>
    <m/>
    <m/>
    <s v="No"/>
    <m/>
    <m/>
    <m/>
    <m/>
    <m/>
    <m/>
    <m/>
    <m/>
  </r>
  <r>
    <x v="0"/>
    <m/>
    <x v="3"/>
    <x v="9"/>
    <s v="C047"/>
    <d v="2018-08-04T00:00:00"/>
    <x v="2"/>
    <n v="19"/>
    <n v="19.399999999999999"/>
    <n v="0.39999999999999858"/>
    <s v="Geometry condition"/>
    <s v="Severely Fouled"/>
    <d v="2018-05-09T00:00:00"/>
    <m/>
    <m/>
    <m/>
    <s v="Yes"/>
    <m/>
    <s v="Wacol Station, Level crossing"/>
    <s v="In NMP to be reconditioned from 19.100 - 19.200 in conjunction with rerail in 2020"/>
    <s v="19.000 - 19.400"/>
    <s v="No"/>
    <m/>
    <m/>
    <m/>
  </r>
  <r>
    <x v="0"/>
    <m/>
    <x v="3"/>
    <x v="9"/>
    <s v="C047"/>
    <m/>
    <x v="4"/>
    <n v="19.215"/>
    <n v="19.5"/>
    <n v="0.28500000000000014"/>
    <s v="Geometry condition"/>
    <s v="Severely Fouled"/>
    <d v="2018-05-10T00:00:00"/>
    <m/>
    <m/>
    <m/>
    <s v="No"/>
    <m/>
    <s v="Wacol platform (after level crossing) and finish before TOS. Check clearances."/>
    <m/>
    <m/>
    <s v="No"/>
    <m/>
    <m/>
    <m/>
  </r>
  <r>
    <x v="1"/>
    <m/>
    <x v="3"/>
    <x v="9"/>
    <s v="C047"/>
    <m/>
    <x v="4"/>
    <n v="19.8"/>
    <n v="20"/>
    <n v="0.19999999999999929"/>
    <s v="Geometry condition"/>
    <s v="Severely Fouled"/>
    <d v="2018-05-10T00:00:00"/>
    <m/>
    <m/>
    <m/>
    <s v="No"/>
    <m/>
    <m/>
    <m/>
    <m/>
    <s v="No"/>
    <m/>
    <m/>
    <m/>
  </r>
  <r>
    <x v="2"/>
    <m/>
    <x v="3"/>
    <x v="9"/>
    <s v="C047"/>
    <m/>
    <x v="4"/>
    <n v="20.45"/>
    <n v="20.6"/>
    <n v="0.15000000000000213"/>
    <s v="Geometry condition"/>
    <s v="Severely Fouled"/>
    <d v="2018-05-10T00:00:00"/>
    <m/>
    <m/>
    <m/>
    <s v="No"/>
    <m/>
    <m/>
    <m/>
    <m/>
    <s v="No"/>
    <m/>
    <m/>
    <m/>
  </r>
  <r>
    <x v="2"/>
    <m/>
    <x v="3"/>
    <x v="9"/>
    <s v="C047"/>
    <m/>
    <x v="4"/>
    <n v="20.7"/>
    <n v="20.9"/>
    <n v="0.19999999999999929"/>
    <s v="Geometry condition"/>
    <s v="Severely Fouled"/>
    <d v="2018-05-10T00:00:00"/>
    <m/>
    <m/>
    <m/>
    <s v="No"/>
    <m/>
    <m/>
    <s v="Gailes platform. Check clearances"/>
    <m/>
    <s v="No"/>
    <m/>
    <m/>
    <m/>
  </r>
  <r>
    <x v="0"/>
    <m/>
    <x v="4"/>
    <x v="10"/>
    <s v="C138"/>
    <d v="2018-08-25T00:00:00"/>
    <x v="4"/>
    <n v="20.9"/>
    <n v="21.1"/>
    <n v="0.20000000000000284"/>
    <s v="Geometry condition"/>
    <s v="Severely Fouled"/>
    <d v="2018-04-24T00:00:00"/>
    <m/>
    <m/>
    <s v="Yes"/>
    <s v="No"/>
    <m/>
    <s v="Bald Hills Platform"/>
    <m/>
    <m/>
    <s v="No"/>
    <m/>
    <m/>
    <m/>
  </r>
  <r>
    <x v="2"/>
    <m/>
    <x v="3"/>
    <x v="9"/>
    <s v="C047"/>
    <d v="2018-08-04T00:00:00"/>
    <x v="2"/>
    <n v="21"/>
    <n v="21.15"/>
    <n v="0.14999999999999858"/>
    <s v="Geometry condition"/>
    <s v="Severely Fouled"/>
    <d v="2018-05-09T00:00:00"/>
    <m/>
    <m/>
    <m/>
    <s v="No"/>
    <m/>
    <m/>
    <m/>
    <s v="21.000 - 21.150"/>
    <s v="No"/>
    <m/>
    <m/>
    <m/>
  </r>
  <r>
    <x v="0"/>
    <m/>
    <x v="4"/>
    <x v="10"/>
    <s v="C138"/>
    <d v="2018-08-25T00:00:00"/>
    <x v="5"/>
    <n v="21.05"/>
    <n v="21.25"/>
    <n v="0.19999999999999929"/>
    <s v="Geometry condition"/>
    <s v="Severely Fouled"/>
    <d v="2018-04-17T00:00:00"/>
    <m/>
    <m/>
    <m/>
    <s v="No"/>
    <m/>
    <s v="Bald Hills Platform"/>
    <s v="Platform to end of curve. Significant deterioration between TRC runs"/>
    <m/>
    <s v="No"/>
    <m/>
    <m/>
    <m/>
  </r>
  <r>
    <x v="1"/>
    <m/>
    <x v="4"/>
    <x v="10"/>
    <s v="C138"/>
    <d v="2018-08-25T00:00:00"/>
    <x v="2"/>
    <n v="21.55"/>
    <n v="21.75"/>
    <n v="0.19999999999999929"/>
    <s v="Geometry condition"/>
    <s v="Severely Fouled"/>
    <d v="2018-05-02T00:00:00"/>
    <m/>
    <m/>
    <s v="Yes"/>
    <s v="No"/>
    <m/>
    <s v="Between turnout and bridge"/>
    <m/>
    <s v="21.550 - 21.750"/>
    <s v="No"/>
    <m/>
    <m/>
    <m/>
  </r>
  <r>
    <x v="1"/>
    <m/>
    <x v="3"/>
    <x v="9"/>
    <s v="C047"/>
    <m/>
    <x v="4"/>
    <n v="21.9"/>
    <n v="22.991"/>
    <n v="1.0910000000000011"/>
    <s v="Geometry condition"/>
    <s v="Fouled"/>
    <d v="2018-05-10T00:00:00"/>
    <m/>
    <m/>
    <s v="Yes"/>
    <s v="No"/>
    <m/>
    <m/>
    <m/>
    <m/>
    <m/>
    <m/>
    <m/>
    <m/>
  </r>
  <r>
    <x v="1"/>
    <m/>
    <x v="3"/>
    <x v="9"/>
    <s v="C047"/>
    <d v="2018-08-04T00:00:00"/>
    <x v="2"/>
    <n v="22.64"/>
    <n v="22.88"/>
    <n v="0.23999999999999844"/>
    <s v="Geometry condition"/>
    <s v="Severely Fouled"/>
    <d v="2018-05-09T00:00:00"/>
    <m/>
    <m/>
    <m/>
    <s v="No"/>
    <m/>
    <s v="Goodna Station platform"/>
    <m/>
    <s v="22.640 - 22.880"/>
    <s v="No"/>
    <m/>
    <m/>
    <m/>
  </r>
  <r>
    <x v="2"/>
    <m/>
    <x v="4"/>
    <x v="10"/>
    <s v="C138"/>
    <d v="2018-08-25T00:00:00"/>
    <x v="5"/>
    <n v="23"/>
    <n v="23.15"/>
    <n v="0.14999999999999858"/>
    <s v="Geometry condition"/>
    <s v="Highly Fouled"/>
    <d v="2018-04-17T00:00:00"/>
    <m/>
    <m/>
    <m/>
    <s v="Yes"/>
    <m/>
    <m/>
    <s v="TRC. Resurfaced 11/05/17._x000a_IN NMP to be Undercut from 23.040km to 23.120km -80m"/>
    <m/>
    <s v="No"/>
    <m/>
    <m/>
    <m/>
  </r>
  <r>
    <x v="2"/>
    <m/>
    <x v="3"/>
    <x v="9"/>
    <s v="C047"/>
    <m/>
    <x v="4"/>
    <n v="23.1"/>
    <n v="23.3"/>
    <n v="0.19999999999999929"/>
    <s v="Geometry condition"/>
    <s v="Moderately Clean"/>
    <d v="2018-05-10T00:00:00"/>
    <m/>
    <m/>
    <m/>
    <s v="No"/>
    <m/>
    <m/>
    <s v="Very rough, but LRI indicates recon is required. Investigate"/>
    <m/>
    <s v="Tentative"/>
    <m/>
    <m/>
    <m/>
  </r>
  <r>
    <x v="2"/>
    <m/>
    <x v="4"/>
    <x v="10"/>
    <s v="C138"/>
    <d v="2018-08-25T00:00:00"/>
    <x v="2"/>
    <n v="23.35"/>
    <n v="23.8"/>
    <n v="0.44999999999999929"/>
    <s v="Geometry condition"/>
    <s v="Severely Fouled"/>
    <d v="2018-05-02T00:00:00"/>
    <m/>
    <m/>
    <s v="Yes"/>
    <s v="Yes"/>
    <m/>
    <m/>
    <s v="In NMP to undercut from 23.300 - 23.400. Recon done in 2015 just prio (23.320 - 23.350)"/>
    <s v="23.350 - 23.800"/>
    <s v="No"/>
    <m/>
    <m/>
    <m/>
  </r>
  <r>
    <x v="0"/>
    <m/>
    <x v="4"/>
    <x v="10"/>
    <s v="C138"/>
    <d v="2018-08-25T00:00:00"/>
    <x v="5"/>
    <n v="24.1"/>
    <n v="24.4"/>
    <n v="0.29999999999999716"/>
    <s v="Geometry condition"/>
    <s v="Severely Fouled"/>
    <d v="2018-04-17T00:00:00"/>
    <m/>
    <m/>
    <s v="Yes"/>
    <s v="Yes"/>
    <m/>
    <m/>
    <s v="Significant deteriorations between TRC runs. In NMP to be undercut from 24.270km to 24.350km._x000a_Was undercut from 24.300 - 24.370 on 29/04/17. Confirm on site"/>
    <m/>
    <s v="Tentative"/>
    <m/>
    <m/>
    <m/>
  </r>
  <r>
    <x v="0"/>
    <m/>
    <x v="3"/>
    <x v="9"/>
    <s v="C047"/>
    <m/>
    <x v="4"/>
    <n v="24.2"/>
    <n v="25.175000000000001"/>
    <n v="0.97500000000000142"/>
    <s v="Geometry condition"/>
    <s v="Severely Fouled"/>
    <d v="2018-05-10T00:00:00"/>
    <m/>
    <m/>
    <s v="Yes"/>
    <s v="No"/>
    <m/>
    <m/>
    <s v="up to bridge. In NMP to undercut 24.500 - 24.600 in 2017 (not complete)"/>
    <m/>
    <m/>
    <m/>
    <m/>
    <m/>
  </r>
  <r>
    <x v="0"/>
    <m/>
    <x v="4"/>
    <x v="10"/>
    <s v="C138"/>
    <d v="2018-08-25T00:00:00"/>
    <x v="5"/>
    <n v="24.6"/>
    <n v="24.79"/>
    <n v="0.18999999999999773"/>
    <s v="Geometry condition"/>
    <s v="Moderately Fouled"/>
    <d v="2018-04-17T00:00:00"/>
    <m/>
    <m/>
    <s v="Yes"/>
    <s v="No"/>
    <m/>
    <s v="Bray Park platform"/>
    <s v="Deteriorations in top between TRC runs. To be undercut in June 18"/>
    <m/>
    <s v="No longer required"/>
    <m/>
    <m/>
    <m/>
  </r>
  <r>
    <x v="1"/>
    <m/>
    <x v="4"/>
    <x v="10"/>
    <s v="C138"/>
    <d v="2018-08-25T00:00:00"/>
    <x v="2"/>
    <n v="25"/>
    <n v="25.15"/>
    <n v="0.14999999999999858"/>
    <s v="Geometry condition"/>
    <s v="Severely Fouled"/>
    <d v="2018-05-02T00:00:00"/>
    <m/>
    <m/>
    <s v="Yes"/>
    <s v="No"/>
    <m/>
    <m/>
    <s v="was undercut in 2013 from 25.010 - 25.034"/>
    <s v="25.000 - 25.150"/>
    <s v="No"/>
    <m/>
    <m/>
    <m/>
  </r>
  <r>
    <x v="0"/>
    <m/>
    <x v="4"/>
    <x v="10"/>
    <s v="C138"/>
    <d v="2018-08-25T00:00:00"/>
    <x v="5"/>
    <n v="25.04"/>
    <n v="25.15"/>
    <n v="0.10999999999999943"/>
    <s v="Geometry condition"/>
    <s v="Severely Fouled"/>
    <d v="2018-04-17T00:00:00"/>
    <m/>
    <m/>
    <s v="Yes"/>
    <s v="Yes"/>
    <m/>
    <s v="Bridge and splay rails"/>
    <s v="NMP - recon - 25.116km - Middle Road - Ballast Deck Bridge  - Replace timber sleepers with full depth concrete (splays and LPC internal guards). No scheduled timeframe"/>
    <m/>
    <s v="No"/>
    <m/>
    <m/>
    <m/>
  </r>
  <r>
    <x v="1"/>
    <m/>
    <x v="3"/>
    <x v="9"/>
    <s v="C047"/>
    <d v="2018-08-04T00:00:00"/>
    <x v="2"/>
    <n v="25.54"/>
    <n v="25.9"/>
    <n v="0.35999999999999943"/>
    <s v="Geometry condition"/>
    <s v="Highly Fouled"/>
    <d v="2018-05-09T00:00:00"/>
    <m/>
    <m/>
    <m/>
    <s v="No"/>
    <m/>
    <m/>
    <m/>
    <s v="25.540 - 25.900"/>
    <s v="No longer required"/>
    <m/>
    <m/>
    <m/>
  </r>
  <r>
    <x v="2"/>
    <m/>
    <x v="3"/>
    <x v="9"/>
    <s v="C047"/>
    <m/>
    <x v="4"/>
    <n v="26.1"/>
    <n v="27"/>
    <n v="0.89999999999999858"/>
    <s v="Geometry condition"/>
    <s v="Fouled"/>
    <d v="2018-05-10T00:00:00"/>
    <m/>
    <m/>
    <m/>
    <s v="No"/>
    <m/>
    <m/>
    <m/>
    <m/>
    <m/>
    <m/>
    <m/>
    <m/>
  </r>
  <r>
    <x v="1"/>
    <m/>
    <x v="4"/>
    <x v="10"/>
    <s v="C138"/>
    <d v="2018-08-25T00:00:00"/>
    <x v="2"/>
    <n v="26.15"/>
    <n v="26.5"/>
    <n v="0.35000000000000142"/>
    <s v="Geometry condition"/>
    <s v="Severely Fouled"/>
    <d v="2018-05-02T00:00:00"/>
    <m/>
    <m/>
    <m/>
    <s v="No"/>
    <m/>
    <m/>
    <m/>
    <s v="26.150 - 26.500"/>
    <s v="No"/>
    <m/>
    <m/>
    <m/>
  </r>
  <r>
    <x v="2"/>
    <m/>
    <x v="4"/>
    <x v="10"/>
    <s v="C138"/>
    <d v="2018-08-25T00:00:00"/>
    <x v="5"/>
    <n v="26.32"/>
    <n v="26.48"/>
    <n v="0.16000000000000014"/>
    <s v="Geometry condition"/>
    <s v="Severely Fouled"/>
    <d v="2018-04-17T00:00:00"/>
    <m/>
    <m/>
    <m/>
    <s v="No"/>
    <m/>
    <s v="Lubricators"/>
    <s v="resurfaced 18/02/2016"/>
    <m/>
    <s v="No"/>
    <m/>
    <m/>
    <m/>
  </r>
  <r>
    <x v="0"/>
    <m/>
    <x v="4"/>
    <x v="10"/>
    <s v="C138"/>
    <d v="2018-08-25T00:00:00"/>
    <x v="2"/>
    <n v="26.74"/>
    <n v="26.9"/>
    <n v="0.16000000000000014"/>
    <s v="Geometry condition"/>
    <s v="Severely Fouled"/>
    <d v="2018-05-02T00:00:00"/>
    <m/>
    <m/>
    <m/>
    <s v="No"/>
    <m/>
    <m/>
    <s v="Recon of level crossing in NMP for 2021 (26.722 - 26.797)"/>
    <s v="26.740 - 26.900"/>
    <s v="No"/>
    <m/>
    <m/>
    <m/>
  </r>
  <r>
    <x v="1"/>
    <m/>
    <x v="3"/>
    <x v="9"/>
    <s v="C047"/>
    <d v="2018-08-04T00:00:00"/>
    <x v="2"/>
    <n v="26.9"/>
    <n v="27.35"/>
    <n v="0.45000000000000284"/>
    <s v="Geometry condition"/>
    <s v="Severely Fouled"/>
    <d v="2018-05-09T00:00:00"/>
    <m/>
    <m/>
    <m/>
    <s v="No"/>
    <m/>
    <s v="Turnouts"/>
    <m/>
    <s v="26.900 - 27.350"/>
    <s v="No"/>
    <m/>
    <m/>
    <m/>
  </r>
  <r>
    <x v="1"/>
    <m/>
    <x v="3"/>
    <x v="9"/>
    <s v="C047"/>
    <m/>
    <x v="4"/>
    <n v="27.55"/>
    <n v="27.75"/>
    <n v="0.19999999999999929"/>
    <s v="Geometry condition"/>
    <s v="Severely Fouled"/>
    <d v="2018-05-10T00:00:00"/>
    <m/>
    <m/>
    <m/>
    <s v="No"/>
    <m/>
    <m/>
    <m/>
    <m/>
    <m/>
    <m/>
    <m/>
    <m/>
  </r>
  <r>
    <x v="0"/>
    <m/>
    <x v="4"/>
    <x v="10"/>
    <s v="C138"/>
    <d v="2018-08-25T00:00:00"/>
    <x v="4"/>
    <n v="27.8"/>
    <n v="28.15"/>
    <n v="0.34999999999999787"/>
    <s v="Geometry condition"/>
    <s v="Severely Fouled"/>
    <d v="2018-04-26T00:00:00"/>
    <m/>
    <m/>
    <s v="Yes"/>
    <s v="No"/>
    <m/>
    <m/>
    <s v="Cant through curve is creating TW10 issues"/>
    <m/>
    <s v="No"/>
    <m/>
    <m/>
    <m/>
  </r>
  <r>
    <x v="0"/>
    <m/>
    <x v="3"/>
    <x v="9"/>
    <s v="C047"/>
    <d v="2018-08-04T00:00:00"/>
    <x v="2"/>
    <n v="28"/>
    <n v="28.2"/>
    <n v="0.19999999999999929"/>
    <s v="Geometry condition, Field inspection"/>
    <s v="Highly Fouled"/>
    <d v="2018-05-09T00:00:00"/>
    <m/>
    <s v="Yes"/>
    <m/>
    <s v="No"/>
    <m/>
    <m/>
    <s v="Track is pumping"/>
    <s v="28.000 - 28.200"/>
    <s v="No"/>
    <m/>
    <m/>
    <m/>
  </r>
  <r>
    <x v="2"/>
    <m/>
    <x v="3"/>
    <x v="9"/>
    <s v="C047"/>
    <m/>
    <x v="4"/>
    <n v="28.95"/>
    <n v="29.15"/>
    <n v="0.19999999999999929"/>
    <s v="Geometry condition"/>
    <s v="Severely Fouled"/>
    <d v="2018-05-10T00:00:00"/>
    <m/>
    <m/>
    <m/>
    <s v="No"/>
    <m/>
    <s v="2x turnouts"/>
    <m/>
    <m/>
    <m/>
    <m/>
    <m/>
    <m/>
  </r>
  <r>
    <x v="2"/>
    <m/>
    <x v="3"/>
    <x v="9"/>
    <s v="C047"/>
    <m/>
    <x v="4"/>
    <n v="29.5"/>
    <n v="30"/>
    <n v="0.5"/>
    <s v="Geometry condition"/>
    <s v="Severely Fouled"/>
    <d v="2018-05-10T00:00:00"/>
    <m/>
    <m/>
    <m/>
    <s v="No"/>
    <m/>
    <m/>
    <s v="some sections have been undercut recently"/>
    <m/>
    <m/>
    <m/>
    <m/>
    <m/>
  </r>
  <r>
    <x v="1"/>
    <m/>
    <x v="3"/>
    <x v="9"/>
    <s v="C047"/>
    <m/>
    <x v="4"/>
    <n v="30"/>
    <n v="30.33"/>
    <n v="0.32999999999999829"/>
    <s v="Geometry condition"/>
    <s v="Severely Fouled"/>
    <d v="2018-05-10T00:00:00"/>
    <m/>
    <m/>
    <m/>
    <s v="No"/>
    <m/>
    <m/>
    <m/>
    <m/>
    <m/>
    <m/>
    <m/>
    <m/>
  </r>
  <r>
    <x v="1"/>
    <m/>
    <x v="3"/>
    <x v="9"/>
    <s v="C047"/>
    <m/>
    <x v="4"/>
    <n v="30.7"/>
    <n v="31.1"/>
    <n v="0.40000000000000213"/>
    <s v="Geometry condition"/>
    <s v="Highly Fouled"/>
    <d v="2018-05-10T00:00:00"/>
    <m/>
    <m/>
    <m/>
    <s v="No"/>
    <m/>
    <m/>
    <m/>
    <m/>
    <m/>
    <m/>
    <m/>
    <m/>
  </r>
  <r>
    <x v="0"/>
    <m/>
    <x v="3"/>
    <x v="9"/>
    <s v="C047"/>
    <d v="2018-08-04T00:00:00"/>
    <x v="2"/>
    <n v="31.6"/>
    <n v="32"/>
    <n v="0.39999999999999858"/>
    <s v="Geometry condition, Drainage issues, Field inspection"/>
    <s v="Severely Fouled"/>
    <d v="2018-05-09T00:00:00"/>
    <m/>
    <s v="Yes"/>
    <s v="Yes"/>
    <s v="No"/>
    <m/>
    <m/>
    <s v="Track pumping. Mud hole forming._x000a_Recently resurfaced"/>
    <s v="31.600 - 32.000"/>
    <s v="No"/>
    <m/>
    <m/>
    <m/>
  </r>
  <r>
    <x v="2"/>
    <m/>
    <x v="3"/>
    <x v="9"/>
    <s v="C047"/>
    <m/>
    <x v="4"/>
    <n v="31.7"/>
    <n v="32"/>
    <n v="0.30000000000000071"/>
    <s v="Geometry condition"/>
    <s v="Severely Fouled"/>
    <d v="2018-05-10T00:00:00"/>
    <m/>
    <m/>
    <m/>
    <s v="No"/>
    <m/>
    <m/>
    <m/>
    <m/>
    <m/>
    <m/>
    <m/>
    <m/>
  </r>
  <r>
    <x v="0"/>
    <m/>
    <x v="3"/>
    <x v="9"/>
    <s v="C047"/>
    <m/>
    <x v="4"/>
    <n v="32.9"/>
    <n v="33.4"/>
    <n v="0.5"/>
    <s v="Geometry condition"/>
    <s v="Highly Fouled"/>
    <d v="2018-05-10T00:00:00"/>
    <m/>
    <m/>
    <s v="Yes"/>
    <s v="No"/>
    <m/>
    <m/>
    <s v="In NMP to undercut 33.100 - 33.200 in 2016 (not complete)"/>
    <m/>
    <m/>
    <m/>
    <m/>
    <m/>
  </r>
  <r>
    <x v="0"/>
    <m/>
    <x v="3"/>
    <x v="9"/>
    <s v="C047"/>
    <m/>
    <x v="4"/>
    <n v="33.5"/>
    <n v="33.9"/>
    <n v="0.39999999999999858"/>
    <s v="Geometry condition"/>
    <s v="Fouled"/>
    <d v="2018-05-10T00:00:00"/>
    <m/>
    <m/>
    <s v="Yes"/>
    <s v="No"/>
    <m/>
    <m/>
    <s v="Investigation requried.  Foul ballast may not be the issue on this curve."/>
    <m/>
    <s v="Tentative"/>
    <m/>
    <m/>
    <m/>
  </r>
  <r>
    <x v="1"/>
    <m/>
    <x v="3"/>
    <x v="9"/>
    <s v="C047"/>
    <m/>
    <x v="4"/>
    <n v="34.4"/>
    <n v="35.299999999999997"/>
    <n v="0.89999999999999858"/>
    <s v="Geometry condition"/>
    <s v="Severely Fouled"/>
    <d v="2018-05-10T00:00:00"/>
    <m/>
    <m/>
    <s v="Yes"/>
    <s v="No"/>
    <m/>
    <m/>
    <m/>
    <m/>
    <m/>
    <m/>
    <m/>
    <m/>
  </r>
  <r>
    <x v="0"/>
    <m/>
    <x v="3"/>
    <x v="9"/>
    <s v="C047"/>
    <d v="2018-08-04T00:00:00"/>
    <x v="2"/>
    <n v="34.9"/>
    <n v="35.200000000000003"/>
    <n v="0.30000000000000426"/>
    <s v="Geometry condition"/>
    <s v="Severely Fouled"/>
    <d v="2018-05-10T00:00:00"/>
    <m/>
    <m/>
    <m/>
    <s v="No"/>
    <m/>
    <m/>
    <s v="NMP says track was reconditioned in 2015/2016. TRC and GPR doesn't reflect this. Need to investigate on site condition of ballast"/>
    <s v="34.900 - 35.200"/>
    <s v="Tentative"/>
    <m/>
    <m/>
    <m/>
  </r>
  <r>
    <x v="0"/>
    <m/>
    <x v="3"/>
    <x v="9"/>
    <s v="C047"/>
    <m/>
    <x v="4"/>
    <n v="35.6"/>
    <n v="36"/>
    <n v="0.39999999999999858"/>
    <s v="Geometry condition"/>
    <s v="Fouled"/>
    <d v="2018-05-10T00:00:00"/>
    <m/>
    <m/>
    <m/>
    <s v="No"/>
    <m/>
    <m/>
    <s v="rough track.  Bad top and line."/>
    <m/>
    <m/>
    <m/>
    <m/>
    <m/>
  </r>
  <r>
    <x v="2"/>
    <m/>
    <x v="4"/>
    <x v="10"/>
    <s v="C138"/>
    <d v="2018-08-25T00:00:00"/>
    <x v="4"/>
    <n v="37.15"/>
    <n v="37.4"/>
    <n v="0.25"/>
    <s v="Geometry condition"/>
    <s v="Severely Fouled"/>
    <d v="2018-04-26T00:00:00"/>
    <m/>
    <m/>
    <s v="Yes"/>
    <s v="Yes"/>
    <m/>
    <s v="Turnout"/>
    <s v="U/C from 37.270 - 37.300 31/8/14. In NMP for turnout upgrade and formation repairs from 37.201km - 37.321km in June 2020"/>
    <m/>
    <s v="No"/>
    <m/>
    <m/>
    <m/>
  </r>
  <r>
    <x v="1"/>
    <m/>
    <x v="3"/>
    <x v="9"/>
    <s v="C047"/>
    <s v=" "/>
    <x v="2"/>
    <n v="37.200000000000003"/>
    <n v="38.15"/>
    <n v="0.94999999999999574"/>
    <s v="Geometry condition"/>
    <s v="Severely Fouled"/>
    <d v="2018-05-10T00:00:00"/>
    <m/>
    <m/>
    <m/>
    <m/>
    <m/>
    <s v="Turnouts, Ipswich Station"/>
    <s v="Requires further Investigation due to multiple turnouts through area._x000a_In NMP to be reconditioned though Ipswich Station in 2021"/>
    <s v="37.200 - 38.150"/>
    <s v="Tentative"/>
    <m/>
    <m/>
    <m/>
  </r>
  <r>
    <x v="1"/>
    <m/>
    <x v="4"/>
    <x v="10"/>
    <s v="C138"/>
    <d v="2018-08-25T00:00:00"/>
    <x v="4"/>
    <n v="37.799999999999997"/>
    <n v="37.950000000000003"/>
    <n v="0.15000000000000568"/>
    <s v="Geometry condition"/>
    <s v="Severely Fouled"/>
    <d v="2018-04-26T00:00:00"/>
    <m/>
    <m/>
    <s v="Yes"/>
    <s v="No"/>
    <m/>
    <m/>
    <s v="U/C from 37.900 - 37.950 in 2014, from 37.830 - 37.870 in 2015"/>
    <m/>
    <s v="No"/>
    <m/>
    <m/>
    <m/>
  </r>
  <r>
    <x v="0"/>
    <m/>
    <x v="4"/>
    <x v="10"/>
    <s v="C138"/>
    <d v="2018-08-25T00:00:00"/>
    <x v="4"/>
    <n v="38.35"/>
    <n v="38.5"/>
    <n v="0.14999999999999858"/>
    <s v="Geometry condition"/>
    <s v="Severely Fouled"/>
    <d v="2018-04-26T00:00:00"/>
    <m/>
    <m/>
    <s v="Yes"/>
    <s v="Yes"/>
    <m/>
    <m/>
    <s v="U/C from 38.417 - 38.450 &amp; 38.480 - 38.500 in 2015, from 38. in 2015. In NMP to be undercut from 38.350 - 38.850 - no date specifid (was 2017)"/>
    <m/>
    <s v="No"/>
    <m/>
    <m/>
    <m/>
  </r>
  <r>
    <x v="2"/>
    <m/>
    <x v="3"/>
    <x v="12"/>
    <s v="C092"/>
    <d v="2018-08-04T00:00:00"/>
    <x v="2"/>
    <n v="39.450000000000003"/>
    <n v="39.6"/>
    <n v="0.14999999999999858"/>
    <s v="Geometry condition"/>
    <s v="Severely Fouled"/>
    <d v="2018-05-10T00:00:00"/>
    <m/>
    <m/>
    <m/>
    <m/>
    <m/>
    <s v="Culvert"/>
    <m/>
    <s v="39.450 - 39.600"/>
    <s v="No"/>
    <m/>
    <m/>
    <m/>
  </r>
  <r>
    <x v="1"/>
    <m/>
    <x v="4"/>
    <x v="10"/>
    <s v="C138"/>
    <d v="2018-08-25T00:00:00"/>
    <x v="4"/>
    <n v="47.1"/>
    <n v="47.4"/>
    <n v="0.29999999999999716"/>
    <s v="Geometry condition"/>
    <s v="Severely Fouled"/>
    <d v="2018-04-26T00:00:00"/>
    <m/>
    <m/>
    <s v="Yes"/>
    <s v="Yes"/>
    <m/>
    <s v="Morayfield Platform"/>
    <s v="In NMP to be undercut from 46.000 - 47.300 in 2019"/>
    <m/>
    <s v="No"/>
    <m/>
    <m/>
    <m/>
  </r>
  <r>
    <x v="1"/>
    <m/>
    <x v="3"/>
    <x v="12"/>
    <s v="C092"/>
    <d v="2018-08-04T00:00:00"/>
    <x v="2"/>
    <n v="47.68"/>
    <n v="47.8"/>
    <n v="0.11999999999999744"/>
    <s v="Geometry condition"/>
    <s v="Highly Fouled"/>
    <d v="2018-05-10T00:00:00"/>
    <m/>
    <m/>
    <s v="Yes"/>
    <s v="No"/>
    <m/>
    <s v="Walloon Station"/>
    <m/>
    <s v="47.680 - 47.800"/>
    <s v="No"/>
    <m/>
    <m/>
    <m/>
  </r>
  <r>
    <x v="1"/>
    <m/>
    <x v="3"/>
    <x v="12"/>
    <s v="C092"/>
    <d v="2018-08-04T00:00:00"/>
    <x v="2"/>
    <n v="48.85"/>
    <n v="48.92"/>
    <n v="7.0000000000000284E-2"/>
    <s v="Geometry condition"/>
    <s v="Severely Fouled"/>
    <d v="2018-05-10T00:00:00"/>
    <m/>
    <m/>
    <m/>
    <s v="No"/>
    <m/>
    <m/>
    <m/>
    <s v="48.850 - 48.920"/>
    <s v="No"/>
    <m/>
    <m/>
    <m/>
  </r>
  <r>
    <x v="2"/>
    <m/>
    <x v="3"/>
    <x v="12"/>
    <s v="C092"/>
    <d v="2018-08-04T00:00:00"/>
    <x v="2"/>
    <n v="52.22"/>
    <n v="52.31"/>
    <n v="9.0000000000003411E-2"/>
    <s v="Geometry condition"/>
    <s v="Severely Fouled"/>
    <d v="2018-05-10T00:00:00"/>
    <m/>
    <m/>
    <m/>
    <s v="No"/>
    <m/>
    <m/>
    <s v="NMP suggests this was reconditioned in 2014. GPR shows fouled ballast. Investigate"/>
    <s v="52.220 - 52.310"/>
    <s v="Tentative"/>
    <m/>
    <m/>
    <m/>
  </r>
  <r>
    <x v="0"/>
    <m/>
    <x v="4"/>
    <x v="13"/>
    <s v="C131"/>
    <d v="2018-06-02T00:00:00"/>
    <x v="6"/>
    <n v="146.9"/>
    <n v="147.6"/>
    <n v="0.69999999999998863"/>
    <m/>
    <s v="Highly Fouled"/>
    <d v="2018-05-09T00:00:00"/>
    <m/>
    <m/>
    <m/>
    <m/>
    <m/>
    <m/>
    <s v="Planned for 02/06/18"/>
    <s v="146.900 - 147.600"/>
    <s v="No"/>
    <m/>
    <m/>
    <m/>
  </r>
  <r>
    <x v="0"/>
    <m/>
    <x v="4"/>
    <x v="13"/>
    <s v="C131"/>
    <d v="2018-06-02T00:00:00"/>
    <x v="6"/>
    <n v="147.75"/>
    <n v="147.94999999999999"/>
    <n v="0.19999999999998863"/>
    <m/>
    <s v="Severely Fouled"/>
    <d v="2018-05-09T00:00:00"/>
    <m/>
    <m/>
    <m/>
    <m/>
    <m/>
    <m/>
    <s v="Planned for 02/06/18"/>
    <s v="147.750 - 147.950"/>
    <s v="No"/>
    <m/>
    <m/>
    <m/>
  </r>
  <r>
    <x v="2"/>
    <m/>
    <x v="3"/>
    <x v="4"/>
    <s v="C172"/>
    <d v="2018-07-21T00:00:00"/>
    <x v="2"/>
    <n v="0.65"/>
    <n v="0.9"/>
    <n v="0.25"/>
    <s v="Geometry condition"/>
    <s v="Severely Fouled"/>
    <d v="2018-05-10T00:00:00"/>
    <m/>
    <m/>
    <m/>
    <m/>
    <m/>
    <m/>
    <m/>
    <m/>
    <s v="No"/>
    <m/>
    <m/>
    <m/>
  </r>
  <r>
    <x v="1"/>
    <m/>
    <x v="3"/>
    <x v="4"/>
    <s v="C172"/>
    <d v="2018-07-21T00:00:00"/>
    <x v="2"/>
    <n v="1.35"/>
    <n v="1.6"/>
    <n v="0.25"/>
    <s v="Geometry condition"/>
    <s v="Severely Fouled"/>
    <d v="2018-05-10T00:00:00"/>
    <m/>
    <m/>
    <m/>
    <m/>
    <m/>
    <s v="Milton Platform"/>
    <m/>
    <m/>
    <s v="No"/>
    <m/>
    <m/>
    <m/>
  </r>
  <r>
    <x v="1"/>
    <m/>
    <x v="3"/>
    <x v="4"/>
    <s v="C172"/>
    <d v="2018-07-21T00:00:00"/>
    <x v="2"/>
    <n v="2.3199999999999998"/>
    <n v="2.42"/>
    <n v="0.10000000000000009"/>
    <s v="Geometry condition"/>
    <s v="Severely Fouled"/>
    <d v="2018-05-10T00:00:00"/>
    <m/>
    <m/>
    <m/>
    <m/>
    <m/>
    <m/>
    <m/>
    <m/>
    <s v="No"/>
    <m/>
    <m/>
    <m/>
  </r>
  <r>
    <x v="2"/>
    <m/>
    <x v="3"/>
    <x v="4"/>
    <s v="C172"/>
    <d v="2018-07-21T00:00:00"/>
    <x v="2"/>
    <n v="2.6"/>
    <n v="2.85"/>
    <n v="0.25"/>
    <s v="Geometry condition"/>
    <s v="Fouled"/>
    <d v="2018-05-10T00:00:00"/>
    <m/>
    <m/>
    <m/>
    <m/>
    <m/>
    <s v="Auchenflower Platform"/>
    <m/>
    <m/>
    <s v="No"/>
    <m/>
    <m/>
    <m/>
  </r>
  <r>
    <x v="2"/>
    <m/>
    <x v="3"/>
    <x v="4"/>
    <s v="C172"/>
    <d v="2018-07-21T00:00:00"/>
    <x v="2"/>
    <n v="4.75"/>
    <n v="4.95"/>
    <n v="0.20000000000000018"/>
    <s v="Geometry condition"/>
    <s v="Severely Fouled"/>
    <d v="2018-05-10T00:00:00"/>
    <m/>
    <m/>
    <m/>
    <m/>
    <m/>
    <s v="OTV Pad"/>
    <m/>
    <m/>
    <s v="No"/>
    <m/>
    <m/>
    <m/>
  </r>
  <r>
    <x v="2"/>
    <m/>
    <x v="3"/>
    <x v="4"/>
    <s v="C172"/>
    <d v="2018-07-21T00:00:00"/>
    <x v="2"/>
    <n v="5.65"/>
    <n v="5.75"/>
    <n v="9.9999999999999645E-2"/>
    <s v="Geometry condition"/>
    <s v="Fouled"/>
    <d v="2018-05-10T00:00:00"/>
    <m/>
    <m/>
    <m/>
    <m/>
    <m/>
    <m/>
    <m/>
    <m/>
    <s v="No"/>
    <m/>
    <m/>
    <m/>
  </r>
  <r>
    <x v="0"/>
    <m/>
    <x v="3"/>
    <x v="4"/>
    <s v="C172"/>
    <d v="2018-07-21T00:00:00"/>
    <x v="2"/>
    <n v="7.13"/>
    <n v="7.42"/>
    <n v="0.29000000000000004"/>
    <s v="Geometry condition"/>
    <s v="Severely Fouled"/>
    <d v="2018-05-10T00:00:00"/>
    <m/>
    <m/>
    <m/>
    <m/>
    <m/>
    <m/>
    <m/>
    <m/>
    <s v="No"/>
    <m/>
    <m/>
    <m/>
  </r>
  <r>
    <x v="1"/>
    <m/>
    <x v="3"/>
    <x v="4"/>
    <s v="C172"/>
    <d v="2018-07-21T00:00:00"/>
    <x v="2"/>
    <n v="8.15"/>
    <n v="8.5"/>
    <n v="0.34999999999999964"/>
    <s v="Geometry condition"/>
    <s v="Severely Fouled"/>
    <d v="2018-05-10T00:00:00"/>
    <m/>
    <m/>
    <m/>
    <m/>
    <m/>
    <m/>
    <m/>
    <m/>
    <s v="No"/>
    <m/>
    <m/>
    <m/>
  </r>
  <r>
    <x v="2"/>
    <m/>
    <x v="3"/>
    <x v="4"/>
    <s v="C172"/>
    <d v="2018-07-21T00:00:00"/>
    <x v="2"/>
    <n v="8.5"/>
    <n v="8.77"/>
    <n v="0.26999999999999957"/>
    <s v="Geometry condition"/>
    <s v="Fouled"/>
    <d v="2018-05-10T00:00:00"/>
    <m/>
    <m/>
    <m/>
    <m/>
    <m/>
    <s v="Graceville Platform"/>
    <m/>
    <m/>
    <s v="No"/>
    <m/>
    <m/>
    <m/>
  </r>
  <r>
    <x v="1"/>
    <m/>
    <x v="3"/>
    <x v="4"/>
    <s v="C172"/>
    <d v="2018-07-21T00:00:00"/>
    <x v="2"/>
    <n v="9.35"/>
    <n v="9.7200000000000006"/>
    <n v="0.37000000000000099"/>
    <s v="Geometry condition"/>
    <s v="Fouled"/>
    <d v="2018-05-10T00:00:00"/>
    <m/>
    <m/>
    <m/>
    <m/>
    <m/>
    <m/>
    <m/>
    <m/>
    <s v="No"/>
    <m/>
    <m/>
    <m/>
  </r>
  <r>
    <x v="0"/>
    <m/>
    <x v="3"/>
    <x v="4"/>
    <s v="C172"/>
    <d v="2018-07-21T00:00:00"/>
    <x v="2"/>
    <n v="10.7"/>
    <n v="11.03"/>
    <n v="0.33000000000000007"/>
    <s v="Geometry condition"/>
    <s v="Severely Fouled"/>
    <d v="2018-05-10T00:00:00"/>
    <m/>
    <m/>
    <m/>
    <m/>
    <m/>
    <s v="Corinda Platform"/>
    <m/>
    <m/>
    <s v="No"/>
    <m/>
    <m/>
    <m/>
  </r>
  <r>
    <x v="2"/>
    <m/>
    <x v="3"/>
    <x v="4"/>
    <s v="C172"/>
    <d v="2018-07-21T00:00:00"/>
    <x v="4"/>
    <n v="0.6"/>
    <n v="0.85"/>
    <n v="0.25"/>
    <s v="Geometry condition"/>
    <s v="Severely Fouled"/>
    <d v="2018-05-10T00:00:00"/>
    <m/>
    <m/>
    <m/>
    <m/>
    <m/>
    <m/>
    <m/>
    <m/>
    <s v="No"/>
    <m/>
    <m/>
    <m/>
  </r>
  <r>
    <x v="2"/>
    <m/>
    <x v="3"/>
    <x v="4"/>
    <s v="C172"/>
    <d v="2018-07-21T00:00:00"/>
    <x v="4"/>
    <n v="1.38"/>
    <n v="1.55"/>
    <n v="0.17000000000000015"/>
    <s v="Geometry condition"/>
    <s v="Severely Fouled"/>
    <d v="2018-05-10T00:00:00"/>
    <m/>
    <m/>
    <m/>
    <m/>
    <m/>
    <s v="Milton Platform"/>
    <m/>
    <m/>
    <s v="No"/>
    <m/>
    <m/>
    <m/>
  </r>
  <r>
    <x v="2"/>
    <m/>
    <x v="3"/>
    <x v="4"/>
    <s v="C172"/>
    <d v="2018-07-21T00:00:00"/>
    <x v="4"/>
    <n v="3.5"/>
    <n v="3.85"/>
    <n v="0.35000000000000009"/>
    <s v="Geometry condition"/>
    <s v="Severely Fouled"/>
    <d v="2018-05-10T00:00:00"/>
    <m/>
    <m/>
    <m/>
    <m/>
    <m/>
    <s v="Toowong Platform"/>
    <m/>
    <m/>
    <s v="No"/>
    <m/>
    <m/>
    <m/>
  </r>
  <r>
    <x v="1"/>
    <m/>
    <x v="3"/>
    <x v="4"/>
    <s v="C172"/>
    <d v="2018-07-21T00:00:00"/>
    <x v="4"/>
    <n v="5.0999999999999996"/>
    <n v="5.3"/>
    <n v="0.20000000000000018"/>
    <s v="Geometry condition"/>
    <s v="Highly Fouled"/>
    <d v="2018-05-10T00:00:00"/>
    <m/>
    <m/>
    <m/>
    <m/>
    <m/>
    <s v="Taringa Platform"/>
    <m/>
    <m/>
    <s v="No"/>
    <m/>
    <m/>
    <m/>
  </r>
  <r>
    <x v="1"/>
    <m/>
    <x v="3"/>
    <x v="4"/>
    <s v="C172"/>
    <d v="2018-07-21T00:00:00"/>
    <x v="4"/>
    <n v="5.65"/>
    <n v="5.75"/>
    <n v="9.9999999999999645E-2"/>
    <s v="Geometry condition"/>
    <s v="Severely Fouled"/>
    <d v="2018-05-10T00:00:00"/>
    <m/>
    <m/>
    <m/>
    <m/>
    <m/>
    <m/>
    <m/>
    <m/>
    <s v="No"/>
    <m/>
    <m/>
    <m/>
  </r>
  <r>
    <x v="1"/>
    <m/>
    <x v="3"/>
    <x v="4"/>
    <s v="C172"/>
    <d v="2018-07-21T00:00:00"/>
    <x v="4"/>
    <n v="6.4"/>
    <n v="6.72"/>
    <n v="0.3199999999999994"/>
    <s v="Geometry condition"/>
    <s v="Severely Fouled"/>
    <d v="2018-05-10T00:00:00"/>
    <m/>
    <m/>
    <m/>
    <m/>
    <m/>
    <s v="Indooroopilly Platform"/>
    <m/>
    <m/>
    <s v="No"/>
    <m/>
    <m/>
    <m/>
  </r>
  <r>
    <x v="2"/>
    <m/>
    <x v="3"/>
    <x v="4"/>
    <s v="C172"/>
    <d v="2018-07-21T00:00:00"/>
    <x v="4"/>
    <n v="7.12"/>
    <n v="7.3"/>
    <n v="0.17999999999999972"/>
    <s v="Geometry condition"/>
    <s v="Severely Fouled"/>
    <d v="2018-05-10T00:00:00"/>
    <m/>
    <m/>
    <m/>
    <m/>
    <m/>
    <m/>
    <m/>
    <m/>
    <s v="No"/>
    <m/>
    <m/>
    <m/>
  </r>
  <r>
    <x v="1"/>
    <m/>
    <x v="3"/>
    <x v="4"/>
    <s v="C172"/>
    <d v="2018-07-21T00:00:00"/>
    <x v="4"/>
    <n v="7.9"/>
    <n v="8.06"/>
    <n v="0.16000000000000014"/>
    <s v="Geometry condition"/>
    <s v="Fouled"/>
    <d v="2018-05-10T00:00:00"/>
    <m/>
    <m/>
    <m/>
    <m/>
    <m/>
    <m/>
    <m/>
    <m/>
    <s v="No"/>
    <m/>
    <m/>
    <m/>
  </r>
  <r>
    <x v="0"/>
    <m/>
    <x v="3"/>
    <x v="4"/>
    <s v="C172"/>
    <d v="2018-07-21T00:00:00"/>
    <x v="4"/>
    <n v="8.18"/>
    <n v="8.3000000000000007"/>
    <n v="0.12000000000000099"/>
    <s v="Geometry condition"/>
    <s v="Moderately Fouled"/>
    <d v="2018-05-10T00:00:00"/>
    <m/>
    <m/>
    <m/>
    <m/>
    <m/>
    <m/>
    <m/>
    <m/>
    <s v="No"/>
    <m/>
    <m/>
    <m/>
  </r>
  <r>
    <x v="0"/>
    <m/>
    <x v="3"/>
    <x v="4"/>
    <s v="C172"/>
    <d v="2018-07-21T00:00:00"/>
    <x v="4"/>
    <n v="8.5500000000000007"/>
    <n v="8.9"/>
    <n v="0.34999999999999964"/>
    <s v="Geometry condition"/>
    <s v="Severely Fouled"/>
    <d v="2018-05-10T00:00:00"/>
    <m/>
    <m/>
    <m/>
    <m/>
    <m/>
    <s v="Graceville Platform/ Subway"/>
    <m/>
    <m/>
    <s v="No"/>
    <m/>
    <m/>
    <m/>
  </r>
  <r>
    <x v="1"/>
    <m/>
    <x v="3"/>
    <x v="4"/>
    <s v="C172"/>
    <d v="2018-07-21T00:00:00"/>
    <x v="4"/>
    <n v="8.9"/>
    <n v="9.16"/>
    <n v="0.25999999999999979"/>
    <s v="Geometry condition"/>
    <s v="Highly Fouled"/>
    <d v="2018-05-10T00:00:00"/>
    <m/>
    <m/>
    <m/>
    <m/>
    <m/>
    <m/>
    <m/>
    <m/>
    <s v="No"/>
    <m/>
    <m/>
    <m/>
  </r>
  <r>
    <x v="1"/>
    <m/>
    <x v="3"/>
    <x v="4"/>
    <s v="C172"/>
    <d v="2018-07-21T00:00:00"/>
    <x v="4"/>
    <n v="9.65"/>
    <n v="9.85"/>
    <n v="0.19999999999999929"/>
    <s v="Geometry condition"/>
    <s v="Highly Fouled"/>
    <d v="2018-05-10T00:00:00"/>
    <m/>
    <m/>
    <m/>
    <m/>
    <m/>
    <s v="#467A/B"/>
    <m/>
    <m/>
    <s v="No"/>
    <m/>
    <m/>
    <m/>
  </r>
  <r>
    <x v="1"/>
    <m/>
    <x v="3"/>
    <x v="4"/>
    <s v="C172"/>
    <d v="2018-07-21T00:00:00"/>
    <x v="4"/>
    <n v="10.199999999999999"/>
    <n v="10.42"/>
    <n v="0.22000000000000064"/>
    <s v="Geometry condition"/>
    <s v="Highly Fouled"/>
    <d v="2018-05-10T00:00:00"/>
    <m/>
    <m/>
    <m/>
    <m/>
    <m/>
    <s v="#455C/D"/>
    <m/>
    <m/>
    <s v="No"/>
    <m/>
    <m/>
    <m/>
  </r>
  <r>
    <x v="2"/>
    <m/>
    <x v="3"/>
    <x v="4"/>
    <s v="C172"/>
    <d v="2018-07-21T00:00:00"/>
    <x v="4"/>
    <n v="10.59"/>
    <n v="10.95"/>
    <n v="0.35999999999999943"/>
    <s v="Geometry condition"/>
    <s v="Severely Fouled"/>
    <d v="2018-05-10T00:00:00"/>
    <m/>
    <m/>
    <m/>
    <m/>
    <m/>
    <s v="Corinda Platform"/>
    <m/>
    <m/>
    <s v="No"/>
    <m/>
    <m/>
    <m/>
  </r>
  <r>
    <x v="0"/>
    <m/>
    <x v="6"/>
    <x v="7"/>
    <s v="C048"/>
    <m/>
    <x v="2"/>
    <n v="0.3"/>
    <n v="0.65"/>
    <n v="0.35000000000000003"/>
    <s v="Geometry condition"/>
    <s v="Severely Fouled"/>
    <d v="2018-05-10T00:00:00"/>
    <m/>
    <m/>
    <m/>
    <m/>
    <m/>
    <s v="Turnouts"/>
    <m/>
    <m/>
    <s v="No"/>
    <m/>
    <m/>
    <m/>
  </r>
  <r>
    <x v="1"/>
    <m/>
    <x v="6"/>
    <x v="7"/>
    <s v="C048"/>
    <m/>
    <x v="2"/>
    <n v="1"/>
    <n v="1.2"/>
    <n v="0.19999999999999996"/>
    <s v="Geometry condition"/>
    <s v="Severely Fouled"/>
    <d v="2018-05-10T00:00:00"/>
    <m/>
    <m/>
    <m/>
    <m/>
    <m/>
    <s v="Old Tennyson Platform"/>
    <m/>
    <m/>
    <s v="No"/>
    <m/>
    <m/>
    <m/>
  </r>
  <r>
    <x v="0"/>
    <m/>
    <x v="6"/>
    <x v="7"/>
    <s v="C048"/>
    <m/>
    <x v="2"/>
    <n v="1.25"/>
    <n v="1.5"/>
    <n v="0.25"/>
    <s v="Geometry condition"/>
    <s v="Severely Fouled"/>
    <d v="2018-05-10T00:00:00"/>
    <m/>
    <m/>
    <m/>
    <m/>
    <m/>
    <s v="Turnouts"/>
    <m/>
    <m/>
    <s v="No"/>
    <m/>
    <m/>
    <m/>
  </r>
  <r>
    <x v="2"/>
    <m/>
    <x v="6"/>
    <x v="7"/>
    <s v="C048"/>
    <m/>
    <x v="4"/>
    <n v="0.3"/>
    <n v="0.55000000000000004"/>
    <n v="0.25000000000000006"/>
    <s v="Geometry condition"/>
    <s v="Highly Fouled"/>
    <d v="2018-05-10T00:00:00"/>
    <m/>
    <m/>
    <m/>
    <m/>
    <m/>
    <s v="Turnouts"/>
    <m/>
    <m/>
    <s v="No"/>
    <m/>
    <m/>
    <m/>
  </r>
  <r>
    <x v="1"/>
    <m/>
    <x v="6"/>
    <x v="7"/>
    <s v="C048"/>
    <m/>
    <x v="4"/>
    <n v="1.2"/>
    <n v="1.32"/>
    <n v="0.12000000000000011"/>
    <s v="Geometry condition"/>
    <s v="Severely Fouled"/>
    <d v="2018-05-10T00:00:00"/>
    <m/>
    <m/>
    <m/>
    <m/>
    <m/>
    <s v="#488A"/>
    <m/>
    <m/>
    <s v="No"/>
    <m/>
    <m/>
    <m/>
  </r>
  <r>
    <x v="0"/>
    <m/>
    <x v="6"/>
    <x v="7"/>
    <s v="C048"/>
    <m/>
    <x v="4"/>
    <n v="1.4"/>
    <n v="1.6"/>
    <n v="0.20000000000000018"/>
    <s v="Geometry condition"/>
    <s v="Severely Fouled"/>
    <d v="2018-05-10T00:00:00"/>
    <m/>
    <m/>
    <m/>
    <m/>
    <m/>
    <m/>
    <m/>
    <m/>
    <s v="No"/>
    <m/>
    <m/>
    <m/>
  </r>
  <r>
    <x v="1"/>
    <m/>
    <x v="6"/>
    <x v="7"/>
    <s v="C048"/>
    <m/>
    <x v="4"/>
    <n v="2.9"/>
    <n v="3"/>
    <n v="0.10000000000000009"/>
    <s v="Geometry condition"/>
    <s v="Severely Fouled"/>
    <d v="2018-05-10T00:00:00"/>
    <m/>
    <m/>
    <m/>
    <m/>
    <m/>
    <m/>
    <m/>
    <m/>
    <s v="No"/>
    <m/>
    <m/>
    <m/>
  </r>
  <r>
    <x v="2"/>
    <m/>
    <x v="6"/>
    <x v="7"/>
    <s v="C048"/>
    <m/>
    <x v="4"/>
    <n v="3.47"/>
    <n v="3.72"/>
    <n v="0.25"/>
    <s v="Geometry condition"/>
    <s v="Severely Fouled"/>
    <d v="2018-05-10T00:00:00"/>
    <m/>
    <m/>
    <m/>
    <m/>
    <m/>
    <s v="Turnouts"/>
    <m/>
    <m/>
    <s v="No"/>
    <m/>
    <m/>
    <m/>
  </r>
  <r>
    <x v="0"/>
    <m/>
    <x v="4"/>
    <x v="5"/>
    <s v="C173"/>
    <m/>
    <x v="4"/>
    <n v="0.5"/>
    <n v="0.6"/>
    <n v="9.9999999999999978E-2"/>
    <s v="Geometry condition"/>
    <s v="Severely Fouled"/>
    <d v="2018-05-10T00:00:00"/>
    <m/>
    <m/>
    <m/>
    <m/>
    <m/>
    <m/>
    <m/>
    <m/>
    <s v="No"/>
    <m/>
    <m/>
    <m/>
  </r>
  <r>
    <x v="0"/>
    <m/>
    <x v="4"/>
    <x v="5"/>
    <s v="C173"/>
    <m/>
    <x v="4"/>
    <n v="1.2"/>
    <n v="1.3"/>
    <n v="0.10000000000000009"/>
    <s v="Geometry condition"/>
    <s v="Highly Fouled"/>
    <d v="2018-05-10T00:00:00"/>
    <m/>
    <m/>
    <m/>
    <m/>
    <m/>
    <s v="OTV Pad &amp; Tout"/>
    <m/>
    <m/>
    <s v="No"/>
    <m/>
    <m/>
    <m/>
  </r>
  <r>
    <x v="1"/>
    <m/>
    <x v="4"/>
    <x v="5"/>
    <s v="C173"/>
    <m/>
    <x v="4"/>
    <n v="1.35"/>
    <n v="1.5"/>
    <n v="0.14999999999999991"/>
    <s v="Geometry condition"/>
    <s v="Highly Fouled"/>
    <d v="2018-05-10T00:00:00"/>
    <m/>
    <m/>
    <m/>
    <m/>
    <m/>
    <s v="Turnoutts"/>
    <m/>
    <m/>
    <s v="No"/>
    <m/>
    <m/>
    <m/>
  </r>
  <r>
    <x v="2"/>
    <m/>
    <x v="4"/>
    <x v="5"/>
    <s v="C173"/>
    <m/>
    <x v="4"/>
    <n v="2.36"/>
    <n v="2.6"/>
    <n v="0.24000000000000021"/>
    <s v="Geometry condition"/>
    <s v="Highly Fouled"/>
    <d v="2018-05-10T00:00:00"/>
    <m/>
    <m/>
    <m/>
    <m/>
    <m/>
    <s v="Turnoutts"/>
    <m/>
    <m/>
    <s v="No"/>
    <m/>
    <m/>
    <m/>
  </r>
  <r>
    <x v="0"/>
    <m/>
    <x v="4"/>
    <x v="5"/>
    <s v="C173"/>
    <m/>
    <x v="4"/>
    <n v="3.63"/>
    <n v="4"/>
    <n v="0.37000000000000011"/>
    <s v="Geometry condition"/>
    <s v="Severely Fouled"/>
    <d v="2018-05-10T00:00:00"/>
    <m/>
    <m/>
    <m/>
    <m/>
    <m/>
    <s v="Turnoutts"/>
    <m/>
    <m/>
    <s v="No"/>
    <m/>
    <m/>
    <m/>
  </r>
  <r>
    <x v="1"/>
    <m/>
    <x v="4"/>
    <x v="5"/>
    <s v="C173"/>
    <m/>
    <x v="2"/>
    <n v="1.95"/>
    <n v="2.15"/>
    <n v="0.19999999999999996"/>
    <s v="Geometry condition"/>
    <s v="Highly Fouled"/>
    <d v="2018-05-10T00:00:00"/>
    <m/>
    <m/>
    <m/>
    <m/>
    <m/>
    <s v="Turnoutts"/>
    <m/>
    <m/>
    <s v="No"/>
    <m/>
    <m/>
    <m/>
  </r>
  <r>
    <x v="1"/>
    <m/>
    <x v="4"/>
    <x v="5"/>
    <s v="C173"/>
    <m/>
    <x v="2"/>
    <n v="2.5499999999999998"/>
    <n v="2.65"/>
    <n v="0.10000000000000009"/>
    <s v="Geometry condition"/>
    <s v="Severely Fouled"/>
    <d v="2018-05-10T00:00:00"/>
    <m/>
    <m/>
    <m/>
    <m/>
    <m/>
    <m/>
    <m/>
    <m/>
    <s v="No"/>
    <m/>
    <m/>
    <m/>
  </r>
  <r>
    <x v="2"/>
    <m/>
    <x v="4"/>
    <x v="5"/>
    <s v="C173"/>
    <m/>
    <x v="2"/>
    <n v="3.1"/>
    <n v="3.23"/>
    <n v="0.12999999999999989"/>
    <s v="Geometry condition"/>
    <s v="Highly Fouled"/>
    <d v="2018-05-10T00:00:00"/>
    <m/>
    <m/>
    <m/>
    <m/>
    <m/>
    <s v="Turnoutts"/>
    <m/>
    <m/>
    <s v="No"/>
    <m/>
    <m/>
    <m/>
  </r>
  <r>
    <x v="0"/>
    <m/>
    <x v="4"/>
    <x v="5"/>
    <s v="C173"/>
    <m/>
    <x v="2"/>
    <n v="3.6"/>
    <n v="3.93"/>
    <n v="0.33000000000000007"/>
    <s v="Geometry condition"/>
    <s v="Highly Fouled"/>
    <d v="2018-05-10T00:00:00"/>
    <m/>
    <m/>
    <m/>
    <m/>
    <m/>
    <s v="Turnoutts"/>
    <m/>
    <m/>
    <s v="No"/>
    <m/>
    <m/>
    <m/>
  </r>
  <r>
    <x v="0"/>
    <m/>
    <x v="7"/>
    <x v="8"/>
    <s v="C184"/>
    <d v="2018-07-21T00:00:00"/>
    <x v="2"/>
    <n v="4.17"/>
    <n v="4.24"/>
    <n v="7.0000000000000284E-2"/>
    <s v="Geometry condition"/>
    <s v="Severely Fouled"/>
    <d v="2018-05-10T00:00:00"/>
    <m/>
    <m/>
    <m/>
    <m/>
    <m/>
    <m/>
    <m/>
    <m/>
    <s v="No"/>
    <m/>
    <m/>
    <m/>
  </r>
  <r>
    <x v="0"/>
    <m/>
    <x v="7"/>
    <x v="8"/>
    <s v="C184"/>
    <d v="2018-07-21T00:00:00"/>
    <x v="2"/>
    <n v="4.38"/>
    <n v="4.4800000000000004"/>
    <n v="0.10000000000000053"/>
    <s v="Geometry condition"/>
    <s v="Highly Fouled"/>
    <d v="2018-05-10T00:00:00"/>
    <m/>
    <m/>
    <m/>
    <m/>
    <m/>
    <s v="Tiurnouts &amp; Dia"/>
    <m/>
    <m/>
    <s v="No"/>
    <m/>
    <m/>
    <m/>
  </r>
  <r>
    <x v="1"/>
    <m/>
    <x v="7"/>
    <x v="8"/>
    <s v="C184"/>
    <d v="2018-07-21T00:00:00"/>
    <x v="4"/>
    <n v="3.3"/>
    <n v="3.9"/>
    <n v="0.60000000000000009"/>
    <s v="Geometry condition"/>
    <s v="Severely Fouled"/>
    <d v="2018-05-10T00:00:00"/>
    <m/>
    <m/>
    <m/>
    <m/>
    <m/>
    <m/>
    <m/>
    <m/>
    <s v="No"/>
    <m/>
    <m/>
    <m/>
  </r>
  <r>
    <x v="2"/>
    <m/>
    <x v="7"/>
    <x v="8"/>
    <s v="C184"/>
    <d v="2018-07-21T00:00:00"/>
    <x v="4"/>
    <n v="4.4000000000000004"/>
    <n v="4.45"/>
    <n v="4.9999999999999822E-2"/>
    <s v="Geometry condition"/>
    <s v="Severely Fouled"/>
    <d v="2018-05-10T00:00:00"/>
    <m/>
    <m/>
    <m/>
    <m/>
    <m/>
    <s v="Tournout"/>
    <m/>
    <m/>
    <s v="No"/>
    <m/>
    <m/>
    <m/>
  </r>
  <r>
    <x v="0"/>
    <m/>
    <x v="7"/>
    <x v="14"/>
    <s v="C151"/>
    <m/>
    <x v="2"/>
    <n v="5.0999999999999996"/>
    <n v="5.3"/>
    <n v="0.20000000000000018"/>
    <s v="Geometry condition"/>
    <s v="Severely Fouled"/>
    <d v="2018-05-10T00:00:00"/>
    <m/>
    <m/>
    <m/>
    <m/>
    <m/>
    <s v="Dutton Park Platform"/>
    <m/>
    <m/>
    <s v="No"/>
    <m/>
    <m/>
    <m/>
  </r>
  <r>
    <x v="1"/>
    <m/>
    <x v="7"/>
    <x v="14"/>
    <s v="C151"/>
    <m/>
    <x v="2"/>
    <n v="5.6"/>
    <n v="5.87"/>
    <n v="0.27000000000000046"/>
    <s v="Geometry condition"/>
    <s v="Severely Fouled"/>
    <d v="2018-05-10T00:00:00"/>
    <m/>
    <m/>
    <m/>
    <m/>
    <m/>
    <m/>
    <m/>
    <m/>
    <s v="No"/>
    <m/>
    <m/>
    <m/>
  </r>
  <r>
    <x v="2"/>
    <m/>
    <x v="7"/>
    <x v="14"/>
    <s v="C151"/>
    <m/>
    <x v="2"/>
    <n v="6.36"/>
    <n v="6.46"/>
    <n v="9.9999999999999645E-2"/>
    <s v="Geometry condition"/>
    <s v="Highly Fouled"/>
    <d v="2018-05-10T00:00:00"/>
    <m/>
    <m/>
    <m/>
    <m/>
    <m/>
    <m/>
    <m/>
    <m/>
    <s v="No"/>
    <m/>
    <m/>
    <m/>
  </r>
  <r>
    <x v="0"/>
    <m/>
    <x v="7"/>
    <x v="14"/>
    <s v="C151"/>
    <m/>
    <x v="2"/>
    <n v="6.57"/>
    <n v="6.8"/>
    <n v="0.22999999999999954"/>
    <s v="Geometry condition"/>
    <s v="Severely Fouled"/>
    <d v="2018-05-10T00:00:00"/>
    <m/>
    <m/>
    <m/>
    <m/>
    <m/>
    <m/>
    <m/>
    <m/>
    <s v="No"/>
    <m/>
    <m/>
    <m/>
  </r>
  <r>
    <x v="1"/>
    <m/>
    <x v="7"/>
    <x v="14"/>
    <s v="C151"/>
    <m/>
    <x v="2"/>
    <n v="6.8"/>
    <n v="7.3"/>
    <n v="0.5"/>
    <s v="Geometry condition"/>
    <s v="Severely Fouled"/>
    <d v="2018-05-10T00:00:00"/>
    <m/>
    <m/>
    <m/>
    <m/>
    <m/>
    <m/>
    <m/>
    <m/>
    <s v="No"/>
    <m/>
    <m/>
    <m/>
  </r>
  <r>
    <x v="2"/>
    <m/>
    <x v="7"/>
    <x v="14"/>
    <s v="C151"/>
    <m/>
    <x v="2"/>
    <n v="8.48"/>
    <n v="8.75"/>
    <n v="0.26999999999999957"/>
    <s v="Geometry condition"/>
    <s v="Highly Fouled"/>
    <d v="2018-05-10T00:00:00"/>
    <m/>
    <m/>
    <m/>
    <m/>
    <m/>
    <s v="Yeerongpilly + Turnouts"/>
    <m/>
    <m/>
    <s v="No"/>
    <m/>
    <m/>
    <m/>
  </r>
  <r>
    <x v="0"/>
    <m/>
    <x v="7"/>
    <x v="14"/>
    <s v="C151"/>
    <m/>
    <x v="2"/>
    <n v="8.8000000000000007"/>
    <n v="9.0500000000000007"/>
    <n v="0.25"/>
    <s v="Geometry condition"/>
    <s v="Highly Fouled"/>
    <d v="2018-05-10T00:00:00"/>
    <m/>
    <m/>
    <m/>
    <m/>
    <m/>
    <s v="Turnouts"/>
    <m/>
    <m/>
    <s v="No"/>
    <m/>
    <m/>
    <m/>
  </r>
  <r>
    <x v="1"/>
    <m/>
    <x v="7"/>
    <x v="14"/>
    <s v="C151"/>
    <m/>
    <x v="4"/>
    <n v="4.8600000000000003"/>
    <n v="5"/>
    <n v="0.13999999999999968"/>
    <s v="Geometry condition"/>
    <s v="Severely Fouled"/>
    <d v="2018-05-10T00:00:00"/>
    <m/>
    <m/>
    <m/>
    <m/>
    <m/>
    <s v="Turnouts"/>
    <m/>
    <m/>
    <s v="No"/>
    <m/>
    <m/>
    <m/>
  </r>
  <r>
    <x v="0"/>
    <m/>
    <x v="7"/>
    <x v="14"/>
    <s v="C151"/>
    <m/>
    <x v="4"/>
    <n v="5.15"/>
    <n v="5.3"/>
    <n v="0.14999999999999947"/>
    <s v="Geometry condition"/>
    <s v="Severely Fouled"/>
    <d v="2018-05-10T00:00:00"/>
    <m/>
    <m/>
    <m/>
    <m/>
    <m/>
    <s v="Dutton Park Platform"/>
    <m/>
    <m/>
    <s v="No"/>
    <m/>
    <m/>
    <m/>
  </r>
  <r>
    <x v="0"/>
    <m/>
    <x v="7"/>
    <x v="14"/>
    <s v="C151"/>
    <m/>
    <x v="4"/>
    <n v="6"/>
    <n v="6.15"/>
    <n v="0.15000000000000036"/>
    <s v="Geometry condition"/>
    <s v="Highly Fouled"/>
    <d v="2018-05-10T00:00:00"/>
    <m/>
    <m/>
    <m/>
    <m/>
    <m/>
    <m/>
    <m/>
    <m/>
    <s v="No"/>
    <m/>
    <m/>
    <m/>
  </r>
  <r>
    <x v="1"/>
    <m/>
    <x v="7"/>
    <x v="14"/>
    <s v="C151"/>
    <m/>
    <x v="4"/>
    <n v="6.22"/>
    <n v="6.35"/>
    <n v="0.12999999999999989"/>
    <s v="Geometry condition"/>
    <s v="Severely Fouled"/>
    <d v="2018-05-10T00:00:00"/>
    <m/>
    <m/>
    <m/>
    <m/>
    <m/>
    <s v="Fairfield Platform"/>
    <m/>
    <m/>
    <s v="No"/>
    <m/>
    <m/>
    <m/>
  </r>
  <r>
    <x v="1"/>
    <m/>
    <x v="7"/>
    <x v="14"/>
    <s v="C151"/>
    <m/>
    <x v="4"/>
    <n v="6.45"/>
    <n v="6.7"/>
    <n v="0.25"/>
    <s v="Geometry condition"/>
    <s v="Severely Fouled"/>
    <d v="2018-05-10T00:00:00"/>
    <m/>
    <m/>
    <m/>
    <m/>
    <m/>
    <m/>
    <m/>
    <m/>
    <s v="No"/>
    <m/>
    <m/>
    <m/>
  </r>
  <r>
    <x v="1"/>
    <m/>
    <x v="7"/>
    <x v="14"/>
    <s v="C151"/>
    <m/>
    <x v="4"/>
    <n v="7.3"/>
    <n v="7.5"/>
    <n v="0.20000000000000018"/>
    <s v="Geometry condition"/>
    <s v="Severely Fouled"/>
    <d v="2018-05-10T00:00:00"/>
    <m/>
    <m/>
    <m/>
    <m/>
    <m/>
    <m/>
    <m/>
    <m/>
    <s v="No"/>
    <m/>
    <m/>
    <m/>
  </r>
  <r>
    <x v="0"/>
    <m/>
    <x v="7"/>
    <x v="14"/>
    <s v="C151"/>
    <m/>
    <x v="4"/>
    <n v="8.6999999999999993"/>
    <n v="9.1"/>
    <n v="0.40000000000000036"/>
    <s v="Geometry condition"/>
    <s v="Severely Fouled"/>
    <d v="2018-05-10T00:00:00"/>
    <m/>
    <m/>
    <m/>
    <m/>
    <m/>
    <s v="Tiurnouts &amp; Dia &amp; OTV Pad"/>
    <m/>
    <m/>
    <s v="No"/>
    <m/>
    <m/>
    <m/>
  </r>
  <r>
    <x v="1"/>
    <m/>
    <x v="2"/>
    <x v="11"/>
    <s v="C152"/>
    <d v="2018-06-16T00:00:00"/>
    <x v="2"/>
    <n v="10.45"/>
    <n v="10.7"/>
    <n v="0.25"/>
    <s v="Geometry condition"/>
    <s v="Severely Fouled"/>
    <d v="2018-05-10T00:00:00"/>
    <m/>
    <m/>
    <m/>
    <s v="No"/>
    <m/>
    <m/>
    <m/>
    <s v="10.450 - 10.700"/>
    <s v="No"/>
    <m/>
    <m/>
    <m/>
  </r>
  <r>
    <x v="0"/>
    <m/>
    <x v="2"/>
    <x v="11"/>
    <s v="C152"/>
    <d v="2018-06-16T00:00:00"/>
    <x v="2"/>
    <n v="10.85"/>
    <n v="10.91"/>
    <n v="6.0000000000000497E-2"/>
    <s v="Geometry condition"/>
    <s v="Severely Fouled"/>
    <d v="2018-05-10T00:00:00"/>
    <m/>
    <m/>
    <m/>
    <s v="No"/>
    <m/>
    <m/>
    <m/>
    <s v="10.850 - 10.910"/>
    <s v="No"/>
    <m/>
    <m/>
    <m/>
  </r>
  <r>
    <x v="1"/>
    <m/>
    <x v="2"/>
    <x v="11"/>
    <s v="C152"/>
    <d v="2018-06-16T00:00:00"/>
    <x v="2"/>
    <n v="13.1"/>
    <n v="13.3"/>
    <n v="0.20000000000000107"/>
    <s v="Geometry condition"/>
    <s v="Severely Fouled"/>
    <d v="2018-05-10T00:00:00"/>
    <m/>
    <m/>
    <m/>
    <s v="Yes"/>
    <m/>
    <m/>
    <s v="In NMP to undercut from 13.020 - 13.800 in 2019"/>
    <s v="13.100 - 13.300"/>
    <s v="No"/>
    <m/>
    <m/>
    <m/>
  </r>
  <r>
    <x v="2"/>
    <m/>
    <x v="2"/>
    <x v="11"/>
    <s v="C152"/>
    <d v="2018-06-16T00:00:00"/>
    <x v="2"/>
    <n v="13.6"/>
    <n v="13.8"/>
    <n v="0.20000000000000107"/>
    <s v="Geometry condition"/>
    <s v="Severely Fouled"/>
    <d v="2018-05-10T00:00:00"/>
    <m/>
    <m/>
    <s v="Yes"/>
    <s v="Yes"/>
    <m/>
    <m/>
    <s v="In NMP to undercut from 13.020 - 13.800 in 2019"/>
    <s v="13.600 - 13.800"/>
    <s v="No"/>
    <m/>
    <m/>
    <m/>
  </r>
  <r>
    <x v="2"/>
    <m/>
    <x v="2"/>
    <x v="11"/>
    <s v="C152"/>
    <d v="2018-06-16T00:00:00"/>
    <x v="2"/>
    <n v="14.65"/>
    <n v="15"/>
    <n v="0.34999999999999964"/>
    <s v="Geometry condition"/>
    <s v="Severely Fouled"/>
    <d v="2018-05-10T00:00:00"/>
    <m/>
    <m/>
    <s v="Yes"/>
    <s v="No"/>
    <m/>
    <s v="Turnouts"/>
    <m/>
    <s v="14.650 - 15.000"/>
    <s v="No"/>
    <m/>
    <m/>
    <m/>
  </r>
  <r>
    <x v="2"/>
    <m/>
    <x v="2"/>
    <x v="11"/>
    <s v="C152"/>
    <d v="2018-06-16T00:00:00"/>
    <x v="2"/>
    <n v="17.2"/>
    <n v="17.5"/>
    <n v="0.30000000000000071"/>
    <s v="Geometry condition"/>
    <s v="Fouled"/>
    <d v="2018-05-10T00:00:00"/>
    <m/>
    <m/>
    <m/>
    <s v="No"/>
    <m/>
    <s v="Wynnum Central Platform"/>
    <s v="According to GPR severely fouled from 17.400. Check on site. Check platform clearances"/>
    <s v="17.200 - 17.500"/>
    <s v="No"/>
    <m/>
    <m/>
    <m/>
  </r>
  <r>
    <x v="2"/>
    <m/>
    <x v="2"/>
    <x v="11"/>
    <s v="C152"/>
    <d v="2018-06-16T00:00:00"/>
    <x v="6"/>
    <n v="24.1"/>
    <n v="24.35"/>
    <n v="0.25"/>
    <s v="Geometry condition"/>
    <s v="Moderately Fouled"/>
    <d v="2018-05-10T00:00:00"/>
    <m/>
    <m/>
    <s v="Yes"/>
    <s v="No"/>
    <m/>
    <m/>
    <s v="Check fouling levels on site"/>
    <s v="24.100 - 24.350"/>
    <s v="Tentative"/>
    <m/>
    <m/>
    <m/>
  </r>
  <r>
    <x v="2"/>
    <m/>
    <x v="2"/>
    <x v="11"/>
    <s v="C152"/>
    <d v="2018-06-16T00:00:00"/>
    <x v="6"/>
    <n v="27.57"/>
    <n v="27.7"/>
    <n v="0.12999999999999901"/>
    <s v="Geometry condition"/>
    <s v="Severely Fouled"/>
    <d v="2018-05-10T00:00:00"/>
    <m/>
    <m/>
    <m/>
    <s v="No"/>
    <m/>
    <s v="Turnout"/>
    <s v="In TRC planning spreadhseet to undercut from 27.600 - 27.620"/>
    <s v="27.570 - 27.700"/>
    <s v="No"/>
    <m/>
    <m/>
    <m/>
  </r>
  <r>
    <x v="1"/>
    <m/>
    <x v="2"/>
    <x v="11"/>
    <s v="C152"/>
    <d v="2018-06-16T00:00:00"/>
    <x v="6"/>
    <n v="28.32"/>
    <n v="28.52"/>
    <n v="0.19999999999999929"/>
    <s v="Geometry condition"/>
    <s v="Severely Fouled"/>
    <d v="2018-05-10T00:00:00"/>
    <m/>
    <m/>
    <m/>
    <s v="No"/>
    <m/>
    <m/>
    <s v="Severely fouled (GPR) from 28.380 - 28.420. Check surrounding on site"/>
    <s v="28.320 - 28.520"/>
    <s v="Tentative"/>
    <m/>
    <m/>
    <m/>
  </r>
  <r>
    <x v="2"/>
    <m/>
    <x v="2"/>
    <x v="11"/>
    <s v="C152"/>
    <d v="2018-06-16T00:00:00"/>
    <x v="4"/>
    <n v="10.8"/>
    <n v="10.91"/>
    <n v="0.10999999999999943"/>
    <s v="Geometry condition"/>
    <s v="Severely Fouled"/>
    <d v="2018-05-10T00:00:00"/>
    <m/>
    <m/>
    <m/>
    <s v="No"/>
    <m/>
    <m/>
    <m/>
    <s v="10.800 - 10.910"/>
    <s v="No"/>
    <m/>
    <m/>
    <m/>
  </r>
  <r>
    <x v="0"/>
    <m/>
    <x v="5"/>
    <x v="6"/>
    <s v="C170"/>
    <m/>
    <x v="3"/>
    <n v="0.5"/>
    <n v="0.7"/>
    <n v="0.19999999999999996"/>
    <s v="Geometry condition"/>
    <s v="Severely Fouled"/>
    <d v="2018-05-10T00:00:00"/>
    <m/>
    <m/>
    <m/>
    <m/>
    <m/>
    <m/>
    <s v="under turnout"/>
    <m/>
    <s v="No"/>
    <m/>
    <m/>
    <m/>
  </r>
  <r>
    <x v="2"/>
    <m/>
    <x v="5"/>
    <x v="6"/>
    <s v="C170"/>
    <m/>
    <x v="3"/>
    <n v="2.9929999999999999"/>
    <n v="3.35"/>
    <n v="0.35700000000000021"/>
    <s v="Geometry condition"/>
    <s v="Highly Fouled"/>
    <d v="2018-05-10T00:00:00"/>
    <m/>
    <m/>
    <m/>
    <m/>
    <m/>
    <m/>
    <m/>
    <m/>
    <s v="No"/>
    <m/>
    <m/>
    <m/>
  </r>
  <r>
    <x v="2"/>
    <m/>
    <x v="5"/>
    <x v="15"/>
    <s v="C017"/>
    <m/>
    <x v="3"/>
    <n v="6.05"/>
    <n v="6.2"/>
    <n v="0.15000000000000036"/>
    <s v="Geometry condition"/>
    <s v="Severely Fouled"/>
    <d v="2018-05-10T00:00:00"/>
    <m/>
    <m/>
    <m/>
    <m/>
    <m/>
    <m/>
    <m/>
    <m/>
    <s v="No"/>
    <m/>
    <m/>
    <m/>
  </r>
  <r>
    <x v="0"/>
    <m/>
    <x v="5"/>
    <x v="15"/>
    <s v="C017"/>
    <m/>
    <x v="3"/>
    <n v="6.5"/>
    <n v="7.15"/>
    <n v="0.65000000000000036"/>
    <s v="Geometry condition"/>
    <s v="Severely Fouled"/>
    <d v="2018-05-10T00:00:00"/>
    <m/>
    <m/>
    <m/>
    <m/>
    <m/>
    <m/>
    <s v="Wooloowin station.  Check clearances."/>
    <m/>
    <s v="No"/>
    <m/>
    <m/>
    <m/>
  </r>
  <r>
    <x v="0"/>
    <m/>
    <x v="4"/>
    <x v="6"/>
    <s v="C170"/>
    <m/>
    <x v="3"/>
    <n v="7.15"/>
    <n v="7.6"/>
    <n v="0.44999999999999929"/>
    <s v="Geometry condition"/>
    <s v="Severely Fouled"/>
    <d v="2018-05-10T00:00:00"/>
    <m/>
    <m/>
    <m/>
    <m/>
    <m/>
    <m/>
    <s v="Eagle junction station. Check clearances."/>
    <m/>
    <s v="No"/>
    <m/>
    <m/>
    <m/>
  </r>
  <r>
    <x v="2"/>
    <m/>
    <x v="4"/>
    <x v="16"/>
    <s v="C064"/>
    <m/>
    <x v="3"/>
    <n v="8.1999999999999993"/>
    <n v="8.75"/>
    <n v="0.55000000000000071"/>
    <s v="Geometry condition"/>
    <s v="Severely Fouled"/>
    <d v="2018-05-10T00:00:00"/>
    <m/>
    <m/>
    <m/>
    <m/>
    <m/>
    <m/>
    <m/>
    <m/>
    <s v="No"/>
    <m/>
    <m/>
    <m/>
  </r>
  <r>
    <x v="0"/>
    <m/>
    <x v="4"/>
    <x v="16"/>
    <s v="C064"/>
    <m/>
    <x v="3"/>
    <n v="8.9"/>
    <n v="9.3000000000000007"/>
    <n v="0.40000000000000036"/>
    <s v="Geometry condition"/>
    <s v="Severely Fouled"/>
    <d v="2018-05-10T00:00:00"/>
    <m/>
    <m/>
    <m/>
    <m/>
    <m/>
    <m/>
    <s v="Grass in track"/>
    <m/>
    <s v="No"/>
    <m/>
    <m/>
    <m/>
  </r>
  <r>
    <x v="0"/>
    <m/>
    <x v="4"/>
    <x v="16"/>
    <s v="C064"/>
    <m/>
    <x v="3"/>
    <n v="9.4"/>
    <n v="9.5"/>
    <n v="9.9999999999999645E-2"/>
    <s v="Geometry condition"/>
    <s v="Severely Fouled"/>
    <d v="2018-05-10T00:00:00"/>
    <m/>
    <m/>
    <m/>
    <m/>
    <m/>
    <m/>
    <m/>
    <m/>
    <s v="No"/>
    <m/>
    <m/>
    <m/>
  </r>
  <r>
    <x v="2"/>
    <m/>
    <x v="4"/>
    <x v="16"/>
    <s v="C064"/>
    <m/>
    <x v="3"/>
    <n v="10.55"/>
    <n v="11"/>
    <n v="0.44999999999999929"/>
    <s v="Geometry condition"/>
    <s v="Severely Fouled"/>
    <d v="2018-05-10T00:00:00"/>
    <m/>
    <m/>
    <m/>
    <m/>
    <m/>
    <m/>
    <s v="Northgate platform"/>
    <m/>
    <s v="No"/>
    <m/>
    <m/>
    <m/>
  </r>
  <r>
    <x v="0"/>
    <m/>
    <x v="4"/>
    <x v="16"/>
    <s v="C064"/>
    <m/>
    <x v="3"/>
    <n v="11.407"/>
    <n v="11.85"/>
    <n v="0.44299999999999962"/>
    <s v="Geometry condition"/>
    <s v="Severely Fouled"/>
    <d v="2018-05-10T00:00:00"/>
    <m/>
    <m/>
    <m/>
    <m/>
    <m/>
    <m/>
    <s v="Very bad T&amp;L"/>
    <m/>
    <s v="No"/>
    <m/>
    <m/>
    <m/>
  </r>
  <r>
    <x v="1"/>
    <m/>
    <x v="5"/>
    <x v="15"/>
    <s v="C017"/>
    <m/>
    <x v="0"/>
    <n v="7.1"/>
    <n v="7.6"/>
    <n v="0.5"/>
    <s v="Geometry condition"/>
    <s v="Severely Fouled"/>
    <d v="2018-05-10T00:00:00"/>
    <m/>
    <m/>
    <m/>
    <m/>
    <m/>
    <m/>
    <m/>
    <m/>
    <s v="No"/>
    <m/>
    <m/>
    <m/>
  </r>
  <r>
    <x v="2"/>
    <m/>
    <x v="4"/>
    <x v="16"/>
    <s v="C064"/>
    <m/>
    <x v="0"/>
    <n v="10.5"/>
    <n v="10.6"/>
    <n v="9.9999999999999645E-2"/>
    <s v="Geometry condition"/>
    <s v="Severely Fouled"/>
    <d v="2018-05-10T00:00:00"/>
    <m/>
    <m/>
    <m/>
    <m/>
    <m/>
    <m/>
    <m/>
    <m/>
    <s v="No"/>
    <m/>
    <m/>
    <m/>
  </r>
  <r>
    <x v="2"/>
    <m/>
    <x v="4"/>
    <x v="16"/>
    <s v="C064"/>
    <m/>
    <x v="0"/>
    <n v="10.3"/>
    <n v="10.4"/>
    <n v="9.9999999999999645E-2"/>
    <s v="Geometry condition"/>
    <s v="Severely Fouled"/>
    <d v="2018-05-10T00:00:00"/>
    <m/>
    <m/>
    <m/>
    <m/>
    <m/>
    <m/>
    <m/>
    <m/>
    <s v="No"/>
    <m/>
    <m/>
    <m/>
  </r>
  <r>
    <x v="0"/>
    <m/>
    <x v="4"/>
    <x v="16"/>
    <s v="C064"/>
    <m/>
    <x v="0"/>
    <n v="8.1"/>
    <n v="8.5"/>
    <n v="0.40000000000000036"/>
    <s v="Geometry condition"/>
    <s v="Severely Fouled"/>
    <d v="2018-05-10T00:00:00"/>
    <m/>
    <m/>
    <m/>
    <m/>
    <m/>
    <m/>
    <m/>
    <m/>
    <s v="No"/>
    <m/>
    <m/>
    <m/>
  </r>
  <r>
    <x v="1"/>
    <m/>
    <x v="4"/>
    <x v="15"/>
    <s v="C017"/>
    <m/>
    <x v="4"/>
    <n v="5.83"/>
    <n v="6"/>
    <n v="0.16999999999999993"/>
    <s v="Geometry condition"/>
    <s v="Fouled"/>
    <d v="2018-05-10T00:00:00"/>
    <m/>
    <m/>
    <m/>
    <m/>
    <m/>
    <m/>
    <m/>
    <m/>
    <s v="No"/>
    <m/>
    <m/>
    <m/>
  </r>
  <r>
    <x v="0"/>
    <m/>
    <x v="4"/>
    <x v="15"/>
    <s v="C017"/>
    <m/>
    <x v="2"/>
    <n v="4.45"/>
    <n v="4.5999999999999996"/>
    <n v="0.14999999999999947"/>
    <s v="Geometry condition"/>
    <s v="Severely Fouled"/>
    <d v="2018-05-10T00:00:00"/>
    <m/>
    <m/>
    <m/>
    <m/>
    <m/>
    <m/>
    <m/>
    <m/>
    <s v="No"/>
    <m/>
    <m/>
    <m/>
  </r>
  <r>
    <x v="2"/>
    <m/>
    <x v="4"/>
    <x v="15"/>
    <s v="C017"/>
    <m/>
    <x v="2"/>
    <n v="6.4"/>
    <n v="6.5609999999999999"/>
    <n v="0.16099999999999959"/>
    <s v="Geometry condition"/>
    <s v="Severely Fouled"/>
    <d v="2018-05-10T00:00:00"/>
    <m/>
    <m/>
    <m/>
    <m/>
    <m/>
    <m/>
    <m/>
    <m/>
    <s v="No"/>
    <m/>
    <m/>
    <m/>
  </r>
  <r>
    <x v="2"/>
    <m/>
    <x v="4"/>
    <x v="15"/>
    <s v="C017"/>
    <m/>
    <x v="2"/>
    <n v="6.5609999999999999"/>
    <n v="6.8"/>
    <n v="0.23899999999999988"/>
    <s v="Geometry condition"/>
    <s v="Highly Fouled"/>
    <d v="2018-05-10T00:00:00"/>
    <m/>
    <m/>
    <m/>
    <m/>
    <m/>
    <m/>
    <s v="Wooloowin station.  Check clearances."/>
    <m/>
    <s v="No"/>
    <m/>
    <m/>
    <m/>
  </r>
  <r>
    <x v="2"/>
    <m/>
    <x v="4"/>
    <x v="10"/>
    <s v="C138"/>
    <m/>
    <x v="2"/>
    <n v="29.4"/>
    <n v="29.65"/>
    <n v="0.25"/>
    <s v="Geometry condition"/>
    <s v="Severely Fouled"/>
    <d v="2018-05-10T00:00:00"/>
    <m/>
    <m/>
    <m/>
    <m/>
    <m/>
    <m/>
    <m/>
    <m/>
    <s v="No"/>
    <m/>
    <m/>
    <m/>
  </r>
  <r>
    <x v="1"/>
    <m/>
    <x v="4"/>
    <x v="10"/>
    <s v="C138"/>
    <m/>
    <x v="2"/>
    <n v="30.15"/>
    <n v="30.5"/>
    <n v="0.35000000000000142"/>
    <s v="Geometry condition"/>
    <s v="Highly Fouled"/>
    <d v="2018-05-10T00:00:00"/>
    <m/>
    <m/>
    <m/>
    <m/>
    <m/>
    <m/>
    <m/>
    <m/>
    <s v="No"/>
    <m/>
    <m/>
    <m/>
  </r>
  <r>
    <x v="1"/>
    <m/>
    <x v="4"/>
    <x v="10"/>
    <s v="C138"/>
    <m/>
    <x v="2"/>
    <n v="30.6"/>
    <n v="30.9"/>
    <n v="0.29999999999999716"/>
    <s v="Geometry condition"/>
    <s v="Highly Fouled"/>
    <d v="2018-05-10T00:00:00"/>
    <m/>
    <m/>
    <m/>
    <m/>
    <m/>
    <m/>
    <m/>
    <m/>
    <s v="No"/>
    <m/>
    <m/>
    <m/>
  </r>
  <r>
    <x v="1"/>
    <m/>
    <x v="4"/>
    <x v="10"/>
    <s v="C138"/>
    <m/>
    <x v="2"/>
    <n v="31.2"/>
    <n v="31.55"/>
    <n v="0.35000000000000142"/>
    <s v="Geometry condition"/>
    <s v="Severely Fouled"/>
    <d v="2018-05-10T00:00:00"/>
    <m/>
    <m/>
    <m/>
    <m/>
    <m/>
    <m/>
    <m/>
    <m/>
    <s v="No"/>
    <m/>
    <m/>
    <m/>
  </r>
  <r>
    <x v="1"/>
    <m/>
    <x v="4"/>
    <x v="10"/>
    <s v="C138"/>
    <m/>
    <x v="2"/>
    <n v="32.4"/>
    <n v="32.799999999999997"/>
    <n v="0.39999999999999858"/>
    <s v="Geometry condition"/>
    <s v="Highly Fouled"/>
    <d v="2018-05-10T00:00:00"/>
    <m/>
    <m/>
    <m/>
    <m/>
    <m/>
    <m/>
    <m/>
    <m/>
    <s v="No"/>
    <m/>
    <m/>
    <m/>
  </r>
  <r>
    <x v="2"/>
    <m/>
    <x v="4"/>
    <x v="10"/>
    <s v="C138"/>
    <m/>
    <x v="2"/>
    <n v="32.950000000000003"/>
    <n v="33.353999999999999"/>
    <n v="0.40399999999999636"/>
    <s v="Geometry condition"/>
    <s v="Severely Fouled"/>
    <d v="2018-05-10T00:00:00"/>
    <m/>
    <m/>
    <m/>
    <m/>
    <m/>
    <m/>
    <s v="Dakabin platform - check clearances"/>
    <m/>
    <s v="No"/>
    <m/>
    <m/>
    <m/>
  </r>
  <r>
    <x v="2"/>
    <m/>
    <x v="4"/>
    <x v="10"/>
    <s v="C138"/>
    <m/>
    <x v="2"/>
    <n v="35.950000000000003"/>
    <n v="36.25"/>
    <n v="0.29999999999999716"/>
    <s v="Geometry condition"/>
    <s v="Highly Fouled"/>
    <d v="2018-05-10T00:00:00"/>
    <m/>
    <m/>
    <m/>
    <m/>
    <m/>
    <m/>
    <m/>
    <m/>
    <s v="No"/>
    <m/>
    <m/>
    <m/>
  </r>
  <r>
    <x v="2"/>
    <m/>
    <x v="4"/>
    <x v="10"/>
    <s v="C138"/>
    <m/>
    <x v="2"/>
    <n v="36.299999999999997"/>
    <n v="36.712000000000003"/>
    <n v="0.41200000000000614"/>
    <s v="Geometry condition"/>
    <s v="Highly Fouled"/>
    <d v="2018-05-10T00:00:00"/>
    <m/>
    <m/>
    <m/>
    <m/>
    <m/>
    <m/>
    <s v="Narangba station. Check clearances"/>
    <m/>
    <s v="No"/>
    <m/>
    <m/>
    <m/>
  </r>
  <r>
    <x v="0"/>
    <m/>
    <x v="4"/>
    <x v="10"/>
    <s v="C138"/>
    <m/>
    <x v="2"/>
    <n v="37.15"/>
    <n v="37.450000000000003"/>
    <n v="0.30000000000000426"/>
    <s v="Geometry condition"/>
    <s v="Severely Fouled"/>
    <d v="2018-05-10T00:00:00"/>
    <m/>
    <m/>
    <m/>
    <m/>
    <m/>
    <m/>
    <m/>
    <m/>
    <s v="No"/>
    <m/>
    <m/>
    <m/>
  </r>
  <r>
    <x v="2"/>
    <m/>
    <x v="4"/>
    <x v="10"/>
    <s v="C138"/>
    <m/>
    <x v="2"/>
    <n v="37.450000000000003"/>
    <n v="37.950000000000003"/>
    <n v="0.5"/>
    <s v="Geometry condition"/>
    <s v="Highly Fouled"/>
    <d v="2018-05-10T00:00:00"/>
    <m/>
    <m/>
    <m/>
    <m/>
    <m/>
    <m/>
    <m/>
    <m/>
    <s v="No"/>
    <m/>
    <m/>
    <m/>
  </r>
  <r>
    <x v="2"/>
    <m/>
    <x v="4"/>
    <x v="10"/>
    <s v="C138"/>
    <m/>
    <x v="2"/>
    <n v="38.299999999999997"/>
    <n v="38.700000000000003"/>
    <n v="0.40000000000000568"/>
    <s v="Geometry condition"/>
    <s v="Severely Fouled"/>
    <d v="2018-05-10T00:00:00"/>
    <m/>
    <m/>
    <m/>
    <m/>
    <m/>
    <m/>
    <m/>
    <m/>
    <s v="No"/>
    <m/>
    <m/>
    <m/>
  </r>
  <r>
    <x v="0"/>
    <m/>
    <x v="4"/>
    <x v="10"/>
    <s v="C138"/>
    <m/>
    <x v="2"/>
    <n v="41.25"/>
    <n v="42"/>
    <n v="0.75"/>
    <s v="Geometry condition"/>
    <s v="Severely Fouled"/>
    <d v="2018-05-10T00:00:00"/>
    <m/>
    <m/>
    <m/>
    <m/>
    <m/>
    <m/>
    <m/>
    <m/>
    <s v="No"/>
    <m/>
    <m/>
    <m/>
  </r>
  <r>
    <x v="2"/>
    <m/>
    <x v="4"/>
    <x v="10"/>
    <s v="C138"/>
    <m/>
    <x v="2"/>
    <n v="42.25"/>
    <n v="42.65"/>
    <n v="0.39999999999999858"/>
    <s v="Geometry condition"/>
    <s v="Severely Fouled"/>
    <d v="2018-05-10T00:00:00"/>
    <m/>
    <m/>
    <m/>
    <m/>
    <m/>
    <m/>
    <m/>
    <m/>
    <s v="No"/>
    <m/>
    <m/>
    <m/>
  </r>
  <r>
    <x v="0"/>
    <m/>
    <x v="4"/>
    <x v="10"/>
    <s v="C138"/>
    <m/>
    <x v="2"/>
    <n v="43.4"/>
    <n v="44"/>
    <n v="0.60000000000000142"/>
    <s v="Geometry condition"/>
    <s v="Severely Fouled"/>
    <d v="2018-05-10T00:00:00"/>
    <m/>
    <m/>
    <m/>
    <m/>
    <m/>
    <m/>
    <m/>
    <m/>
    <s v="No"/>
    <m/>
    <m/>
    <m/>
  </r>
  <r>
    <x v="2"/>
    <m/>
    <x v="4"/>
    <x v="10"/>
    <s v="C138"/>
    <m/>
    <x v="2"/>
    <n v="44.1"/>
    <n v="45"/>
    <n v="0.89999999999999858"/>
    <s v="Geometry condition"/>
    <s v="Severely Fouled"/>
    <d v="2018-05-10T00:00:00"/>
    <m/>
    <m/>
    <m/>
    <m/>
    <m/>
    <m/>
    <m/>
    <m/>
    <s v="No"/>
    <m/>
    <m/>
    <m/>
  </r>
  <r>
    <x v="2"/>
    <m/>
    <x v="4"/>
    <x v="10"/>
    <s v="C138"/>
    <m/>
    <x v="2"/>
    <n v="47.1"/>
    <n v="47.347999999999999"/>
    <n v="0.24799999999999756"/>
    <s v="Geometry condition"/>
    <s v="Severely Fouled"/>
    <d v="2018-05-10T00:00:00"/>
    <m/>
    <m/>
    <m/>
    <m/>
    <m/>
    <m/>
    <s v="Morayfield platform"/>
    <m/>
    <s v="No"/>
    <m/>
    <m/>
    <m/>
  </r>
  <r>
    <x v="2"/>
    <m/>
    <x v="4"/>
    <x v="10"/>
    <s v="C138"/>
    <m/>
    <x v="2"/>
    <n v="48.2"/>
    <n v="48.4"/>
    <n v="0.19999999999999574"/>
    <s v="Geometry condition"/>
    <s v="Severely Fouled"/>
    <d v="2018-05-10T00:00:00"/>
    <m/>
    <m/>
    <m/>
    <m/>
    <m/>
    <m/>
    <m/>
    <m/>
    <s v="No"/>
    <m/>
    <m/>
    <m/>
  </r>
  <r>
    <x v="2"/>
    <m/>
    <x v="4"/>
    <x v="10"/>
    <s v="C138"/>
    <m/>
    <x v="2"/>
    <n v="49.3"/>
    <n v="49.6"/>
    <n v="0.30000000000000426"/>
    <s v="Geometry condition"/>
    <s v="Severely Fouled"/>
    <d v="2018-05-10T00:00:00"/>
    <m/>
    <m/>
    <m/>
    <m/>
    <m/>
    <m/>
    <m/>
    <m/>
    <s v="No"/>
    <m/>
    <m/>
    <m/>
  </r>
  <r>
    <x v="0"/>
    <m/>
    <x v="4"/>
    <x v="10"/>
    <s v="C138"/>
    <m/>
    <x v="2"/>
    <n v="49.9"/>
    <n v="50.7"/>
    <n v="0.80000000000000426"/>
    <s v="Geometry condition"/>
    <s v="Severely Fouled"/>
    <d v="2018-05-10T00:00:00"/>
    <m/>
    <m/>
    <m/>
    <m/>
    <m/>
    <m/>
    <m/>
    <m/>
    <s v="No"/>
    <m/>
    <m/>
    <m/>
  </r>
  <r>
    <x v="0"/>
    <m/>
    <x v="2"/>
    <x v="11"/>
    <s v="C152"/>
    <d v="2018-06-16T00:00:00"/>
    <x v="4"/>
    <n v="12.2"/>
    <n v="12.5"/>
    <n v="0.30000000000000071"/>
    <s v="Geometry condition, Platform compliance"/>
    <s v="Severely Fouled"/>
    <d v="2018-05-10T00:00:00"/>
    <m/>
    <m/>
    <s v="Yes"/>
    <s v="Yes"/>
    <m/>
    <s v="Hemmant Station Platform"/>
    <s v="Many recurring geometry issues._x000a_In NMP for recon in 2020 as part of platform project. Track is high_x000a_Investigate formation material"/>
    <s v="12.200 - 12.500"/>
    <s v="No"/>
    <m/>
    <m/>
    <m/>
  </r>
  <r>
    <x v="0"/>
    <m/>
    <x v="2"/>
    <x v="11"/>
    <s v="C152"/>
    <d v="2018-06-16T00:00:00"/>
    <x v="4"/>
    <n v="12.78"/>
    <n v="13.05"/>
    <n v="0.27000000000000135"/>
    <s v="Geometry condition"/>
    <s v="Severely Fouled"/>
    <d v="2018-05-10T00:00:00"/>
    <m/>
    <m/>
    <s v="Yes"/>
    <s v="No"/>
    <m/>
    <s v="Turnout"/>
    <s v="ballast fouling continues outbound"/>
    <s v="12.780 - 13.050"/>
    <s v="No"/>
    <m/>
    <m/>
    <m/>
  </r>
  <r>
    <x v="2"/>
    <m/>
    <x v="2"/>
    <x v="11"/>
    <s v="C152"/>
    <d v="2018-06-16T00:00:00"/>
    <x v="4"/>
    <n v="13.6"/>
    <n v="14.07"/>
    <n v="0.47000000000000064"/>
    <s v="Geometry condition"/>
    <s v="Severely Fouled"/>
    <d v="2018-05-10T00:00:00"/>
    <m/>
    <m/>
    <s v="Yes"/>
    <m/>
    <m/>
    <m/>
    <m/>
    <s v="13.600 - 14.070"/>
    <s v="No"/>
    <m/>
    <m/>
    <m/>
  </r>
  <r>
    <x v="0"/>
    <m/>
    <x v="2"/>
    <x v="11"/>
    <s v="C152"/>
    <d v="2018-06-16T00:00:00"/>
    <x v="4"/>
    <n v="16.5"/>
    <n v="16.78"/>
    <n v="0.28000000000000114"/>
    <s v="Geometry condition"/>
    <s v="Severely Fouled"/>
    <d v="2018-05-10T00:00:00"/>
    <m/>
    <m/>
    <s v="Yes"/>
    <m/>
    <m/>
    <s v="Wynnum Platform - check clearances"/>
    <s v="Has this been undercut previously? NMP says yes, undercutting history says no"/>
    <s v="16.500 - 16.780"/>
    <s v="Tentative"/>
    <m/>
    <m/>
    <m/>
  </r>
  <r>
    <x v="1"/>
    <m/>
    <x v="2"/>
    <x v="11"/>
    <s v="C152"/>
    <d v="2018-06-16T00:00:00"/>
    <x v="4"/>
    <n v="17.95"/>
    <n v="18.329999999999998"/>
    <n v="0.37999999999999901"/>
    <s v="Geometry condition"/>
    <s v="Severely Fouled"/>
    <d v="2018-05-10T00:00:00"/>
    <m/>
    <m/>
    <m/>
    <m/>
    <m/>
    <m/>
    <m/>
    <s v="17.950 - 18.330"/>
    <s v="No"/>
    <m/>
    <m/>
    <m/>
  </r>
  <r>
    <x v="0"/>
    <m/>
    <x v="2"/>
    <x v="11"/>
    <s v="C152"/>
    <d v="2018-06-16T00:00:00"/>
    <x v="4"/>
    <n v="19.05"/>
    <n v="19.2"/>
    <n v="0.14999999999999858"/>
    <s v="Geometry condition"/>
    <s v="Severely Fouled"/>
    <d v="2018-05-10T00:00:00"/>
    <m/>
    <m/>
    <m/>
    <m/>
    <m/>
    <s v="turnout"/>
    <s v="Very rough - check"/>
    <s v="19.050 - 19.200"/>
    <s v="No"/>
    <m/>
    <m/>
    <m/>
  </r>
  <r>
    <x v="1"/>
    <m/>
    <x v="8"/>
    <x v="17"/>
    <s v="C018"/>
    <m/>
    <x v="4"/>
    <n v="0.25"/>
    <n v="0.35"/>
    <n v="9.9999999999999978E-2"/>
    <s v="Geometry condition"/>
    <s v="Severely Fouled"/>
    <d v="2018-05-10T00:00:00"/>
    <m/>
    <m/>
    <m/>
    <m/>
    <m/>
    <s v="Neutral Sectiion"/>
    <m/>
    <m/>
    <s v="No"/>
    <m/>
    <m/>
    <m/>
  </r>
  <r>
    <x v="2"/>
    <m/>
    <x v="8"/>
    <x v="17"/>
    <s v="C018"/>
    <m/>
    <x v="4"/>
    <n v="0.9"/>
    <n v="1.05"/>
    <n v="0.15000000000000002"/>
    <s v="Geometry condition"/>
    <s v="Severely Fouled"/>
    <d v="2018-05-10T00:00:00"/>
    <m/>
    <m/>
    <m/>
    <m/>
    <m/>
    <s v="Turnout &amp; diamond - #321"/>
    <m/>
    <m/>
    <s v="No"/>
    <m/>
    <m/>
    <m/>
  </r>
  <r>
    <x v="2"/>
    <m/>
    <x v="8"/>
    <x v="17"/>
    <s v="C018"/>
    <m/>
    <x v="4"/>
    <n v="1.22"/>
    <n v="1.32"/>
    <n v="0.10000000000000009"/>
    <s v="Geometry condition"/>
    <s v="Severely Fouled"/>
    <d v="2018-05-10T00:00:00"/>
    <m/>
    <m/>
    <m/>
    <m/>
    <m/>
    <s v="#801"/>
    <m/>
    <m/>
    <s v="No"/>
    <m/>
    <m/>
    <m/>
  </r>
  <r>
    <x v="2"/>
    <m/>
    <x v="8"/>
    <x v="17"/>
    <s v="C018"/>
    <m/>
    <x v="4"/>
    <n v="1.78"/>
    <n v="2.0499999999999998"/>
    <n v="0.2699999999999998"/>
    <s v="Geometry condition"/>
    <s v="Severely Fouled"/>
    <d v="2018-05-10T00:00:00"/>
    <m/>
    <m/>
    <m/>
    <m/>
    <m/>
    <s v="Windsor Platform"/>
    <m/>
    <m/>
    <s v="No"/>
    <m/>
    <m/>
    <m/>
  </r>
  <r>
    <x v="1"/>
    <m/>
    <x v="8"/>
    <x v="17"/>
    <s v="C018"/>
    <m/>
    <x v="4"/>
    <n v="2.78"/>
    <n v="3"/>
    <n v="0.2200000000000002"/>
    <s v="Geometry condition"/>
    <s v="Severely Fouled"/>
    <d v="2018-05-10T00:00:00"/>
    <m/>
    <m/>
    <m/>
    <m/>
    <m/>
    <s v="Wilston Platform"/>
    <m/>
    <m/>
    <s v="No"/>
    <m/>
    <m/>
    <m/>
  </r>
  <r>
    <x v="0"/>
    <m/>
    <x v="8"/>
    <x v="17"/>
    <s v="C018"/>
    <m/>
    <x v="4"/>
    <n v="3.78"/>
    <n v="3.85"/>
    <n v="7.0000000000000284E-2"/>
    <s v="Geometry condition"/>
    <s v="Severely Fouled"/>
    <d v="2018-05-10T00:00:00"/>
    <m/>
    <m/>
    <m/>
    <m/>
    <m/>
    <s v="Newmarket Platform"/>
    <m/>
    <m/>
    <s v="No"/>
    <m/>
    <m/>
    <m/>
  </r>
  <r>
    <x v="2"/>
    <m/>
    <x v="8"/>
    <x v="17"/>
    <s v="C018"/>
    <m/>
    <x v="4"/>
    <n v="5.2"/>
    <n v="5.35"/>
    <n v="0.14999999999999947"/>
    <s v="Geometry condition"/>
    <s v="Severely Fouled"/>
    <d v="2018-05-10T00:00:00"/>
    <m/>
    <m/>
    <m/>
    <m/>
    <m/>
    <s v="Alserley Platform"/>
    <m/>
    <m/>
    <s v="No"/>
    <m/>
    <m/>
    <m/>
  </r>
  <r>
    <x v="2"/>
    <m/>
    <x v="8"/>
    <x v="17"/>
    <s v="C018"/>
    <m/>
    <x v="4"/>
    <n v="6.14"/>
    <n v="6.4"/>
    <n v="0.26000000000000068"/>
    <s v="Geometry condition"/>
    <s v="Severely Fouled"/>
    <d v="2018-05-10T00:00:00"/>
    <m/>
    <m/>
    <m/>
    <m/>
    <m/>
    <s v="Enoggera Platform"/>
    <m/>
    <m/>
    <s v="No"/>
    <m/>
    <m/>
    <m/>
  </r>
  <r>
    <x v="0"/>
    <m/>
    <x v="8"/>
    <x v="17"/>
    <s v="C018"/>
    <m/>
    <x v="4"/>
    <n v="7.75"/>
    <n v="8.1"/>
    <n v="0.34999999999999964"/>
    <s v="Geometry condition"/>
    <s v="Severely Fouled"/>
    <d v="2018-05-10T00:00:00"/>
    <m/>
    <m/>
    <m/>
    <m/>
    <m/>
    <s v="#324B &amp; #325A/B"/>
    <m/>
    <m/>
    <s v="No"/>
    <m/>
    <m/>
    <m/>
  </r>
  <r>
    <x v="2"/>
    <m/>
    <x v="8"/>
    <x v="17"/>
    <s v="C018"/>
    <m/>
    <x v="4"/>
    <n v="8.15"/>
    <n v="8.43"/>
    <n v="0.27999999999999936"/>
    <s v="Geometry condition"/>
    <s v="Severely Fouled"/>
    <d v="2018-05-10T00:00:00"/>
    <m/>
    <m/>
    <m/>
    <m/>
    <m/>
    <s v="Mitchelton Platform"/>
    <m/>
    <m/>
    <s v="No"/>
    <m/>
    <m/>
    <m/>
  </r>
  <r>
    <x v="2"/>
    <m/>
    <x v="8"/>
    <x v="17"/>
    <s v="C018"/>
    <m/>
    <x v="4"/>
    <n v="8.69"/>
    <n v="8.7899999999999991"/>
    <n v="9.9999999999999645E-2"/>
    <s v="Geometry condition"/>
    <s v="Severely Fouled"/>
    <d v="2018-05-10T00:00:00"/>
    <m/>
    <m/>
    <m/>
    <m/>
    <m/>
    <m/>
    <m/>
    <m/>
    <s v="No"/>
    <m/>
    <m/>
    <m/>
  </r>
  <r>
    <x v="1"/>
    <m/>
    <x v="8"/>
    <x v="17"/>
    <s v="C018"/>
    <m/>
    <x v="4"/>
    <n v="11.1"/>
    <n v="11.35"/>
    <n v="0.25"/>
    <s v="Geometry condition"/>
    <s v="Severely Fouled"/>
    <d v="2018-05-10T00:00:00"/>
    <m/>
    <m/>
    <m/>
    <m/>
    <m/>
    <m/>
    <m/>
    <m/>
    <s v="No"/>
    <m/>
    <m/>
    <m/>
  </r>
  <r>
    <x v="0"/>
    <m/>
    <x v="8"/>
    <x v="17"/>
    <s v="C018"/>
    <m/>
    <x v="4"/>
    <n v="11.55"/>
    <n v="11.7"/>
    <n v="0.14999999999999858"/>
    <s v="Geometry condition"/>
    <s v="Severely Fouled"/>
    <d v="2018-05-10T00:00:00"/>
    <m/>
    <m/>
    <m/>
    <m/>
    <m/>
    <m/>
    <m/>
    <m/>
    <s v="No"/>
    <m/>
    <m/>
    <m/>
  </r>
  <r>
    <x v="1"/>
    <m/>
    <x v="8"/>
    <x v="17"/>
    <s v="C018"/>
    <m/>
    <x v="4"/>
    <n v="13.28"/>
    <n v="13.35"/>
    <n v="7.0000000000000284E-2"/>
    <s v="Geometry condition"/>
    <s v="Moderately Fouled"/>
    <d v="2018-05-10T00:00:00"/>
    <m/>
    <m/>
    <m/>
    <m/>
    <m/>
    <s v="Lubricator"/>
    <m/>
    <m/>
    <s v="No"/>
    <m/>
    <m/>
    <m/>
  </r>
  <r>
    <x v="0"/>
    <m/>
    <x v="8"/>
    <x v="17"/>
    <s v="C018"/>
    <m/>
    <x v="2"/>
    <n v="0.2"/>
    <n v="0.4"/>
    <n v="0.2"/>
    <s v="Geometry condition"/>
    <s v="Severely Fouled"/>
    <d v="2018-05-10T00:00:00"/>
    <m/>
    <m/>
    <m/>
    <m/>
    <m/>
    <s v="#281A/B"/>
    <m/>
    <m/>
    <s v="No"/>
    <m/>
    <m/>
    <m/>
  </r>
  <r>
    <x v="0"/>
    <m/>
    <x v="8"/>
    <x v="17"/>
    <s v="C018"/>
    <m/>
    <x v="2"/>
    <n v="1.2"/>
    <n v="1.3"/>
    <n v="0.10000000000000009"/>
    <s v="Geometry condition"/>
    <s v="Severely Fouled"/>
    <d v="2018-05-10T00:00:00"/>
    <m/>
    <m/>
    <m/>
    <m/>
    <m/>
    <s v="#801"/>
    <m/>
    <m/>
    <s v="No"/>
    <m/>
    <m/>
    <m/>
  </r>
  <r>
    <x v="2"/>
    <m/>
    <x v="8"/>
    <x v="17"/>
    <s v="C018"/>
    <m/>
    <x v="2"/>
    <n v="2.76"/>
    <n v="3"/>
    <n v="0.24000000000000021"/>
    <s v="Geometry condition"/>
    <s v="Severely Fouled"/>
    <d v="2018-05-10T00:00:00"/>
    <m/>
    <m/>
    <m/>
    <m/>
    <m/>
    <s v="Wilston Platform"/>
    <m/>
    <m/>
    <s v="No"/>
    <m/>
    <m/>
    <m/>
  </r>
  <r>
    <x v="0"/>
    <m/>
    <x v="8"/>
    <x v="17"/>
    <s v="C018"/>
    <m/>
    <x v="2"/>
    <n v="3.77"/>
    <n v="3.94"/>
    <n v="0.16999999999999993"/>
    <s v="Geometry condition"/>
    <s v="Severely Fouled"/>
    <d v="2018-05-10T00:00:00"/>
    <m/>
    <m/>
    <m/>
    <m/>
    <m/>
    <s v="Newmarket Platform"/>
    <m/>
    <m/>
    <s v="No"/>
    <m/>
    <m/>
    <m/>
  </r>
  <r>
    <x v="0"/>
    <m/>
    <x v="8"/>
    <x v="17"/>
    <s v="C018"/>
    <m/>
    <x v="2"/>
    <n v="4.3"/>
    <n v="4.8499999999999996"/>
    <n v="0.54999999999999982"/>
    <s v="Geometry condition"/>
    <s v="Severely Fouled"/>
    <d v="2018-05-10T00:00:00"/>
    <m/>
    <m/>
    <m/>
    <m/>
    <m/>
    <m/>
    <m/>
    <m/>
    <s v="No"/>
    <m/>
    <m/>
    <m/>
  </r>
  <r>
    <x v="1"/>
    <m/>
    <x v="8"/>
    <x v="17"/>
    <s v="C018"/>
    <m/>
    <x v="2"/>
    <n v="5.05"/>
    <n v="5.23"/>
    <n v="0.1800000000000006"/>
    <s v="Geometry condition"/>
    <s v="Severely Fouled"/>
    <d v="2018-05-10T00:00:00"/>
    <m/>
    <m/>
    <m/>
    <m/>
    <m/>
    <m/>
    <m/>
    <m/>
    <s v="No"/>
    <m/>
    <m/>
    <m/>
  </r>
  <r>
    <x v="0"/>
    <m/>
    <x v="8"/>
    <x v="17"/>
    <s v="C018"/>
    <m/>
    <x v="2"/>
    <n v="5.78"/>
    <n v="5.88"/>
    <n v="9.9999999999999645E-2"/>
    <s v="Geometry condition"/>
    <s v="Highly Fouled"/>
    <d v="2018-05-10T00:00:00"/>
    <m/>
    <m/>
    <m/>
    <m/>
    <m/>
    <m/>
    <m/>
    <m/>
    <s v="No"/>
    <m/>
    <m/>
    <m/>
  </r>
  <r>
    <x v="2"/>
    <m/>
    <x v="8"/>
    <x v="17"/>
    <s v="C018"/>
    <m/>
    <x v="2"/>
    <n v="6.1"/>
    <n v="6.29"/>
    <n v="0.19000000000000039"/>
    <s v="Geometry condition"/>
    <s v="Severely Fouled"/>
    <d v="2018-05-10T00:00:00"/>
    <m/>
    <m/>
    <m/>
    <m/>
    <m/>
    <s v="Enoggera Platform"/>
    <m/>
    <m/>
    <s v="No"/>
    <m/>
    <m/>
    <m/>
  </r>
  <r>
    <x v="1"/>
    <m/>
    <x v="8"/>
    <x v="17"/>
    <s v="C018"/>
    <m/>
    <x v="2"/>
    <n v="7.82"/>
    <n v="8.1199999999999992"/>
    <n v="0.29999999999999893"/>
    <s v="Geometry condition"/>
    <s v="Severely Fouled"/>
    <d v="2018-05-10T00:00:00"/>
    <m/>
    <m/>
    <m/>
    <m/>
    <m/>
    <s v="#325C/D &amp; 324A"/>
    <m/>
    <m/>
    <s v="No"/>
    <m/>
    <m/>
    <m/>
  </r>
  <r>
    <x v="0"/>
    <m/>
    <x v="8"/>
    <x v="17"/>
    <s v="C018"/>
    <m/>
    <x v="2"/>
    <n v="8.14"/>
    <n v="8.26"/>
    <n v="0.11999999999999922"/>
    <s v="Geometry condition"/>
    <s v="Severely Fouled"/>
    <d v="2018-05-10T00:00:00"/>
    <m/>
    <m/>
    <m/>
    <m/>
    <m/>
    <s v="Mitchelton Platform, AWS, 326A"/>
    <m/>
    <m/>
    <s v="No"/>
    <m/>
    <m/>
    <m/>
  </r>
  <r>
    <x v="2"/>
    <m/>
    <x v="8"/>
    <x v="17"/>
    <s v="C018"/>
    <m/>
    <x v="2"/>
    <n v="9.9"/>
    <n v="10"/>
    <n v="9.9999999999999645E-2"/>
    <s v="Geometry condition"/>
    <s v="Highly Fouled"/>
    <d v="2018-05-10T00:00:00"/>
    <m/>
    <m/>
    <m/>
    <m/>
    <m/>
    <s v="Lubricator"/>
    <m/>
    <m/>
    <s v="No"/>
    <m/>
    <m/>
    <m/>
  </r>
  <r>
    <x v="1"/>
    <m/>
    <x v="8"/>
    <x v="17"/>
    <s v="C018"/>
    <m/>
    <x v="2"/>
    <n v="10.199999999999999"/>
    <n v="10.45"/>
    <n v="0.25"/>
    <s v="Geometry condition"/>
    <s v="Fouled"/>
    <d v="2018-05-10T00:00:00"/>
    <m/>
    <m/>
    <m/>
    <m/>
    <m/>
    <s v="#332C/D"/>
    <m/>
    <m/>
    <s v="No"/>
    <m/>
    <m/>
    <m/>
  </r>
  <r>
    <x v="2"/>
    <m/>
    <x v="8"/>
    <x v="17"/>
    <s v="C018"/>
    <m/>
    <x v="2"/>
    <n v="10.5"/>
    <n v="10.6"/>
    <n v="9.9999999999999645E-2"/>
    <s v="Geometry condition"/>
    <s v="Severely Fouled"/>
    <d v="2018-05-10T00:00:00"/>
    <m/>
    <m/>
    <m/>
    <m/>
    <m/>
    <m/>
    <m/>
    <m/>
    <s v="No"/>
    <m/>
    <m/>
    <m/>
  </r>
  <r>
    <x v="1"/>
    <m/>
    <x v="8"/>
    <x v="17"/>
    <s v="C018"/>
    <m/>
    <x v="2"/>
    <n v="12.65"/>
    <n v="12.83"/>
    <n v="0.17999999999999972"/>
    <s v="Geometry condition"/>
    <s v="Severely Fouled"/>
    <d v="2018-05-10T00:00:00"/>
    <m/>
    <m/>
    <m/>
    <m/>
    <m/>
    <m/>
    <m/>
    <m/>
    <s v="No"/>
    <m/>
    <m/>
    <m/>
  </r>
  <r>
    <x v="0"/>
    <m/>
    <x v="3"/>
    <x v="12"/>
    <s v="C092"/>
    <m/>
    <x v="4"/>
    <n v="38"/>
    <n v="38.4"/>
    <n v="0.39999999999999858"/>
    <s v="Geometry condition"/>
    <s v="Severely Fouled"/>
    <d v="2018-05-10T00:00:00"/>
    <m/>
    <m/>
    <m/>
    <m/>
    <m/>
    <m/>
    <m/>
    <m/>
    <s v="No"/>
    <m/>
    <m/>
    <m/>
  </r>
  <r>
    <x v="2"/>
    <m/>
    <x v="3"/>
    <x v="12"/>
    <s v="C092"/>
    <m/>
    <x v="4"/>
    <n v="39.200000000000003"/>
    <n v="39.4"/>
    <n v="0.19999999999999574"/>
    <s v="Geometry condition"/>
    <s v="Severely Fouled"/>
    <d v="2018-05-10T00:00:00"/>
    <m/>
    <m/>
    <m/>
    <m/>
    <m/>
    <s v="Thomas Street. Check platform clearances"/>
    <m/>
    <m/>
    <s v="No"/>
    <m/>
    <m/>
    <m/>
  </r>
  <r>
    <x v="0"/>
    <m/>
    <x v="3"/>
    <x v="12"/>
    <s v="C092"/>
    <m/>
    <x v="4"/>
    <n v="40.6"/>
    <n v="40.85"/>
    <n v="0.25"/>
    <s v="Geometry condition"/>
    <s v="Severely Fouled"/>
    <d v="2018-05-10T00:00:00"/>
    <m/>
    <m/>
    <m/>
    <m/>
    <m/>
    <m/>
    <s v="Pumping sleepers."/>
    <m/>
    <s v="No"/>
    <m/>
    <m/>
    <m/>
  </r>
  <r>
    <x v="2"/>
    <m/>
    <x v="3"/>
    <x v="12"/>
    <s v="C092"/>
    <m/>
    <x v="4"/>
    <n v="41.1"/>
    <n v="41.3"/>
    <n v="0.19999999999999574"/>
    <s v="Geometry condition"/>
    <s v="Severely Fouled"/>
    <d v="2018-05-10T00:00:00"/>
    <m/>
    <m/>
    <m/>
    <m/>
    <m/>
    <m/>
    <m/>
    <m/>
    <s v="No"/>
    <m/>
    <m/>
    <m/>
  </r>
  <r>
    <x v="2"/>
    <m/>
    <x v="3"/>
    <x v="12"/>
    <s v="C092"/>
    <m/>
    <x v="4"/>
    <n v="41.95"/>
    <n v="42.1"/>
    <n v="0.14999999999999858"/>
    <s v="Geometry condition"/>
    <s v="Severely Fouled"/>
    <d v="2018-05-10T00:00:00"/>
    <m/>
    <m/>
    <m/>
    <m/>
    <m/>
    <m/>
    <m/>
    <m/>
    <s v="No"/>
    <m/>
    <m/>
    <m/>
  </r>
  <r>
    <x v="2"/>
    <m/>
    <x v="3"/>
    <x v="12"/>
    <s v="C092"/>
    <m/>
    <x v="4"/>
    <n v="42.85"/>
    <n v="43"/>
    <n v="0.14999999999999858"/>
    <s v="Geometry condition"/>
    <s v="Highly Fouled"/>
    <d v="2018-05-10T00:00:00"/>
    <m/>
    <m/>
    <m/>
    <m/>
    <m/>
    <m/>
    <s v="GPR says ballast is fairly clean?"/>
    <m/>
    <s v="Tentative"/>
    <m/>
    <m/>
    <m/>
  </r>
  <r>
    <x v="0"/>
    <m/>
    <x v="3"/>
    <x v="12"/>
    <s v="C092"/>
    <m/>
    <x v="4"/>
    <n v="43.05"/>
    <n v="43.75"/>
    <n v="0.70000000000000284"/>
    <s v="Geometry condition"/>
    <s v="Severely Fouled"/>
    <d v="2018-05-10T00:00:00"/>
    <m/>
    <m/>
    <m/>
    <m/>
    <m/>
    <s v="Karrabin platform"/>
    <m/>
    <m/>
    <s v="No"/>
    <m/>
    <m/>
    <m/>
  </r>
  <r>
    <x v="2"/>
    <m/>
    <x v="3"/>
    <x v="12"/>
    <s v="C092"/>
    <m/>
    <x v="4"/>
    <n v="43.85"/>
    <n v="43.95"/>
    <n v="0.10000000000000142"/>
    <s v="Geometry condition"/>
    <s v="Highly Fouled"/>
    <d v="2018-05-10T00:00:00"/>
    <m/>
    <m/>
    <m/>
    <m/>
    <m/>
    <m/>
    <m/>
    <m/>
    <s v="No"/>
    <m/>
    <m/>
    <m/>
  </r>
  <r>
    <x v="0"/>
    <m/>
    <x v="3"/>
    <x v="12"/>
    <s v="C092"/>
    <m/>
    <x v="4"/>
    <n v="44"/>
    <n v="44.3"/>
    <n v="0.29999999999999716"/>
    <s v="Geometry condition"/>
    <s v="Severely Fouled"/>
    <d v="2018-05-10T00:00:00"/>
    <m/>
    <m/>
    <m/>
    <m/>
    <m/>
    <m/>
    <m/>
    <m/>
    <s v="No"/>
    <m/>
    <m/>
    <m/>
  </r>
  <r>
    <x v="0"/>
    <m/>
    <x v="3"/>
    <x v="12"/>
    <s v="C092"/>
    <m/>
    <x v="4"/>
    <n v="51.9"/>
    <n v="52.2"/>
    <n v="0.30000000000000426"/>
    <s v="Geometry condition"/>
    <s v="Severely Fouled"/>
    <d v="2018-05-10T00:00:00"/>
    <m/>
    <m/>
    <m/>
    <m/>
    <m/>
    <s v="Thagoona platform"/>
    <m/>
    <m/>
    <s v="No"/>
    <m/>
    <m/>
    <m/>
  </r>
  <r>
    <x v="1"/>
    <m/>
    <x v="9"/>
    <x v="18"/>
    <s v="C061"/>
    <m/>
    <x v="1"/>
    <n v="10.35"/>
    <n v="10.42"/>
    <n v="7.0000000000000284E-2"/>
    <s v="Geometry condition"/>
    <s v="Severely Fouled"/>
    <d v="2018-05-11T00:00:00"/>
    <m/>
    <m/>
    <s v="Yes"/>
    <s v="No"/>
    <m/>
    <s v="Turnout"/>
    <m/>
    <s v="10.350 - 10.420 "/>
    <s v="No"/>
    <m/>
    <m/>
    <m/>
  </r>
  <r>
    <x v="0"/>
    <m/>
    <x v="9"/>
    <x v="18"/>
    <s v="C061"/>
    <m/>
    <x v="1"/>
    <n v="10.5"/>
    <n v="10.62"/>
    <n v="0.11999999999999922"/>
    <s v="Geometry condition"/>
    <s v="Moderately Clean"/>
    <d v="2018-05-11T00:00:00"/>
    <m/>
    <m/>
    <s v="Yes"/>
    <s v="No"/>
    <m/>
    <m/>
    <s v="Mud reported in this area. Investigate ballast condition as GPR reads clean"/>
    <s v="10.500 - 10.620"/>
    <s v="No"/>
    <m/>
    <m/>
    <m/>
  </r>
  <r>
    <x v="2"/>
    <m/>
    <x v="9"/>
    <x v="18"/>
    <s v="C061"/>
    <m/>
    <x v="1"/>
    <n v="10.75"/>
    <n v="10.88"/>
    <n v="0.13000000000000078"/>
    <s v="Geometry condition"/>
    <s v="Fouled"/>
    <d v="2018-05-11T00:00:00"/>
    <m/>
    <m/>
    <m/>
    <s v="No"/>
    <m/>
    <m/>
    <m/>
    <s v="10.750 - 10.880"/>
    <s v="No"/>
    <m/>
    <m/>
    <m/>
  </r>
  <r>
    <x v="0"/>
    <m/>
    <x v="9"/>
    <x v="18"/>
    <s v="C061"/>
    <m/>
    <x v="1"/>
    <n v="11.2"/>
    <n v="11.45"/>
    <n v="0.25"/>
    <s v="Geometry condition"/>
    <s v="Fouled"/>
    <d v="2018-05-11T00:00:00"/>
    <m/>
    <m/>
    <s v="Yes"/>
    <m/>
    <m/>
    <m/>
    <s v="Parts of severely fouled, parts moderately clean"/>
    <s v="11.200 - 11.450"/>
    <s v="No"/>
    <m/>
    <m/>
    <m/>
  </r>
  <r>
    <x v="1"/>
    <m/>
    <x v="9"/>
    <x v="18"/>
    <s v="C061"/>
    <m/>
    <x v="1"/>
    <n v="11.9"/>
    <n v="12"/>
    <n v="9.9999999999999645E-2"/>
    <s v="Geometry condition"/>
    <s v="Highly Fouled"/>
    <d v="2018-05-11T00:00:00"/>
    <m/>
    <m/>
    <m/>
    <m/>
    <m/>
    <m/>
    <m/>
    <m/>
    <m/>
    <m/>
    <m/>
    <m/>
  </r>
  <r>
    <x v="2"/>
    <m/>
    <x v="9"/>
    <x v="18"/>
    <s v="C061"/>
    <m/>
    <x v="1"/>
    <n v="12.1"/>
    <n v="12.5"/>
    <n v="0.40000000000000036"/>
    <s v="Geometry condition"/>
    <s v="N/A"/>
    <d v="2018-05-11T00:00:00"/>
    <m/>
    <m/>
    <m/>
    <m/>
    <m/>
    <m/>
    <s v="Investigate ballast - unsure of fouling levels"/>
    <s v="12.100 - 12.500"/>
    <s v="Tentative"/>
    <m/>
    <m/>
    <m/>
  </r>
  <r>
    <x v="0"/>
    <m/>
    <x v="10"/>
    <x v="19"/>
    <s v="C181"/>
    <m/>
    <x v="7"/>
    <n v="11.9"/>
    <n v="12.6"/>
    <n v="0.69999999999999929"/>
    <s v="Geometry condition"/>
    <s v="N/A"/>
    <d v="2018-05-11T00:00:00"/>
    <m/>
    <m/>
    <m/>
    <m/>
    <m/>
    <s v="turnout"/>
    <m/>
    <s v="12.900 - 12.600"/>
    <s v="No"/>
    <m/>
    <m/>
    <m/>
  </r>
  <r>
    <x v="2"/>
    <m/>
    <x v="4"/>
    <x v="20"/>
    <s v="C027"/>
    <m/>
    <x v="4"/>
    <n v="56"/>
    <n v="56.2"/>
    <n v="0.20000000000000284"/>
    <s v="Geometry condition"/>
    <s v="Severely Fouled"/>
    <d v="2018-04-24T00:00:00"/>
    <m/>
    <m/>
    <m/>
    <m/>
    <m/>
    <m/>
    <m/>
    <m/>
    <s v="No"/>
    <m/>
    <m/>
    <m/>
  </r>
  <r>
    <x v="2"/>
    <m/>
    <x v="4"/>
    <x v="20"/>
    <s v="C027"/>
    <m/>
    <x v="4"/>
    <n v="61.65"/>
    <n v="61.75"/>
    <n v="0.10000000000000142"/>
    <s v="Geometry condition"/>
    <s v="Severely Fouled"/>
    <d v="2018-04-25T00:00:00"/>
    <m/>
    <m/>
    <m/>
    <m/>
    <m/>
    <m/>
    <m/>
    <m/>
    <s v="No"/>
    <m/>
    <m/>
    <m/>
  </r>
  <r>
    <x v="1"/>
    <m/>
    <x v="4"/>
    <x v="20"/>
    <s v="C027"/>
    <m/>
    <x v="6"/>
    <n v="65.8"/>
    <n v="67.099999999999994"/>
    <n v="1.2999999999999972"/>
    <s v="Geometry condition"/>
    <s v="Severely Fouled"/>
    <d v="2018-04-26T00:00:00"/>
    <m/>
    <m/>
    <m/>
    <m/>
    <m/>
    <m/>
    <m/>
    <m/>
    <s v="No"/>
    <m/>
    <m/>
    <m/>
  </r>
  <r>
    <x v="1"/>
    <m/>
    <x v="4"/>
    <x v="20"/>
    <s v="C027"/>
    <m/>
    <x v="6"/>
    <n v="68.55"/>
    <n v="68.8"/>
    <n v="0.25"/>
    <s v="Geometry condition"/>
    <s v="Severely Fouled"/>
    <d v="2018-04-27T00:00:00"/>
    <m/>
    <m/>
    <m/>
    <m/>
    <m/>
    <s v="level crossing "/>
    <m/>
    <m/>
    <s v="No"/>
    <m/>
    <m/>
    <m/>
  </r>
  <r>
    <x v="2"/>
    <m/>
    <x v="4"/>
    <x v="20"/>
    <s v="C027"/>
    <m/>
    <x v="6"/>
    <n v="71.05"/>
    <n v="71.150000000000006"/>
    <n v="0.10000000000000853"/>
    <s v="Geometry condition"/>
    <s v="Highly Fouled"/>
    <d v="2018-04-28T00:00:00"/>
    <m/>
    <m/>
    <m/>
    <m/>
    <m/>
    <m/>
    <m/>
    <m/>
    <s v="No"/>
    <m/>
    <m/>
    <m/>
  </r>
  <r>
    <x v="2"/>
    <m/>
    <x v="4"/>
    <x v="20"/>
    <s v="C027"/>
    <m/>
    <x v="6"/>
    <n v="73.650000000000006"/>
    <n v="73.95"/>
    <n v="0.29999999999999716"/>
    <s v="Geometry condition"/>
    <s v="Highly Fouled"/>
    <d v="2018-04-29T00:00:00"/>
    <m/>
    <m/>
    <m/>
    <m/>
    <m/>
    <m/>
    <m/>
    <m/>
    <s v="No"/>
    <m/>
    <m/>
    <m/>
  </r>
  <r>
    <x v="1"/>
    <m/>
    <x v="4"/>
    <x v="20"/>
    <s v="C027"/>
    <m/>
    <x v="6"/>
    <n v="76.349999999999994"/>
    <n v="76.45"/>
    <n v="0.10000000000000853"/>
    <s v="Geometry condition"/>
    <s v="Fouled"/>
    <d v="2018-04-30T00:00:00"/>
    <m/>
    <m/>
    <m/>
    <m/>
    <m/>
    <m/>
    <m/>
    <m/>
    <s v="No"/>
    <m/>
    <m/>
    <m/>
  </r>
  <r>
    <x v="2"/>
    <m/>
    <x v="4"/>
    <x v="20"/>
    <s v="C027"/>
    <m/>
    <x v="6"/>
    <n v="76.650000000000006"/>
    <n v="76.8"/>
    <n v="0.14999999999999147"/>
    <s v="Geometry condition"/>
    <s v="Highly Fouled"/>
    <d v="2018-05-01T00:00:00"/>
    <m/>
    <m/>
    <m/>
    <m/>
    <m/>
    <s v="turnout"/>
    <m/>
    <m/>
    <s v="No"/>
    <m/>
    <m/>
    <m/>
  </r>
  <r>
    <x v="0"/>
    <m/>
    <x v="4"/>
    <x v="20"/>
    <s v="C027"/>
    <m/>
    <x v="6"/>
    <n v="77.400000000000006"/>
    <n v="77.650000000000006"/>
    <n v="0.25"/>
    <s v="Geometry condition"/>
    <s v="Severely Fouled"/>
    <d v="2018-05-02T00:00:00"/>
    <m/>
    <m/>
    <m/>
    <m/>
    <m/>
    <m/>
    <m/>
    <m/>
    <s v="No"/>
    <m/>
    <m/>
    <m/>
  </r>
  <r>
    <x v="2"/>
    <m/>
    <x v="4"/>
    <x v="20"/>
    <s v="C027"/>
    <m/>
    <x v="6"/>
    <n v="118.2"/>
    <n v="118.4"/>
    <n v="0.20000000000000284"/>
    <s v="Geometry condition"/>
    <s v="Highly Fouled"/>
    <d v="2018-05-03T00:00:00"/>
    <m/>
    <m/>
    <m/>
    <m/>
    <m/>
    <m/>
    <m/>
    <m/>
    <s v="No"/>
    <m/>
    <m/>
    <m/>
  </r>
  <r>
    <x v="2"/>
    <m/>
    <x v="4"/>
    <x v="20"/>
    <s v="C027"/>
    <m/>
    <x v="6"/>
    <n v="134.05000000000001"/>
    <n v="134.19999999999999"/>
    <n v="0.14999999999997726"/>
    <s v="Geometry condition"/>
    <s v="Severely Fouled"/>
    <d v="2018-05-04T00:00:00"/>
    <m/>
    <m/>
    <m/>
    <m/>
    <m/>
    <m/>
    <m/>
    <m/>
    <s v="No"/>
    <m/>
    <m/>
    <m/>
  </r>
  <r>
    <x v="2"/>
    <m/>
    <x v="4"/>
    <x v="20"/>
    <s v="C027"/>
    <m/>
    <x v="6"/>
    <n v="138.4"/>
    <n v="138.69999999999999"/>
    <n v="0.29999999999998295"/>
    <s v="Geometry condition"/>
    <s v="Severely Fouled"/>
    <d v="2018-05-05T00:00:00"/>
    <m/>
    <m/>
    <m/>
    <m/>
    <m/>
    <m/>
    <m/>
    <m/>
    <s v="No"/>
    <m/>
    <m/>
    <m/>
  </r>
  <r>
    <x v="1"/>
    <m/>
    <x v="4"/>
    <x v="20"/>
    <s v="C027"/>
    <m/>
    <x v="6"/>
    <n v="139.15"/>
    <n v="139.4"/>
    <n v="0.25"/>
    <s v="Geometry condition"/>
    <s v="Highly Fouled"/>
    <d v="2018-05-06T00:00:00"/>
    <m/>
    <m/>
    <m/>
    <m/>
    <m/>
    <m/>
    <m/>
    <m/>
    <s v="No"/>
    <m/>
    <m/>
    <m/>
  </r>
  <r>
    <x v="2"/>
    <m/>
    <x v="4"/>
    <x v="20"/>
    <s v="C027"/>
    <m/>
    <x v="6"/>
    <n v="142"/>
    <n v="142.5"/>
    <n v="0.5"/>
    <s v="Geometry condition"/>
    <s v="Severely Fouled"/>
    <d v="2018-05-07T00:00:00"/>
    <m/>
    <m/>
    <m/>
    <m/>
    <m/>
    <m/>
    <m/>
    <m/>
    <s v="No"/>
    <m/>
    <m/>
    <m/>
  </r>
  <r>
    <x v="1"/>
    <m/>
    <x v="4"/>
    <x v="20"/>
    <s v="C027"/>
    <m/>
    <x v="6"/>
    <n v="145.25"/>
    <n v="145.44999999999999"/>
    <n v="0.19999999999998863"/>
    <s v="Geometry condition"/>
    <s v="N/A"/>
    <d v="2018-05-08T00:00:00"/>
    <m/>
    <m/>
    <m/>
    <m/>
    <m/>
    <m/>
    <m/>
    <m/>
    <s v="No"/>
    <m/>
    <m/>
    <m/>
  </r>
  <r>
    <x v="1"/>
    <m/>
    <x v="4"/>
    <x v="20"/>
    <s v="C027"/>
    <m/>
    <x v="6"/>
    <n v="150.85"/>
    <n v="151"/>
    <n v="0.15000000000000568"/>
    <s v="Geometry condition"/>
    <s v="N/A"/>
    <d v="2018-05-09T00:00:00"/>
    <m/>
    <m/>
    <m/>
    <m/>
    <m/>
    <m/>
    <m/>
    <m/>
    <s v="No"/>
    <m/>
    <m/>
    <m/>
  </r>
  <r>
    <x v="2"/>
    <m/>
    <x v="4"/>
    <x v="20"/>
    <s v="C027"/>
    <m/>
    <x v="6"/>
    <n v="166.1"/>
    <n v="166.4"/>
    <n v="0.30000000000001137"/>
    <s v="Geometry condition"/>
    <s v="N/A"/>
    <d v="2018-05-10T00:00:00"/>
    <m/>
    <m/>
    <m/>
    <m/>
    <m/>
    <m/>
    <m/>
    <m/>
    <s v="No"/>
    <m/>
    <m/>
    <m/>
  </r>
  <r>
    <x v="0"/>
    <m/>
    <x v="7"/>
    <x v="21"/>
    <s v="C151"/>
    <m/>
    <x v="2"/>
    <n v="9.9499999999999993"/>
    <n v="10.25"/>
    <n v="0.30000000000000071"/>
    <s v="Geometry condition"/>
    <s v="Highly Fouled"/>
    <d v="2018-05-11T00:00:00"/>
    <m/>
    <m/>
    <m/>
    <m/>
    <m/>
    <m/>
    <m/>
    <m/>
    <s v="No"/>
    <m/>
    <m/>
    <m/>
  </r>
  <r>
    <x v="2"/>
    <m/>
    <x v="7"/>
    <x v="21"/>
    <s v="C151"/>
    <m/>
    <x v="2"/>
    <n v="10.8"/>
    <n v="11"/>
    <n v="0.19999999999999929"/>
    <s v="Geometry condition"/>
    <s v="Severely Fouled"/>
    <d v="2018-05-11T00:00:00"/>
    <m/>
    <m/>
    <m/>
    <m/>
    <m/>
    <s v="Rocklea Platform"/>
    <m/>
    <m/>
    <s v="No"/>
    <m/>
    <m/>
    <m/>
  </r>
  <r>
    <x v="0"/>
    <m/>
    <x v="7"/>
    <x v="21"/>
    <s v="C151"/>
    <m/>
    <x v="2"/>
    <n v="11.48"/>
    <n v="11.53"/>
    <n v="4.9999999999998934E-2"/>
    <s v="Geometry condition"/>
    <s v="Severely Fouled"/>
    <d v="2018-05-11T00:00:00"/>
    <m/>
    <m/>
    <m/>
    <m/>
    <m/>
    <s v="Pradella Diamond"/>
    <m/>
    <m/>
    <s v="No"/>
    <m/>
    <m/>
    <m/>
  </r>
  <r>
    <x v="2"/>
    <m/>
    <x v="7"/>
    <x v="21"/>
    <s v="C151"/>
    <m/>
    <x v="2"/>
    <n v="11.95"/>
    <n v="12.05"/>
    <n v="0.10000000000000142"/>
    <s v="Geometry condition"/>
    <s v="Severely Fouled"/>
    <d v="2018-05-11T00:00:00"/>
    <m/>
    <m/>
    <m/>
    <m/>
    <m/>
    <m/>
    <m/>
    <m/>
    <s v="No"/>
    <m/>
    <m/>
    <m/>
  </r>
  <r>
    <x v="0"/>
    <m/>
    <x v="7"/>
    <x v="21"/>
    <s v="C151"/>
    <m/>
    <x v="2"/>
    <n v="12.63"/>
    <n v="12.76"/>
    <n v="0.12999999999999901"/>
    <s v="Geometry condition"/>
    <s v="Severely Fouled"/>
    <d v="2018-05-11T00:00:00"/>
    <m/>
    <m/>
    <m/>
    <m/>
    <m/>
    <s v="#584A"/>
    <m/>
    <m/>
    <s v="No"/>
    <m/>
    <m/>
    <m/>
  </r>
  <r>
    <x v="1"/>
    <m/>
    <x v="7"/>
    <x v="21"/>
    <s v="C151"/>
    <m/>
    <x v="2"/>
    <n v="13"/>
    <n v="13.2"/>
    <n v="0.19999999999999929"/>
    <s v="Geometry condition"/>
    <s v="Severely Fouled"/>
    <d v="2018-05-11T00:00:00"/>
    <m/>
    <m/>
    <m/>
    <m/>
    <m/>
    <m/>
    <m/>
    <m/>
    <s v="No"/>
    <m/>
    <m/>
    <m/>
  </r>
  <r>
    <x v="1"/>
    <m/>
    <x v="7"/>
    <x v="21"/>
    <s v="C151"/>
    <m/>
    <x v="2"/>
    <n v="14.1"/>
    <n v="14.25"/>
    <n v="0.15000000000000036"/>
    <s v="Geometry condition"/>
    <s v="Severely Fouled"/>
    <d v="2018-05-11T00:00:00"/>
    <m/>
    <m/>
    <m/>
    <m/>
    <m/>
    <m/>
    <m/>
    <m/>
    <s v="No"/>
    <m/>
    <m/>
    <m/>
  </r>
  <r>
    <x v="1"/>
    <m/>
    <x v="7"/>
    <x v="21"/>
    <s v="C151"/>
    <m/>
    <x v="2"/>
    <n v="15.4"/>
    <n v="15.65"/>
    <n v="0.25"/>
    <s v="Geometry condition"/>
    <s v="Fouled"/>
    <d v="2018-05-11T00:00:00"/>
    <m/>
    <m/>
    <m/>
    <m/>
    <m/>
    <m/>
    <m/>
    <m/>
    <s v="No"/>
    <m/>
    <m/>
    <m/>
  </r>
  <r>
    <x v="2"/>
    <m/>
    <x v="7"/>
    <x v="21"/>
    <s v="C151"/>
    <m/>
    <x v="2"/>
    <n v="16.2"/>
    <n v="16.600000000000001"/>
    <n v="0.40000000000000213"/>
    <s v="Geometry condition"/>
    <s v="Highly Fouled"/>
    <d v="2018-05-11T00:00:00"/>
    <m/>
    <m/>
    <m/>
    <m/>
    <m/>
    <m/>
    <m/>
    <m/>
    <s v="No"/>
    <m/>
    <m/>
    <m/>
  </r>
  <r>
    <x v="2"/>
    <m/>
    <x v="7"/>
    <x v="21"/>
    <s v="C151"/>
    <m/>
    <x v="2"/>
    <n v="21.22"/>
    <n v="21.28"/>
    <n v="6.0000000000002274E-2"/>
    <s v="Geometry condition"/>
    <s v="Severely Fouled"/>
    <d v="2018-05-11T00:00:00"/>
    <m/>
    <m/>
    <m/>
    <m/>
    <m/>
    <s v="#555A &amp; Culv"/>
    <m/>
    <m/>
    <s v="No"/>
    <m/>
    <m/>
    <m/>
  </r>
  <r>
    <x v="0"/>
    <m/>
    <x v="7"/>
    <x v="21"/>
    <s v="C151"/>
    <m/>
    <x v="2"/>
    <n v="22.02"/>
    <n v="22.22"/>
    <n v="0.19999999999999929"/>
    <s v="Geometry condition"/>
    <s v="Severely Fouled"/>
    <d v="2018-05-11T00:00:00"/>
    <m/>
    <m/>
    <m/>
    <m/>
    <m/>
    <s v="#554B/A &amp; #552D/C"/>
    <m/>
    <m/>
    <s v="No"/>
    <m/>
    <m/>
    <m/>
  </r>
  <r>
    <x v="2"/>
    <m/>
    <x v="7"/>
    <x v="21"/>
    <s v="C151"/>
    <m/>
    <x v="2"/>
    <n v="25.85"/>
    <n v="26.15"/>
    <n v="0.29999999999999716"/>
    <s v="Geometry condition"/>
    <s v="Severely Fouled"/>
    <d v="2018-05-11T00:00:00"/>
    <m/>
    <m/>
    <m/>
    <m/>
    <m/>
    <s v="Woodridge Platform &amp; AWS"/>
    <m/>
    <m/>
    <s v="No"/>
    <m/>
    <m/>
    <m/>
  </r>
  <r>
    <x v="1"/>
    <m/>
    <x v="7"/>
    <x v="21"/>
    <s v="C151"/>
    <m/>
    <x v="2"/>
    <n v="27"/>
    <n v="27.45"/>
    <n v="0.44999999999999929"/>
    <s v="Geometry condition"/>
    <s v="Severely Fouled"/>
    <d v="2018-05-11T00:00:00"/>
    <m/>
    <m/>
    <m/>
    <m/>
    <m/>
    <s v="AWS"/>
    <m/>
    <m/>
    <s v="No"/>
    <m/>
    <m/>
    <m/>
  </r>
  <r>
    <x v="1"/>
    <m/>
    <x v="7"/>
    <x v="21"/>
    <s v="C151"/>
    <m/>
    <x v="2"/>
    <n v="28.65"/>
    <n v="28.75"/>
    <n v="0.10000000000000142"/>
    <s v="Geometry condition"/>
    <s v="Severely Fouled"/>
    <d v="2018-05-11T00:00:00"/>
    <m/>
    <m/>
    <m/>
    <m/>
    <m/>
    <s v="Kingston Platform &amp; #541B"/>
    <m/>
    <m/>
    <s v="No"/>
    <m/>
    <m/>
    <m/>
  </r>
  <r>
    <x v="0"/>
    <m/>
    <x v="7"/>
    <x v="21"/>
    <s v="C151"/>
    <m/>
    <x v="2"/>
    <n v="37.270000000000003"/>
    <n v="37.35"/>
    <n v="7.9999999999998295E-2"/>
    <s v="Geometry condition"/>
    <s v="Fouled"/>
    <d v="2018-05-11T00:00:00"/>
    <m/>
    <m/>
    <m/>
    <m/>
    <m/>
    <s v="#526A"/>
    <m/>
    <m/>
    <s v="No"/>
    <m/>
    <m/>
    <m/>
  </r>
  <r>
    <x v="0"/>
    <m/>
    <x v="7"/>
    <x v="21"/>
    <s v="C151"/>
    <m/>
    <x v="2"/>
    <n v="40.32"/>
    <n v="40.450000000000003"/>
    <n v="0.13000000000000256"/>
    <s v="Geometry condition"/>
    <s v="Highly Fouled"/>
    <d v="2018-05-11T00:00:00"/>
    <m/>
    <m/>
    <m/>
    <m/>
    <m/>
    <s v="#519A &amp; 521 A"/>
    <m/>
    <m/>
    <s v="No"/>
    <m/>
    <m/>
    <m/>
  </r>
  <r>
    <x v="2"/>
    <m/>
    <x v="7"/>
    <x v="22"/>
    <s v="C012"/>
    <m/>
    <x v="2"/>
    <n v="53.05"/>
    <n v="53.25"/>
    <n v="0.20000000000000284"/>
    <s v="Geometry condition"/>
    <s v="Highly Fouled"/>
    <d v="2018-05-11T00:00:00"/>
    <m/>
    <m/>
    <m/>
    <m/>
    <m/>
    <s v="#504D/C &amp; 505A/B"/>
    <m/>
    <m/>
    <s v="No"/>
    <m/>
    <m/>
    <m/>
  </r>
  <r>
    <x v="0"/>
    <m/>
    <x v="7"/>
    <x v="22"/>
    <s v="C012"/>
    <m/>
    <x v="2"/>
    <n v="70.5"/>
    <n v="70.63"/>
    <n v="0.12999999999999545"/>
    <s v="Geometry condition"/>
    <s v="Severely Fouled"/>
    <d v="2018-05-11T00:00:00"/>
    <m/>
    <m/>
    <m/>
    <m/>
    <m/>
    <s v="#511D/C"/>
    <m/>
    <m/>
    <s v="No"/>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r>
  <r>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2"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F1:F3" firstHeaderRow="1" firstDataRow="1" firstDataCol="1"/>
  <pivotFields count="1">
    <pivotField axis="axisRow" showAll="0" defaultSubtotal="0">
      <items count="2">
        <item x="0"/>
        <item h="1" x="1"/>
      </items>
    </pivotField>
  </pivotFields>
  <rowFields count="1">
    <field x="0"/>
  </rowFields>
  <rowItems count="2">
    <i>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A3:D16" firstHeaderRow="1" firstDataRow="2" firstDataCol="1"/>
  <pivotFields count="25">
    <pivotField axis="axisCol" multipleItemSelectionAllowed="1" showAll="0">
      <items count="4">
        <item x="0"/>
        <item h="1" x="1"/>
        <item x="2"/>
        <item t="default"/>
      </items>
    </pivotField>
    <pivotField showAll="0"/>
    <pivotField axis="axisRow" showAll="0">
      <items count="12">
        <item x="2"/>
        <item x="9"/>
        <item x="1"/>
        <item x="8"/>
        <item x="7"/>
        <item x="5"/>
        <item x="3"/>
        <item x="4"/>
        <item x="10"/>
        <item x="0"/>
        <item x="6"/>
        <item t="default"/>
      </items>
    </pivotField>
    <pivotField showAll="0">
      <items count="24">
        <item x="22"/>
        <item x="15"/>
        <item x="17"/>
        <item x="20"/>
        <item x="9"/>
        <item x="7"/>
        <item x="18"/>
        <item x="3"/>
        <item x="1"/>
        <item x="16"/>
        <item x="12"/>
        <item x="11"/>
        <item x="13"/>
        <item x="10"/>
        <item x="0"/>
        <item x="2"/>
        <item x="14"/>
        <item x="19"/>
        <item x="6"/>
        <item x="4"/>
        <item x="5"/>
        <item x="8"/>
        <item x="21"/>
        <item t="default"/>
      </items>
    </pivotField>
    <pivotField showAll="0"/>
    <pivotField showAll="0"/>
    <pivotField showAll="0">
      <items count="9">
        <item x="4"/>
        <item x="3"/>
        <item x="1"/>
        <item x="5"/>
        <item x="6"/>
        <item x="7"/>
        <item x="2"/>
        <item x="0"/>
        <item t="default"/>
      </items>
    </pivotField>
    <pivotField numFmtId="164" showAll="0"/>
    <pivotField numFmtId="164" showAll="0"/>
    <pivotField dataField="1" numFmtId="164" showAll="0"/>
    <pivotField showAll="0"/>
    <pivotField showAll="0"/>
    <pivotField numFmtId="165"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2">
    <i>
      <x/>
    </i>
    <i>
      <x v="1"/>
    </i>
    <i>
      <x v="2"/>
    </i>
    <i>
      <x v="3"/>
    </i>
    <i>
      <x v="4"/>
    </i>
    <i>
      <x v="5"/>
    </i>
    <i>
      <x v="6"/>
    </i>
    <i>
      <x v="7"/>
    </i>
    <i>
      <x v="8"/>
    </i>
    <i>
      <x v="9"/>
    </i>
    <i>
      <x v="10"/>
    </i>
    <i t="grand">
      <x/>
    </i>
  </rowItems>
  <colFields count="1">
    <field x="0"/>
  </colFields>
  <colItems count="3">
    <i>
      <x/>
    </i>
    <i>
      <x v="2"/>
    </i>
    <i t="grand">
      <x/>
    </i>
  </colItems>
  <dataFields count="1">
    <dataField name="Sum of Length (km)" fld="9" baseField="0" baseItem="0"/>
  </dataFields>
  <chartFormats count="4">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0000000-0013-0000-FFFF-FFFF01000000}" sourceName="Year">
  <pivotTables>
    <pivotTable tabId="18" name="PivotTable1"/>
  </pivotTables>
  <data>
    <tabular pivotCacheId="1">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1000000}" cache="Slicer_Year" caption="Year" columnCount="2" showCaption="0" style="SlicerStyleLight4"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0000000}" name="Table25781014" displayName="Table25781014" ref="A2:AH459" totalsRowShown="0" headerRowDxfId="141" dataDxfId="139" headerRowBorderDxfId="140" tableBorderDxfId="138">
  <autoFilter ref="A2:AH459" xr:uid="{00000000-0009-0000-0100-00000D000000}"/>
  <tableColumns count="34">
    <tableColumn id="1" xr3:uid="{00000000-0010-0000-0000-000001000000}" name="Priority" dataDxfId="137"/>
    <tableColumn id="22" xr3:uid="{00000000-0010-0000-0000-000016000000}" name="Delivery Priority" dataDxfId="136"/>
    <tableColumn id="21" xr3:uid="{00000000-0010-0000-0000-000015000000}" name="Line" dataDxfId="135"/>
    <tableColumn id="2" xr3:uid="{00000000-0010-0000-0000-000002000000}" name="Line Section" dataDxfId="134"/>
    <tableColumn id="3" xr3:uid="{00000000-0010-0000-0000-000003000000}" name="LRP" dataDxfId="133">
      <calculatedColumnFormula>IF(Table25781014[[#This Row],[Line Section]]="","",VLOOKUP(Table25781014[[#This Row],[Line Section]],Reference!$A$2:$B$47,2,FALSE))</calculatedColumnFormula>
    </tableColumn>
    <tableColumn id="4" xr3:uid="{00000000-0010-0000-0000-000004000000}" name="Planned Date" dataDxfId="132"/>
    <tableColumn id="34" xr3:uid="{E58FEA7F-B36D-4B28-AD7C-EA92601E6D3E}" name="Capital" dataDxfId="131"/>
    <tableColumn id="30" xr3:uid="{00000000-0010-0000-0000-00001E000000}" name="Planned Machine" dataDxfId="130"/>
    <tableColumn id="20" xr3:uid="{00000000-0010-0000-0000-000014000000}" name="Track" dataDxfId="129"/>
    <tableColumn id="5" xr3:uid="{00000000-0010-0000-0000-000005000000}" name="Start_x000a_(km)" dataDxfId="128"/>
    <tableColumn id="6" xr3:uid="{00000000-0010-0000-0000-000006000000}" name="End_x000a_(km)" dataDxfId="127"/>
    <tableColumn id="19" xr3:uid="{00000000-0010-0000-0000-000013000000}" name="Length (km)" dataDxfId="126">
      <calculatedColumnFormula>IF(Table25781014[[#This Row],[End
(km)]]="","",Table25781014[[#This Row],[End
(km)]]-Table25781014[[#This Row],[Start
(km)]])</calculatedColumnFormula>
    </tableColumn>
    <tableColumn id="8" xr3:uid="{00000000-0010-0000-0000-000008000000}" name="Reason for Site" dataDxfId="125"/>
    <tableColumn id="9" xr3:uid="{00000000-0010-0000-0000-000009000000}" name="Ballast Condition_x000a_(GPR 2015)" dataDxfId="124"/>
    <tableColumn id="33" xr3:uid="{F9A39626-F123-4385-9C9B-CBB165062CAA}" name="Ballast Condition (GPR 2018)" dataDxfId="123"/>
    <tableColumn id="7" xr3:uid="{00000000-0010-0000-0000-000007000000}" name="Date added" dataDxfId="122"/>
    <tableColumn id="23" xr3:uid="{00000000-0010-0000-0000-000017000000}" name="Date Updated" dataDxfId="121"/>
    <tableColumn id="10" xr3:uid="{00000000-0010-0000-0000-00000A000000}" name="Confirmed on Site?" dataDxfId="120"/>
    <tableColumn id="11" xr3:uid="{00000000-0010-0000-0000-00000B000000}" name="Recurring Resurf?" dataDxfId="119"/>
    <tableColumn id="12" xr3:uid="{00000000-0010-0000-0000-00000C000000}" name="In NMP for U/C or Recon (Y/N)" dataDxfId="118"/>
    <tableColumn id="24" xr3:uid="{00000000-0010-0000-0000-000018000000}" name="Survey Required?" dataDxfId="117"/>
    <tableColumn id="31" xr3:uid="{00000000-0010-0000-0000-00001F000000}" name="Mud Hole removal" dataDxfId="116"/>
    <tableColumn id="13" xr3:uid="{00000000-0010-0000-0000-00000D000000}" name="Additional track features present" dataDxfId="115"/>
    <tableColumn id="14" xr3:uid="{00000000-0010-0000-0000-00000E000000}" name="Comments" dataDxfId="114"/>
    <tableColumn id="26" xr3:uid="{00000000-0010-0000-0000-00001A000000}" name="Link to TRC and GPR data" dataDxfId="113"/>
    <tableColumn id="15" xr3:uid="{00000000-0010-0000-0000-00000F000000}" name="Tentatively added / Undercut Complete?" dataDxfId="112"/>
    <tableColumn id="32" xr3:uid="{00000000-0010-0000-0000-000020000000}" name="If Cancelled, Original Planned date" dataDxfId="111"/>
    <tableColumn id="16" xr3:uid="{00000000-0010-0000-0000-000010000000}" name="Start Completed Section (km)" dataDxfId="110"/>
    <tableColumn id="17" xr3:uid="{00000000-0010-0000-0000-000011000000}" name="End Completed Section (km)" dataDxfId="109"/>
    <tableColumn id="25" xr3:uid="{00000000-0010-0000-0000-000019000000}" name="Length Completed (km)" dataDxfId="108">
      <calculatedColumnFormula>IF(Table25781014[[#This Row],[End Completed Section (km)]]="","",Table25781014[[#This Row],[End Completed Section (km)]]-Table25781014[[#This Row],[Start Completed Section (km)]])</calculatedColumnFormula>
    </tableColumn>
    <tableColumn id="18" xr3:uid="{00000000-0010-0000-0000-000012000000}" name="Date Completed" dataDxfId="107"/>
    <tableColumn id="27" xr3:uid="{00000000-0010-0000-0000-00001B000000}" name="Financial Year" dataDxfId="106">
      <calculatedColumnFormula>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calculatedColumnFormula>
    </tableColumn>
    <tableColumn id="28" xr3:uid="{00000000-0010-0000-0000-00001C000000}" name="Month" dataDxfId="105">
      <calculatedColumnFormula>IF(Table25781014[[#This Row],[Planned Date]]="","",TEXT(Table25781014[[#This Row],[Planned Date]],"mmm"))</calculatedColumnFormula>
    </tableColumn>
    <tableColumn id="29" xr3:uid="{00000000-0010-0000-0000-00001D000000}" name="Month2" dataDxfId="104">
      <calculatedColumnFormula>IF(Table25781014[[#This Row],[Month]]="","",VLOOKUP(Table25781014[[#This Row],[Month]],List!$B$2:$C$13,2,FALSE))</calculatedColumnFormula>
    </tableColumn>
  </tableColumns>
  <tableStyleInfo name="TableStyleMedium15"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M28" totalsRowShown="0" headerRowDxfId="30" dataDxfId="28" headerRowBorderDxfId="29" tableBorderDxfId="27">
  <autoFilter ref="A1:M28" xr:uid="{00000000-0009-0000-0100-000001000000}"/>
  <tableColumns count="13">
    <tableColumn id="1" xr3:uid="{00000000-0010-0000-0100-000001000000}" name="Line" dataDxfId="26"/>
    <tableColumn id="2" xr3:uid="{00000000-0010-0000-0100-000002000000}" name="Line Section" dataDxfId="25"/>
    <tableColumn id="3" xr3:uid="{00000000-0010-0000-0100-000003000000}" name="LRP" dataDxfId="24">
      <calculatedColumnFormula>IF(Table1[[#This Row],[Line Section]]="","",VLOOKUP(Table1[[#This Row],[Line Section]],Reference!A2:B47,2,FALSE))</calculatedColumnFormula>
    </tableColumn>
    <tableColumn id="4" xr3:uid="{00000000-0010-0000-0100-000004000000}" name="Track" dataDxfId="23"/>
    <tableColumn id="5" xr3:uid="{00000000-0010-0000-0100-000005000000}" name="Start_x000a_(km)" dataDxfId="22"/>
    <tableColumn id="6" xr3:uid="{00000000-0010-0000-0100-000006000000}" name="End_x000a_(km)" dataDxfId="21"/>
    <tableColumn id="7" xr3:uid="{00000000-0010-0000-0100-000007000000}" name="Length (km)" dataDxfId="20">
      <calculatedColumnFormula>IF(Table1[[#This Row],[End
(km)]]="","",Table1[[#This Row],[End
(km)]]-Table1[[#This Row],[Start
(km)]])</calculatedColumnFormula>
    </tableColumn>
    <tableColumn id="8" xr3:uid="{00000000-0010-0000-0100-000008000000}" name="Ballast Condition_x000a_(GPR)" dataDxfId="19"/>
    <tableColumn id="9" xr3:uid="{00000000-0010-0000-0100-000009000000}" name="Date added" dataDxfId="18"/>
    <tableColumn id="10" xr3:uid="{00000000-0010-0000-0100-00000A000000}" name="Date Updated" dataDxfId="17"/>
    <tableColumn id="11" xr3:uid="{00000000-0010-0000-0100-00000B000000}" name="Recurring Resurf?" dataDxfId="16"/>
    <tableColumn id="12" xr3:uid="{00000000-0010-0000-0100-00000C000000}" name="Additional track features present" dataDxfId="15"/>
    <tableColumn id="13" xr3:uid="{00000000-0010-0000-0100-00000D000000}" name="Comments"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7D811CB-A109-4A2E-BCB3-AD43728C5569}" name="Table2" displayName="Table2" ref="A1:L28" totalsRowShown="0" headerRowDxfId="13" dataDxfId="12">
  <autoFilter ref="A1:L28" xr:uid="{4949D1B6-A7C8-451F-8E11-E513C7F8F512}"/>
  <sortState xmlns:xlrd2="http://schemas.microsoft.com/office/spreadsheetml/2017/richdata2" ref="A2:L28">
    <sortCondition ref="G1:G28"/>
  </sortState>
  <tableColumns count="12">
    <tableColumn id="1" xr3:uid="{7ECC67A8-2988-4DD7-B332-F30A93C0BEF5}" name="SCAS" dataDxfId="11"/>
    <tableColumn id="2" xr3:uid="{1738B7FE-09E7-4759-90AD-DD0B083FDB43}" name="Section" dataDxfId="10"/>
    <tableColumn id="12" xr3:uid="{A3CA9F9C-CBDE-4BBD-9AF3-C71AE90D85BA}" name="Road" dataDxfId="9"/>
    <tableColumn id="3" xr3:uid="{B9DD363D-54F5-477F-BA42-DF0063C18C81}" name="Planned Start km" dataDxfId="8"/>
    <tableColumn id="4" xr3:uid="{FC5F527E-17E0-4FF7-9483-75AF01482535}" name="Planned End km" dataDxfId="7"/>
    <tableColumn id="5" xr3:uid="{40B985A5-6757-4B5F-B21B-EF07C2082B19}" name="Planned length (m)" dataDxfId="6">
      <calculatedColumnFormula>(Table2[[#This Row],[Planned End km]]-Table2[[#This Row],[Planned Start km]])*1000</calculatedColumnFormula>
    </tableColumn>
    <tableColumn id="6" xr3:uid="{F9FA5F06-DCDE-4B19-A0BF-CFE6AA8FA1E5}" name="Date Planned" dataDxfId="5"/>
    <tableColumn id="7" xr3:uid="{C7704400-FB96-413B-A8E8-7E26266236DD}" name="Actual Start km" dataDxfId="4"/>
    <tableColumn id="8" xr3:uid="{DA838A68-1D4D-4D97-9D26-EA80E379F8BA}" name="Actual End km" dataDxfId="3"/>
    <tableColumn id="9" xr3:uid="{2C7DA1D4-ACD2-4507-BDBF-5F06235EB18B}" name="Actual length (m)" dataDxfId="2">
      <calculatedColumnFormula>(Table2[[#This Row],[Actual End km]]-Table2[[#This Row],[Actual Start km]])*1000</calculatedColumnFormula>
    </tableColumn>
    <tableColumn id="11" xr3:uid="{109C6C0C-34FF-428A-96A1-FF9B5DA71FD4}" name="Comments" dataDxfId="1"/>
    <tableColumn id="10" xr3:uid="{4FBB73CC-228C-4B6C-9E05-1B2B9D6E0F00}" name="Audit Complete?" dataDxfId="0"/>
  </tableColumns>
  <tableStyleInfo name="TableStyleMedium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hyperlink" Target="file:///C:\Users\r904645\AppData\Roaming\Microsoft\Excel\Undercutting%20data\Main%20Line\UM\19.000%20-%2019.400.pdf" TargetMode="External"/><Relationship Id="rId18" Type="http://schemas.openxmlformats.org/officeDocument/2006/relationships/hyperlink" Target="file:///C:\Users\r904645\AppData\Roaming\Microsoft\Excel\Undercutting%20data\Main%20Line\UM\26.900%20-%2027.350.pdf" TargetMode="External"/><Relationship Id="rId26" Type="http://schemas.openxmlformats.org/officeDocument/2006/relationships/hyperlink" Target="file:///C:\Users\r904645\AppData\Roaming\Microsoft\Excel\Undercutting%20data\Main%20Line\UM\52.220%20-%2052.310.pdf" TargetMode="External"/><Relationship Id="rId39" Type="http://schemas.openxmlformats.org/officeDocument/2006/relationships/hyperlink" Target="file:///C:\Users\r904645\AppData\Roaming\Microsoft\Excel\Undercutting%20data\Cleveland\DM\13.600%20-%2014.070.pdf" TargetMode="External"/><Relationship Id="rId21" Type="http://schemas.openxmlformats.org/officeDocument/2006/relationships/hyperlink" Target="file:///C:\Users\r904645\AppData\Roaming\Microsoft\Excel\Undercutting%20data\Main%20Line\UM\34.900%20-%2035.200.pdf" TargetMode="External"/><Relationship Id="rId34" Type="http://schemas.openxmlformats.org/officeDocument/2006/relationships/hyperlink" Target="file:///C:\Users\r904645\AppData\Roaming\Microsoft\Excel\Undercutting%20data\Cleveland\Single\28.320%20-%2028.520.pdf" TargetMode="External"/><Relationship Id="rId42" Type="http://schemas.openxmlformats.org/officeDocument/2006/relationships/hyperlink" Target="file:///C:\Users\r904645\AppData\Roaming\Microsoft\Excel\Undercutting%20data\Dual%20Gauge\Dutton%20park%20to%20Acacia%20ridge\Pages%20from%20Dual%20Guage%20Salibury%20tp%20Yeerongpilly%20-%20Febuay%202018" TargetMode="External"/><Relationship Id="rId47" Type="http://schemas.openxmlformats.org/officeDocument/2006/relationships/hyperlink" Target="file:///C:\Users\r904645\AppData\Roaming\Microsoft\Excel\Undercutting%20data\Dual%20Gauge\Dutton%20park%20to%20Acacia%20ridge\Spur.pdf" TargetMode="External"/><Relationship Id="rId50" Type="http://schemas.openxmlformats.org/officeDocument/2006/relationships/hyperlink" Target="file:///C:\Users\r904645\AppData\Roaming\Microsoft\Excel\Undercutting%20data\Doomben\2.030-2.130.pdf" TargetMode="External"/><Relationship Id="rId55" Type="http://schemas.openxmlformats.org/officeDocument/2006/relationships/hyperlink" Target="file:///C:\Users\r904645\AppData\Roaming\Microsoft\Excel\Undercutting%20data\Dual%20Gauge\Fisherman%20Islands%20Balloon\8.550%20-%209..pdf" TargetMode="External"/><Relationship Id="rId63" Type="http://schemas.openxmlformats.org/officeDocument/2006/relationships/hyperlink" Target="file:///C:\Users\r904645\AppData\Roaming\Microsoft\Excel\Undercutting%20data\North%20Coast\DM\29.250%20-%2040.100.pdf" TargetMode="External"/><Relationship Id="rId68" Type="http://schemas.openxmlformats.org/officeDocument/2006/relationships/hyperlink" Target="file:///C:\Users\r904645\AppData\Roaming\Microsoft\Excel\Undercutting%20data\Beenleigh%20Gold%20Coast\3rd%20Rd\17.950%20-%2018.150.pdf" TargetMode="External"/><Relationship Id="rId76" Type="http://schemas.openxmlformats.org/officeDocument/2006/relationships/hyperlink" Target="file:///C:\Users\r904645\AppData\Roaming\Microsoft\Excel\Undercutting%20data\Cleveland\Single" TargetMode="External"/><Relationship Id="rId7" Type="http://schemas.openxmlformats.org/officeDocument/2006/relationships/hyperlink" Target="file:///C:\Users\r904645\AppData\Roaming\Microsoft\Excel\Undercutting%20data\Cleveland\DM\8.950%20-%209.000.pdf" TargetMode="External"/><Relationship Id="rId71" Type="http://schemas.openxmlformats.org/officeDocument/2006/relationships/hyperlink" Target="file:///C:\Users\r904645\AppData\Roaming\Microsoft\Excel\Undercutting%20data\Cleveland\DM" TargetMode="External"/><Relationship Id="rId2" Type="http://schemas.openxmlformats.org/officeDocument/2006/relationships/hyperlink" Target="file:///C:\Users\r904645\AppData\Roaming\Microsoft\Excel\Undercutting%20data\North%20Coast\21.550%20-%2021.750%20UM.pdf" TargetMode="External"/><Relationship Id="rId16" Type="http://schemas.openxmlformats.org/officeDocument/2006/relationships/hyperlink" Target="file:///C:\Users\r904645\AppData\Roaming\Microsoft\Excel\Undercutting%20data\Main%20Line\UM\22.640%20-%2022.880.pdf" TargetMode="External"/><Relationship Id="rId29" Type="http://schemas.openxmlformats.org/officeDocument/2006/relationships/hyperlink" Target="file:///C:\Users\r904645\AppData\Roaming\Microsoft\Excel\Undercutting%20data\Cleveland\UM\13.100%20-%2013.300.pdf" TargetMode="External"/><Relationship Id="rId11" Type="http://schemas.openxmlformats.org/officeDocument/2006/relationships/hyperlink" Target="file:///C:\Users\r904645\AppData\Roaming\Microsoft\Excel\Undercutting%20data\Main%20Line\UM\12.800%20-%2013.000.pdf" TargetMode="External"/><Relationship Id="rId24" Type="http://schemas.openxmlformats.org/officeDocument/2006/relationships/hyperlink" Target="file:///C:\Users\r904645\AppData\Roaming\Microsoft\Excel\Undercutting%20data\Main%20Line\UM\37.200%20-%2038.150.pdf" TargetMode="External"/><Relationship Id="rId32" Type="http://schemas.openxmlformats.org/officeDocument/2006/relationships/hyperlink" Target="file:///C:\Users\r904645\AppData\Roaming\Microsoft\Excel\Undercutting%20data\Cleveland\Single\24.100%20-%2024.350.pdf" TargetMode="External"/><Relationship Id="rId37" Type="http://schemas.openxmlformats.org/officeDocument/2006/relationships/hyperlink" Target="file:///C:\Users\r904645\AppData\Roaming\Microsoft\Excel\Undercutting%20data\Cleveland\DM\12.800%20-%2013.05.pdf" TargetMode="External"/><Relationship Id="rId40" Type="http://schemas.openxmlformats.org/officeDocument/2006/relationships/hyperlink" Target="file:///C:\Users\r904645\AppData\Roaming\Microsoft\Excel\Undercutting%20data\Cleveland\DM\17.950%20-%2018.300.pdf" TargetMode="External"/><Relationship Id="rId45" Type="http://schemas.openxmlformats.org/officeDocument/2006/relationships/hyperlink" Target="file:///C:\Users\r904645\AppData\Roaming\Microsoft\Excel\Undercutting%20data\Dual%20Gauge\Dutton%20park%20to%20Acacia%20ridge\11.200%20-%2011.450.pdf" TargetMode="External"/><Relationship Id="rId53" Type="http://schemas.openxmlformats.org/officeDocument/2006/relationships/hyperlink" Target="file:///C:\Users\r904645\AppData\Roaming\Microsoft\Excel\Undercutting%20data\Dual%20Gauge\Lytton%20Junction%20to%20Fisherman%20Islands\1.810%20-%202.350.pdf" TargetMode="External"/><Relationship Id="rId58" Type="http://schemas.openxmlformats.org/officeDocument/2006/relationships/hyperlink" Target="file:///C:\Users\r904645\AppData\Roaming\Microsoft\Excel\Undercutting%20data\North%20Coast\DM\10.900%20-%2011.200.pdf" TargetMode="External"/><Relationship Id="rId66" Type="http://schemas.openxmlformats.org/officeDocument/2006/relationships/hyperlink" Target="file:///C:\Users\r904645\AppData\Roaming\Microsoft\Excel\Undercutting%20data\Beenleigh%20Gold%20Coast\Up%20Main\5.070%20-%205.150.pdf" TargetMode="External"/><Relationship Id="rId74" Type="http://schemas.openxmlformats.org/officeDocument/2006/relationships/hyperlink" Target="file:///C:\Users\r904645\AppData\Roaming\Microsoft\Excel\Undercutting%20data\Cleveland\UM" TargetMode="External"/><Relationship Id="rId79" Type="http://schemas.openxmlformats.org/officeDocument/2006/relationships/printerSettings" Target="../printerSettings/printerSettings2.bin"/><Relationship Id="rId5" Type="http://schemas.openxmlformats.org/officeDocument/2006/relationships/hyperlink" Target="file:///C:\Users\r904645\AppData\Roaming\Microsoft\Excel\Undercutting%20data\North%20Coast\26.150%20-%2026.500%20UM.pdf" TargetMode="External"/><Relationship Id="rId61" Type="http://schemas.openxmlformats.org/officeDocument/2006/relationships/hyperlink" Target="file:///C:\Users\r904645\AppData\Roaming\Microsoft\Excel\Undercutting%20data\Beenleigh%20Gold%20Coast\Down%20Main\24.690%20-%2025.030.pdf" TargetMode="External"/><Relationship Id="rId10" Type="http://schemas.openxmlformats.org/officeDocument/2006/relationships/hyperlink" Target="file:///C:\Users\r904645\AppData\Roaming\Microsoft\Excel\Undercutting%20data\Main%20Line\UM\16.400%20-%2016.800.pdf" TargetMode="External"/><Relationship Id="rId19" Type="http://schemas.openxmlformats.org/officeDocument/2006/relationships/hyperlink" Target="file:///C:\Users\r904645\AppData\Roaming\Microsoft\Excel\Undercutting%20data\Main%20Line\UM\28.000%20-%2028.200.pdf" TargetMode="External"/><Relationship Id="rId31" Type="http://schemas.openxmlformats.org/officeDocument/2006/relationships/hyperlink" Target="file:///C:\Users\r904645\AppData\Roaming\Microsoft\Excel\Undercutting%20data\Cleveland\UM\17.200%20-%2017.500.pdf" TargetMode="External"/><Relationship Id="rId44" Type="http://schemas.openxmlformats.org/officeDocument/2006/relationships/hyperlink" Target="file:///C:\Users\r904645\AppData\Roaming\Microsoft\Excel\Undercutting%20data\Dual%20Gauge\Dutton%20park%20to%20Acacia%20ridge\10.750%20-%2010.880.pdf" TargetMode="External"/><Relationship Id="rId52" Type="http://schemas.openxmlformats.org/officeDocument/2006/relationships/hyperlink" Target="file:///C:\Users\r904645\AppData\Roaming\Microsoft\Excel\Undercutting%20data\Dual%20Gauge\Lytton%20Junction%20to%20Fisherman%20Islands\1.480%20-%201.800.pdf" TargetMode="External"/><Relationship Id="rId60" Type="http://schemas.openxmlformats.org/officeDocument/2006/relationships/hyperlink" Target="file:///C:\Users\r904645\AppData\Roaming\Microsoft\Excel\Undercutting%20data\Main%20Line\US\0.600%20-%200.825.pdf" TargetMode="External"/><Relationship Id="rId65" Type="http://schemas.openxmlformats.org/officeDocument/2006/relationships/hyperlink" Target="file:///C:\Users\r904645\AppData\Roaming\Microsoft\Excel\Undercutting%20data\Beenleigh%20Gold%20Coast\Up%20Main\4.700%20-%204.870.pdf" TargetMode="External"/><Relationship Id="rId73" Type="http://schemas.openxmlformats.org/officeDocument/2006/relationships/hyperlink" Target="file:///C:\Users\r904645\AppData\Roaming\Microsoft\Excel\Undercutting%20data\Cleveland\DM" TargetMode="External"/><Relationship Id="rId78" Type="http://schemas.openxmlformats.org/officeDocument/2006/relationships/hyperlink" Target="file:///C:\Users\r904645\AppData\Roaming\Microsoft\Excel\Undercutting%20data\Ferny%20Grove\Up" TargetMode="External"/><Relationship Id="rId4" Type="http://schemas.openxmlformats.org/officeDocument/2006/relationships/hyperlink" Target="file:///C:\Users\r904645\AppData\Roaming\Microsoft\Excel\Undercutting%20data\North%20Coast\25.000%20-%2025.150%20UM.pdf" TargetMode="External"/><Relationship Id="rId9" Type="http://schemas.openxmlformats.org/officeDocument/2006/relationships/hyperlink" Target="file:///C:\Users\r904645\AppData\Roaming\Microsoft\Excel\Undercutting%20data\Cleveland\UM\0.900%20-%201.220.pdf" TargetMode="External"/><Relationship Id="rId14" Type="http://schemas.openxmlformats.org/officeDocument/2006/relationships/hyperlink" Target="file:///C:\Users\r904645\AppData\Roaming\Microsoft\Excel\Undercutting%20data\Main%20Line\UM\18.450%20-%2018.600.pdf" TargetMode="External"/><Relationship Id="rId22" Type="http://schemas.openxmlformats.org/officeDocument/2006/relationships/hyperlink" Target="file:///C:\Users\r904645\AppData\Roaming\Microsoft\Excel\Undercutting%20data\Tennyson\DM\2.440%20-%202.750.pdf" TargetMode="External"/><Relationship Id="rId27" Type="http://schemas.openxmlformats.org/officeDocument/2006/relationships/hyperlink" Target="file:///C:\Users\r904645\AppData\Roaming\Microsoft\Excel\Undercutting%20data\Cleveland\UM\10.450%20-%2010.700.pdf" TargetMode="External"/><Relationship Id="rId30" Type="http://schemas.openxmlformats.org/officeDocument/2006/relationships/hyperlink" Target="file:///C:\Users\r904645\AppData\Roaming\Microsoft\Excel\Undercutting%20data\Cleveland\UM\14.650%20-%2015.000.pdf" TargetMode="External"/><Relationship Id="rId35" Type="http://schemas.openxmlformats.org/officeDocument/2006/relationships/hyperlink" Target="file:///C:\Users\r904645\AppData\Roaming\Microsoft\Excel\Undercutting%20data\Cleveland\DM\10.800%20-%2010.910.pdf" TargetMode="External"/><Relationship Id="rId43" Type="http://schemas.openxmlformats.org/officeDocument/2006/relationships/hyperlink" Target="file:///C:\Users\r904645\AppData\Roaming\Microsoft\Excel\Undercutting%20data\Dual%20Gauge\Dutton%20park%20to%20Acacia%20ridge\10.500%20-%2010.620.pdf" TargetMode="External"/><Relationship Id="rId48" Type="http://schemas.openxmlformats.org/officeDocument/2006/relationships/hyperlink" Target="file:///C:\Users\r904645\AppData\Roaming\Microsoft\Excel\Undercutting%20data\Doomben\0.000%20-%200.420.pdf" TargetMode="External"/><Relationship Id="rId56" Type="http://schemas.openxmlformats.org/officeDocument/2006/relationships/hyperlink" Target="file:///C:\Users\r904645\AppData\Roaming\Microsoft\Excel\Undercutting%20data\Dual%20Gauge\Fisherman%20Islands%20Balloon\9.100%20-%209.500.pdf" TargetMode="External"/><Relationship Id="rId64" Type="http://schemas.openxmlformats.org/officeDocument/2006/relationships/hyperlink" Target="file:///C:\Users\r904645\AppData\Roaming\Microsoft\Excel\Undercutting%20data\North%20Coast\DM%20EXHIBITION\2.150%20-%202.550.pdf" TargetMode="External"/><Relationship Id="rId69" Type="http://schemas.openxmlformats.org/officeDocument/2006/relationships/hyperlink" Target="file:///C:\Users\r904645\AppData\Roaming\Microsoft\Excel\Undercutting%20data\Beenleigh%20Gold%20Coast\3rd%20Rd\18.880%20-%2019.200.pdf" TargetMode="External"/><Relationship Id="rId77" Type="http://schemas.openxmlformats.org/officeDocument/2006/relationships/hyperlink" Target="file:///C:\Users\r904645\AppData\Roaming\Microsoft\Excel\Undercutting%20data\Ferny%20Grove\Up" TargetMode="External"/><Relationship Id="rId8" Type="http://schemas.openxmlformats.org/officeDocument/2006/relationships/hyperlink" Target="file:///C:\Users\r904645\AppData\Roaming\Microsoft\Excel\Undercutting%20data\Cleveland\UM\0.000%20-%200.500.pdf" TargetMode="External"/><Relationship Id="rId51" Type="http://schemas.openxmlformats.org/officeDocument/2006/relationships/hyperlink" Target="file:///C:\Users\r904645\AppData\Roaming\Microsoft\Excel\Undercutting%20data\Doomben\2.800%20-%203.280.pdf" TargetMode="External"/><Relationship Id="rId72" Type="http://schemas.openxmlformats.org/officeDocument/2006/relationships/hyperlink" Target="file:///C:\Users\r904645\AppData\Roaming\Microsoft\Excel\Undercutting%20data\Cleveland\DM" TargetMode="External"/><Relationship Id="rId80" Type="http://schemas.openxmlformats.org/officeDocument/2006/relationships/table" Target="../tables/table1.xml"/><Relationship Id="rId3" Type="http://schemas.openxmlformats.org/officeDocument/2006/relationships/hyperlink" Target="file:///C:\Users\r904645\AppData\Roaming\Microsoft\Excel\Undercutting%20data\North%20Coast\23.350%20-%2023.800%20UM.pdf" TargetMode="External"/><Relationship Id="rId12" Type="http://schemas.openxmlformats.org/officeDocument/2006/relationships/hyperlink" Target="file:///C:\Users\r904645\AppData\Roaming\Microsoft\Excel\Undercutting%20data\Main%20Line\UM\12.150%20-%2013.350.pdf" TargetMode="External"/><Relationship Id="rId17" Type="http://schemas.openxmlformats.org/officeDocument/2006/relationships/hyperlink" Target="file:///C:\Users\r904645\AppData\Roaming\Microsoft\Excel\Undercutting%20data\Main%20Line\UM\25.540%20-%2025.900.pdf" TargetMode="External"/><Relationship Id="rId25" Type="http://schemas.openxmlformats.org/officeDocument/2006/relationships/hyperlink" Target="file:///C:\Users\r904645\AppData\Roaming\Microsoft\Excel\Undercutting%20data\Main%20Line\UM\48.850%20-%2048.920.pdf" TargetMode="External"/><Relationship Id="rId33" Type="http://schemas.openxmlformats.org/officeDocument/2006/relationships/hyperlink" Target="file:///C:\Users\r904645\AppData\Roaming\Microsoft\Excel\Undercutting%20data\Cleveland\Single\25.570%20-%2025.700.pdf" TargetMode="External"/><Relationship Id="rId38" Type="http://schemas.openxmlformats.org/officeDocument/2006/relationships/hyperlink" Target="file:///C:\Users\r904645\AppData\Roaming\Microsoft\Excel\Undercutting%20data\Cleveland\DM\13.600%20-%2014.070.pdf" TargetMode="External"/><Relationship Id="rId46" Type="http://schemas.openxmlformats.org/officeDocument/2006/relationships/hyperlink" Target="file:///C:\Users\r904645\AppData\Roaming\Microsoft\Excel\Undercutting%20data\Dual%20Gauge\Dutton%20park%20to%20Acacia%20ridge\12.100%20-%2012.500.pdf" TargetMode="External"/><Relationship Id="rId59" Type="http://schemas.openxmlformats.org/officeDocument/2006/relationships/hyperlink" Target="file:///C:\Users\r904645\AppData\Roaming\Microsoft\Excel\Undercutting%20data\Shorncliffe\DM\North%20Boondal.pdf" TargetMode="External"/><Relationship Id="rId67" Type="http://schemas.openxmlformats.org/officeDocument/2006/relationships/hyperlink" Target="file:///C:\Users\r904645\AppData\Roaming\Microsoft\Excel\Undercutting%20data\Beenleigh%20Gold%20Coast\3rd%20Rd\15.600%20-%2015.710.pdf" TargetMode="External"/><Relationship Id="rId20" Type="http://schemas.openxmlformats.org/officeDocument/2006/relationships/hyperlink" Target="file:///C:\Users\r904645\AppData\Roaming\Microsoft\Excel\Undercutting%20data\Main%20Line\UM\31.600%20-%2032.000.pdf" TargetMode="External"/><Relationship Id="rId41" Type="http://schemas.openxmlformats.org/officeDocument/2006/relationships/hyperlink" Target="file:///C:\Users\r904645\AppData\Roaming\Microsoft\Excel\Undercutting%20data\Cleveland\DM\19.050%20-%2019.200.pdf" TargetMode="External"/><Relationship Id="rId54" Type="http://schemas.openxmlformats.org/officeDocument/2006/relationships/hyperlink" Target="file:///C:\Users\r904645\AppData\Roaming\Microsoft\Excel\Undercutting%20data\Dual%20Gauge\Lytton%20Junction%20to%20Fisherman%20Islands\2.500%20-%202.700.pdf" TargetMode="External"/><Relationship Id="rId62" Type="http://schemas.openxmlformats.org/officeDocument/2006/relationships/hyperlink" Target="file:///C:\Users\r904645\AppData\Roaming\Microsoft\Excel\Undercutting%20data\Beenleigh%20Gold%20Coast\Up%20Main\5.600%20-%205.870.pdf" TargetMode="External"/><Relationship Id="rId70" Type="http://schemas.openxmlformats.org/officeDocument/2006/relationships/hyperlink" Target="file:///C:\Users\r904645\AppData\Roaming\Microsoft\Excel\Undercutting%20data\Beenleigh%20Gold%20Coast\3rd%20Rd\21.450%20-%2021.920.pdf" TargetMode="External"/><Relationship Id="rId75" Type="http://schemas.openxmlformats.org/officeDocument/2006/relationships/hyperlink" Target="file:///C:\Users\r904645\AppData\Roaming\Microsoft\Excel\Undercutting%20data\Cleveland\UM" TargetMode="External"/><Relationship Id="rId1" Type="http://schemas.openxmlformats.org/officeDocument/2006/relationships/hyperlink" Target="file:///C:\Users\r904645\AppData\Roaming\Microsoft\Excel\Undercutting%20data\North%20Coast\1.690%20to%201.750%20DM.pdf" TargetMode="External"/><Relationship Id="rId6" Type="http://schemas.openxmlformats.org/officeDocument/2006/relationships/hyperlink" Target="file:///C:\Users\r904645\AppData\Roaming\Microsoft\Excel\26.740%20-%2026.900%20UM" TargetMode="External"/><Relationship Id="rId15" Type="http://schemas.openxmlformats.org/officeDocument/2006/relationships/hyperlink" Target="file:///C:\Users\r904645\AppData\Roaming\Microsoft\Excel\Undercutting%20data\Main%20Line\UM\21.000%20-%2021.150.pdf" TargetMode="External"/><Relationship Id="rId23" Type="http://schemas.openxmlformats.org/officeDocument/2006/relationships/hyperlink" Target="file:///C:\Users\r904645\AppData\Roaming\Microsoft\Excel\Undercutting%20data\Tennyson\UM\2.435%20-%202.775.pdf" TargetMode="External"/><Relationship Id="rId28" Type="http://schemas.openxmlformats.org/officeDocument/2006/relationships/hyperlink" Target="file:///C:\Users\r904645\AppData\Roaming\Microsoft\Excel\Undercutting%20data\Cleveland\UM\10.850%20-%2010.910.pdf" TargetMode="External"/><Relationship Id="rId36" Type="http://schemas.openxmlformats.org/officeDocument/2006/relationships/hyperlink" Target="file:///C:\Users\r904645\AppData\Roaming\Microsoft\Excel\Undercutting%20data\Cleveland\DM\12.200%20-%2012.500.pdf" TargetMode="External"/><Relationship Id="rId49" Type="http://schemas.openxmlformats.org/officeDocument/2006/relationships/hyperlink" Target="file:///C:\Users\r904645\AppData\Roaming\Microsoft\Excel\Undercutting%20data\Doomben\0.550%20-%201.150.pdf" TargetMode="External"/><Relationship Id="rId57" Type="http://schemas.openxmlformats.org/officeDocument/2006/relationships/hyperlink" Target="file:///C:\Users\r904645\AppData\Roaming\Microsoft\Excel\Undercutting%20data\Dual%20Gauge\Fisherman%20Islands%20Balloon\9.970%20-%2010.100.pdf"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16"/>
  <sheetViews>
    <sheetView workbookViewId="0">
      <selection activeCell="E2" sqref="E2"/>
    </sheetView>
  </sheetViews>
  <sheetFormatPr defaultRowHeight="12.75" x14ac:dyDescent="0.2"/>
  <cols>
    <col min="1" max="1" width="27.140625" bestFit="1" customWidth="1"/>
    <col min="3" max="3" width="13.28515625" bestFit="1" customWidth="1"/>
    <col min="6" max="6" width="13.85546875" bestFit="1" customWidth="1"/>
  </cols>
  <sheetData>
    <row r="1" spans="1:7" x14ac:dyDescent="0.2">
      <c r="A1" t="s">
        <v>163</v>
      </c>
      <c r="B1" t="s">
        <v>515</v>
      </c>
      <c r="C1" t="s">
        <v>516</v>
      </c>
      <c r="D1" t="s">
        <v>517</v>
      </c>
      <c r="E1" t="s">
        <v>518</v>
      </c>
      <c r="F1" s="122" t="s">
        <v>335</v>
      </c>
      <c r="G1" t="s">
        <v>533</v>
      </c>
    </row>
    <row r="2" spans="1:7" x14ac:dyDescent="0.2">
      <c r="A2" s="137" t="s">
        <v>164</v>
      </c>
      <c r="B2" t="s">
        <v>496</v>
      </c>
      <c r="C2">
        <v>1</v>
      </c>
      <c r="D2" t="s">
        <v>519</v>
      </c>
      <c r="E2" t="s">
        <v>519</v>
      </c>
      <c r="F2" s="123" t="s">
        <v>519</v>
      </c>
      <c r="G2" t="s">
        <v>534</v>
      </c>
    </row>
    <row r="3" spans="1:7" x14ac:dyDescent="0.2">
      <c r="A3" s="115" t="s">
        <v>7</v>
      </c>
      <c r="B3" t="s">
        <v>497</v>
      </c>
      <c r="C3">
        <v>2</v>
      </c>
      <c r="D3" t="s">
        <v>520</v>
      </c>
      <c r="F3" s="123" t="s">
        <v>336</v>
      </c>
      <c r="G3" t="s">
        <v>535</v>
      </c>
    </row>
    <row r="4" spans="1:7" x14ac:dyDescent="0.2">
      <c r="A4" s="115" t="s">
        <v>6</v>
      </c>
      <c r="B4" s="52" t="s">
        <v>498</v>
      </c>
      <c r="C4">
        <v>3</v>
      </c>
    </row>
    <row r="5" spans="1:7" x14ac:dyDescent="0.2">
      <c r="A5" s="115" t="s">
        <v>165</v>
      </c>
      <c r="B5" s="52" t="s">
        <v>499</v>
      </c>
      <c r="C5">
        <v>4</v>
      </c>
    </row>
    <row r="6" spans="1:7" x14ac:dyDescent="0.2">
      <c r="A6" s="115" t="s">
        <v>166</v>
      </c>
      <c r="B6" s="52" t="s">
        <v>500</v>
      </c>
      <c r="C6">
        <v>5</v>
      </c>
    </row>
    <row r="7" spans="1:7" x14ac:dyDescent="0.2">
      <c r="A7" s="115" t="s">
        <v>5</v>
      </c>
      <c r="B7" s="52" t="s">
        <v>501</v>
      </c>
      <c r="C7">
        <v>6</v>
      </c>
    </row>
    <row r="8" spans="1:7" x14ac:dyDescent="0.2">
      <c r="A8" s="115" t="s">
        <v>167</v>
      </c>
      <c r="B8" s="52" t="s">
        <v>502</v>
      </c>
      <c r="C8">
        <v>7</v>
      </c>
    </row>
    <row r="9" spans="1:7" x14ac:dyDescent="0.2">
      <c r="A9" s="115" t="s">
        <v>9</v>
      </c>
      <c r="B9" s="52" t="s">
        <v>503</v>
      </c>
      <c r="C9">
        <v>8</v>
      </c>
    </row>
    <row r="10" spans="1:7" x14ac:dyDescent="0.2">
      <c r="A10" s="115" t="s">
        <v>168</v>
      </c>
      <c r="B10" s="52" t="s">
        <v>504</v>
      </c>
      <c r="C10">
        <v>9</v>
      </c>
    </row>
    <row r="11" spans="1:7" x14ac:dyDescent="0.2">
      <c r="A11" s="115" t="s">
        <v>143</v>
      </c>
      <c r="B11" s="52" t="s">
        <v>505</v>
      </c>
      <c r="C11">
        <v>10</v>
      </c>
    </row>
    <row r="12" spans="1:7" x14ac:dyDescent="0.2">
      <c r="A12" s="115" t="s">
        <v>170</v>
      </c>
      <c r="B12" s="52" t="s">
        <v>506</v>
      </c>
      <c r="C12">
        <v>11</v>
      </c>
    </row>
    <row r="13" spans="1:7" x14ac:dyDescent="0.2">
      <c r="A13" s="115" t="s">
        <v>169</v>
      </c>
      <c r="B13" s="52" t="s">
        <v>495</v>
      </c>
      <c r="C13">
        <v>12</v>
      </c>
    </row>
    <row r="14" spans="1:7" x14ac:dyDescent="0.2">
      <c r="A14" s="115" t="s">
        <v>177</v>
      </c>
    </row>
    <row r="15" spans="1:7" x14ac:dyDescent="0.2">
      <c r="A15" s="115" t="s">
        <v>313</v>
      </c>
    </row>
    <row r="16" spans="1:7" x14ac:dyDescent="0.2">
      <c r="A16" s="116" t="s">
        <v>334</v>
      </c>
    </row>
  </sheetData>
  <conditionalFormatting sqref="A2:A6">
    <cfRule type="expression" priority="1">
      <formula>#REF!=$F$6</formula>
    </cfRule>
  </conditionalFormatting>
  <conditionalFormatting sqref="A12:A16">
    <cfRule type="expression" priority="2">
      <formula>#REF!=$F$6</formula>
    </cfRule>
  </conditionalFormatting>
  <conditionalFormatting sqref="A7:A11">
    <cfRule type="expression" priority="3">
      <formula>#REF!=$F$6</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1">
    <tabColor theme="8" tint="0.39997558519241921"/>
    <pageSetUpPr fitToPage="1"/>
  </sheetPr>
  <dimension ref="A7:N73"/>
  <sheetViews>
    <sheetView showGridLines="0" showRowColHeaders="0" topLeftCell="A19" zoomScale="85" zoomScaleNormal="85" zoomScaleSheetLayoutView="110" workbookViewId="0">
      <selection activeCell="H11" sqref="H11"/>
    </sheetView>
  </sheetViews>
  <sheetFormatPr defaultColWidth="9.140625" defaultRowHeight="12.75" x14ac:dyDescent="0.2"/>
  <cols>
    <col min="1" max="1" width="9.140625" style="52"/>
    <col min="2" max="2" width="27.140625" style="52" bestFit="1" customWidth="1"/>
    <col min="3" max="3" width="21.28515625" style="52" customWidth="1"/>
    <col min="4" max="6" width="11" style="52" customWidth="1"/>
    <col min="7" max="7" width="16.85546875" style="52" bestFit="1" customWidth="1"/>
    <col min="8" max="8" width="52.85546875" style="52" customWidth="1"/>
    <col min="9" max="9" width="17.85546875" style="52" customWidth="1"/>
    <col min="10" max="16384" width="9.140625" style="52"/>
  </cols>
  <sheetData>
    <row r="7" spans="1:8" ht="15" x14ac:dyDescent="0.25">
      <c r="A7" s="204"/>
      <c r="B7" s="204" t="s">
        <v>163</v>
      </c>
      <c r="C7" s="204" t="s">
        <v>513</v>
      </c>
      <c r="D7" s="205" t="s">
        <v>510</v>
      </c>
      <c r="E7" s="206" t="s">
        <v>117</v>
      </c>
      <c r="F7" s="206" t="s">
        <v>116</v>
      </c>
      <c r="G7" s="206" t="s">
        <v>511</v>
      </c>
      <c r="H7" s="52" t="s">
        <v>512</v>
      </c>
    </row>
    <row r="8" spans="1:8" ht="17.25" customHeight="1" x14ac:dyDescent="0.2">
      <c r="B8" s="6" t="str">
        <f>Calcs!A45</f>
        <v>Main Line</v>
      </c>
      <c r="D8" s="207">
        <f>VLOOKUP($B8,Calcs!$A$25:$E$39,3,FALSE)</f>
        <v>5.6809999999999992</v>
      </c>
      <c r="E8" s="207">
        <f>VLOOKUP($B8,Calcs!$A$25:$E$39,4,FALSE)</f>
        <v>5.3300000000000072</v>
      </c>
      <c r="F8" s="207">
        <f>VLOOKUP($B8,Calcs!$A$25:$E$39,5,FALSE)</f>
        <v>6.3739999999999926</v>
      </c>
      <c r="G8" s="228">
        <f t="shared" ref="G8:G22" si="0">SUM(D8:F8)</f>
        <v>17.384999999999998</v>
      </c>
      <c r="H8" s="209">
        <f t="shared" ref="H8:H22" si="1">G8</f>
        <v>17.384999999999998</v>
      </c>
    </row>
    <row r="9" spans="1:8" ht="17.25" customHeight="1" x14ac:dyDescent="0.2">
      <c r="B9" s="6" t="str">
        <f>Calcs!A46</f>
        <v>North Coast Line</v>
      </c>
      <c r="D9" s="207">
        <f>VLOOKUP($B9,Calcs!$A$25:$E$39,3,FALSE)</f>
        <v>8.7029999999999745</v>
      </c>
      <c r="E9" s="207">
        <f>VLOOKUP($B9,Calcs!$A$25:$E$39,4,FALSE)</f>
        <v>7.6220000000000132</v>
      </c>
      <c r="F9" s="207">
        <f>VLOOKUP($B9,Calcs!$A$25:$E$39,5,FALSE)</f>
        <v>10.293000000000012</v>
      </c>
      <c r="G9" s="228">
        <f t="shared" si="0"/>
        <v>26.618000000000002</v>
      </c>
      <c r="H9" s="209">
        <f t="shared" si="1"/>
        <v>26.618000000000002</v>
      </c>
    </row>
    <row r="10" spans="1:8" ht="17.25" customHeight="1" x14ac:dyDescent="0.2">
      <c r="B10" s="6" t="str">
        <f>Calcs!A47</f>
        <v>Ferny Grove Line</v>
      </c>
      <c r="D10" s="207">
        <f>VLOOKUP($B10,Calcs!$A$25:$E$39,3,FALSE)</f>
        <v>1.8000000000000007</v>
      </c>
      <c r="E10" s="207">
        <f>VLOOKUP($B10,Calcs!$A$25:$E$39,4,FALSE)</f>
        <v>0.87499999999999989</v>
      </c>
      <c r="F10" s="207">
        <f>VLOOKUP($B10,Calcs!$A$25:$E$39,5,FALSE)</f>
        <v>0.88999999999999935</v>
      </c>
      <c r="G10" s="228">
        <f t="shared" si="0"/>
        <v>3.5649999999999999</v>
      </c>
      <c r="H10" s="209">
        <f t="shared" si="1"/>
        <v>3.5649999999999999</v>
      </c>
    </row>
    <row r="11" spans="1:8" ht="17.25" customHeight="1" x14ac:dyDescent="0.2">
      <c r="B11" s="6" t="str">
        <f>Calcs!A48</f>
        <v>Inner City Line (via Central)</v>
      </c>
      <c r="D11" s="207">
        <f>VLOOKUP($B11,Calcs!$A$25:$E$39,3,FALSE)</f>
        <v>0.35700000000000021</v>
      </c>
      <c r="E11" s="207">
        <f>VLOOKUP($B11,Calcs!$A$25:$E$39,4,FALSE)</f>
        <v>0.69999999999999973</v>
      </c>
      <c r="F11" s="207">
        <f>VLOOKUP($B11,Calcs!$A$25:$E$39,5,FALSE)</f>
        <v>0.38500000000000001</v>
      </c>
      <c r="G11" s="228">
        <f t="shared" si="0"/>
        <v>1.4419999999999999</v>
      </c>
      <c r="H11" s="209">
        <f t="shared" si="1"/>
        <v>1.4419999999999999</v>
      </c>
    </row>
    <row r="12" spans="1:8" ht="17.25" customHeight="1" x14ac:dyDescent="0.2">
      <c r="B12" s="6" t="str">
        <f>Calcs!A49</f>
        <v>Gold Coast / Beenleigh Line</v>
      </c>
      <c r="D12" s="207">
        <f>VLOOKUP($B12,Calcs!$A$25:$E$39,3,FALSE)</f>
        <v>3.1800000000000068</v>
      </c>
      <c r="E12" s="207">
        <f>VLOOKUP($B12,Calcs!$A$25:$E$39,4,FALSE)</f>
        <v>3.1430000000000002</v>
      </c>
      <c r="F12" s="207">
        <f>VLOOKUP($B12,Calcs!$A$25:$E$39,5,FALSE)</f>
        <v>0.61000000000000076</v>
      </c>
      <c r="G12" s="228">
        <f t="shared" si="0"/>
        <v>6.9330000000000087</v>
      </c>
      <c r="H12" s="209">
        <f t="shared" si="1"/>
        <v>6.9330000000000087</v>
      </c>
    </row>
    <row r="13" spans="1:8" ht="17.25" customHeight="1" x14ac:dyDescent="0.2">
      <c r="B13" s="6" t="str">
        <f>Calcs!A50</f>
        <v>Shorncliffe Line</v>
      </c>
      <c r="D13" s="207">
        <f>VLOOKUP($B13,Calcs!$A$25:$E$39,3,FALSE)</f>
        <v>1.3500000000000005</v>
      </c>
      <c r="E13" s="207">
        <f>VLOOKUP($B13,Calcs!$A$25:$E$39,4,FALSE)</f>
        <v>1.1000000000000014</v>
      </c>
      <c r="F13" s="207">
        <f>VLOOKUP($B13,Calcs!$A$25:$E$39,5,FALSE)</f>
        <v>1.7239999999999991</v>
      </c>
      <c r="G13" s="228">
        <f t="shared" si="0"/>
        <v>4.1740000000000013</v>
      </c>
      <c r="H13" s="209">
        <f t="shared" si="1"/>
        <v>4.1740000000000013</v>
      </c>
    </row>
    <row r="14" spans="1:8" ht="17.25" customHeight="1" x14ac:dyDescent="0.2">
      <c r="B14" s="6" t="str">
        <f>Calcs!A51</f>
        <v>Springfield Line</v>
      </c>
      <c r="D14" s="207">
        <f>VLOOKUP($B14,Calcs!$A$25:$E$39,3,FALSE)</f>
        <v>0</v>
      </c>
      <c r="E14" s="207">
        <f>VLOOKUP($B14,Calcs!$A$25:$E$39,4,FALSE)</f>
        <v>0</v>
      </c>
      <c r="F14" s="207">
        <f>VLOOKUP($B14,Calcs!$A$25:$E$39,5,FALSE)</f>
        <v>0</v>
      </c>
      <c r="G14" s="228">
        <f t="shared" si="0"/>
        <v>0</v>
      </c>
      <c r="H14" s="209">
        <f t="shared" si="1"/>
        <v>0</v>
      </c>
    </row>
    <row r="15" spans="1:8" ht="17.25" customHeight="1" x14ac:dyDescent="0.2">
      <c r="B15" s="6" t="str">
        <f>Calcs!A52</f>
        <v>Cleveland Line</v>
      </c>
      <c r="D15" s="207">
        <f>VLOOKUP($B15,Calcs!$A$25:$E$39,3,FALSE)</f>
        <v>1.7700000000000053</v>
      </c>
      <c r="E15" s="207">
        <f>VLOOKUP($B15,Calcs!$A$25:$E$39,4,FALSE)</f>
        <v>2.1599999999999993</v>
      </c>
      <c r="F15" s="207">
        <f>VLOOKUP($B15,Calcs!$A$25:$E$39,5,FALSE)</f>
        <v>0.41000000000000014</v>
      </c>
      <c r="G15" s="228">
        <f t="shared" si="0"/>
        <v>4.3400000000000052</v>
      </c>
      <c r="H15" s="209">
        <f t="shared" si="1"/>
        <v>4.3400000000000052</v>
      </c>
    </row>
    <row r="16" spans="1:8" ht="17.25" customHeight="1" x14ac:dyDescent="0.2">
      <c r="B16" s="6" t="str">
        <f>Calcs!A53</f>
        <v>Redcliffe Line</v>
      </c>
      <c r="D16" s="207">
        <f>VLOOKUP($B16,Calcs!$A$25:$E$39,3,FALSE)</f>
        <v>0</v>
      </c>
      <c r="E16" s="207">
        <f>VLOOKUP($B16,Calcs!$A$25:$E$39,4,FALSE)</f>
        <v>0</v>
      </c>
      <c r="F16" s="207">
        <f>VLOOKUP($B16,Calcs!$A$25:$E$39,5,FALSE)</f>
        <v>0</v>
      </c>
      <c r="G16" s="228">
        <f t="shared" si="0"/>
        <v>0</v>
      </c>
      <c r="H16" s="209">
        <f t="shared" si="1"/>
        <v>0</v>
      </c>
    </row>
    <row r="17" spans="2:8" ht="17.25" customHeight="1" x14ac:dyDescent="0.2">
      <c r="B17" s="6" t="str">
        <f>Calcs!A54</f>
        <v>Doomben Line</v>
      </c>
      <c r="D17" s="207">
        <f>VLOOKUP($B17,Calcs!$A$25:$E$39,3,FALSE)</f>
        <v>0.73500000000000032</v>
      </c>
      <c r="E17" s="207">
        <f>VLOOKUP($B17,Calcs!$A$25:$E$39,4,FALSE)</f>
        <v>0.97000000000000008</v>
      </c>
      <c r="F17" s="207">
        <f>VLOOKUP($B17,Calcs!$A$25:$E$39,5,FALSE)</f>
        <v>0.88499999999999968</v>
      </c>
      <c r="G17" s="228">
        <f t="shared" si="0"/>
        <v>2.5900000000000003</v>
      </c>
      <c r="H17" s="209">
        <f t="shared" si="1"/>
        <v>2.5900000000000003</v>
      </c>
    </row>
    <row r="18" spans="2:8" ht="17.25" customHeight="1" x14ac:dyDescent="0.2">
      <c r="B18" s="6" t="str">
        <f>Calcs!A55</f>
        <v>DG Dutton Park - Fisherman Is</v>
      </c>
      <c r="D18" s="207">
        <f>VLOOKUP($B18,Calcs!$A$25:$E$39,3,FALSE)</f>
        <v>0.39999999999999991</v>
      </c>
      <c r="E18" s="207">
        <f>VLOOKUP($B18,Calcs!$A$25:$E$39,4,FALSE)</f>
        <v>0.63000000000000012</v>
      </c>
      <c r="F18" s="207">
        <f>VLOOKUP($B18,Calcs!$A$25:$E$39,5,FALSE)</f>
        <v>1.0200000000000005</v>
      </c>
      <c r="G18" s="228">
        <f t="shared" si="0"/>
        <v>2.0500000000000007</v>
      </c>
      <c r="H18" s="209">
        <f t="shared" si="1"/>
        <v>2.0500000000000007</v>
      </c>
    </row>
    <row r="19" spans="2:8" ht="17.25" customHeight="1" x14ac:dyDescent="0.2">
      <c r="B19" s="6" t="str">
        <f>Calcs!A56</f>
        <v>DG Dutton Park - ARTC Int</v>
      </c>
      <c r="D19" s="207">
        <f>VLOOKUP($B19,Calcs!$A$25:$E$39,3,FALSE)</f>
        <v>0.19999999999999929</v>
      </c>
      <c r="E19" s="207">
        <f>VLOOKUP($B19,Calcs!$A$25:$E$39,4,FALSE)</f>
        <v>0</v>
      </c>
      <c r="F19" s="207">
        <f>VLOOKUP($B19,Calcs!$A$25:$E$39,5,FALSE)</f>
        <v>0.16999999999999993</v>
      </c>
      <c r="G19" s="228">
        <f t="shared" si="0"/>
        <v>0.36999999999999922</v>
      </c>
      <c r="H19" s="209">
        <f t="shared" si="1"/>
        <v>0.36999999999999922</v>
      </c>
    </row>
    <row r="20" spans="2:8" ht="17.25" customHeight="1" x14ac:dyDescent="0.2">
      <c r="B20" s="6" t="str">
        <f>Calcs!A57</f>
        <v>Tennyson Line</v>
      </c>
      <c r="D20" s="207">
        <f>VLOOKUP($B20,Calcs!$A$25:$E$39,3,FALSE)</f>
        <v>0.42000000000000015</v>
      </c>
      <c r="E20" s="207">
        <f>VLOOKUP($B20,Calcs!$A$25:$E$39,4,FALSE)</f>
        <v>0</v>
      </c>
      <c r="F20" s="207">
        <f>VLOOKUP($B20,Calcs!$A$25:$E$39,5,FALSE)</f>
        <v>0.67100000000000004</v>
      </c>
      <c r="G20" s="228">
        <f t="shared" si="0"/>
        <v>1.0910000000000002</v>
      </c>
      <c r="H20" s="209">
        <f t="shared" si="1"/>
        <v>1.0910000000000002</v>
      </c>
    </row>
    <row r="21" spans="2:8" ht="17.25" customHeight="1" x14ac:dyDescent="0.2">
      <c r="B21" s="6" t="str">
        <f>Calcs!A58</f>
        <v>QR SPUR</v>
      </c>
      <c r="D21" s="207">
        <f>VLOOKUP($B21,Calcs!$A$25:$E$39,3,FALSE)</f>
        <v>0</v>
      </c>
      <c r="E21" s="207">
        <f>VLOOKUP($B21,Calcs!$A$25:$E$39,4,FALSE)</f>
        <v>0</v>
      </c>
      <c r="F21" s="207">
        <f>VLOOKUP($B21,Calcs!$A$25:$E$39,5,FALSE)</f>
        <v>0.69999999999999929</v>
      </c>
      <c r="G21" s="228">
        <f t="shared" si="0"/>
        <v>0.69999999999999929</v>
      </c>
      <c r="H21" s="209">
        <f t="shared" si="1"/>
        <v>0.69999999999999929</v>
      </c>
    </row>
    <row r="22" spans="2:8" ht="17.25" customHeight="1" x14ac:dyDescent="0.2">
      <c r="B22" s="6" t="str">
        <f>Calcs!A59</f>
        <v>DG Inner City</v>
      </c>
      <c r="D22" s="207">
        <f>VLOOKUP($B22,Calcs!$A$25:$E$39,3,FALSE)</f>
        <v>0</v>
      </c>
      <c r="E22" s="207">
        <f>VLOOKUP($B22,Calcs!$A$25:$E$39,4,FALSE)</f>
        <v>0</v>
      </c>
      <c r="F22" s="207">
        <f>VLOOKUP($B22,Calcs!$A$25:$E$39,5,FALSE)</f>
        <v>0</v>
      </c>
      <c r="G22" s="228">
        <f t="shared" si="0"/>
        <v>0</v>
      </c>
      <c r="H22" s="209">
        <f t="shared" si="1"/>
        <v>0</v>
      </c>
    </row>
    <row r="23" spans="2:8" ht="18.75" customHeight="1" x14ac:dyDescent="0.2">
      <c r="B23" s="204"/>
      <c r="D23" s="207"/>
      <c r="E23" s="208"/>
      <c r="F23" s="208"/>
      <c r="G23" s="208"/>
      <c r="H23" s="209"/>
    </row>
    <row r="24" spans="2:8" x14ac:dyDescent="0.2">
      <c r="B24" s="204"/>
      <c r="C24" s="204"/>
    </row>
    <row r="27" spans="2:8" ht="24.75" customHeight="1" x14ac:dyDescent="0.2">
      <c r="B27" s="299" t="s">
        <v>494</v>
      </c>
      <c r="C27" s="296" t="s">
        <v>402</v>
      </c>
      <c r="D27" s="297" t="s">
        <v>510</v>
      </c>
      <c r="E27" s="298" t="s">
        <v>117</v>
      </c>
      <c r="F27" s="298" t="s">
        <v>116</v>
      </c>
      <c r="G27" s="298" t="s">
        <v>511</v>
      </c>
    </row>
    <row r="28" spans="2:8" ht="24.75" customHeight="1" x14ac:dyDescent="0.2">
      <c r="B28" s="300" t="str">
        <f>Calcs!A5</f>
        <v>Main Line</v>
      </c>
      <c r="C28" s="7">
        <f>Calcs!N45</f>
        <v>2.2500000000000009</v>
      </c>
      <c r="D28" s="301">
        <f>Calcs!C5</f>
        <v>0</v>
      </c>
      <c r="E28" s="301">
        <f>Calcs!D5</f>
        <v>0</v>
      </c>
      <c r="F28" s="301">
        <f>Calcs!E5</f>
        <v>2.5700000000000012</v>
      </c>
      <c r="G28" s="301">
        <f t="shared" ref="G28:G42" si="2">SUM(D28:F28)</f>
        <v>2.5700000000000012</v>
      </c>
    </row>
    <row r="29" spans="2:8" ht="24.75" customHeight="1" x14ac:dyDescent="0.2">
      <c r="B29" s="300" t="str">
        <f>Calcs!A6</f>
        <v>North Coast Line</v>
      </c>
      <c r="C29" s="7">
        <f>Calcs!N46</f>
        <v>3.3600000000000025</v>
      </c>
      <c r="D29" s="301">
        <f>Calcs!C6</f>
        <v>0</v>
      </c>
      <c r="E29" s="301">
        <f>Calcs!D6</f>
        <v>0</v>
      </c>
      <c r="F29" s="301">
        <f>Calcs!E6</f>
        <v>1.8600000000000017</v>
      </c>
      <c r="G29" s="301">
        <f t="shared" si="2"/>
        <v>1.8600000000000017</v>
      </c>
    </row>
    <row r="30" spans="2:8" ht="24.75" customHeight="1" x14ac:dyDescent="0.2">
      <c r="B30" s="300" t="str">
        <f>Calcs!A7</f>
        <v>Ferny Grove Line</v>
      </c>
      <c r="C30" s="7">
        <f>Calcs!N47</f>
        <v>0.54999999999999982</v>
      </c>
      <c r="D30" s="301">
        <f>Calcs!C7</f>
        <v>0</v>
      </c>
      <c r="E30" s="301">
        <f>Calcs!D7</f>
        <v>0.42499999999999982</v>
      </c>
      <c r="F30" s="301">
        <f>Calcs!E7</f>
        <v>0</v>
      </c>
      <c r="G30" s="301">
        <f t="shared" si="2"/>
        <v>0.42499999999999982</v>
      </c>
    </row>
    <row r="31" spans="2:8" ht="24.75" customHeight="1" x14ac:dyDescent="0.2">
      <c r="B31" s="300" t="str">
        <f>Calcs!A8</f>
        <v>Inner City Line (via Central)</v>
      </c>
      <c r="C31" s="7">
        <f>Calcs!N48</f>
        <v>0</v>
      </c>
      <c r="D31" s="301">
        <f>Calcs!C8</f>
        <v>0</v>
      </c>
      <c r="E31" s="301">
        <f>Calcs!D8</f>
        <v>0</v>
      </c>
      <c r="F31" s="301">
        <f>Calcs!E8</f>
        <v>0</v>
      </c>
      <c r="G31" s="301">
        <f t="shared" si="2"/>
        <v>0</v>
      </c>
    </row>
    <row r="32" spans="2:8" ht="24.75" customHeight="1" x14ac:dyDescent="0.2">
      <c r="B32" s="300" t="str">
        <f>Calcs!A9</f>
        <v>Gold Coast / Beenleigh Line</v>
      </c>
      <c r="C32" s="7">
        <f>Calcs!N49</f>
        <v>0.68000000000000327</v>
      </c>
      <c r="D32" s="301">
        <f>Calcs!C9</f>
        <v>0</v>
      </c>
      <c r="E32" s="301">
        <f>Calcs!D9</f>
        <v>0</v>
      </c>
      <c r="F32" s="301">
        <f>Calcs!E9</f>
        <v>0.8300000000000054</v>
      </c>
      <c r="G32" s="301">
        <f t="shared" si="2"/>
        <v>0.8300000000000054</v>
      </c>
    </row>
    <row r="33" spans="2:14" ht="24.75" customHeight="1" x14ac:dyDescent="0.2">
      <c r="B33" s="300" t="str">
        <f>Calcs!A10</f>
        <v>Shorncliffe Line</v>
      </c>
      <c r="C33" s="7">
        <f>Calcs!N50</f>
        <v>0.76000000000000068</v>
      </c>
      <c r="D33" s="301">
        <f>Calcs!C10</f>
        <v>0.1800000000000006</v>
      </c>
      <c r="E33" s="301">
        <f>Calcs!D10</f>
        <v>7.0000000000000284E-2</v>
      </c>
      <c r="F33" s="301">
        <f>Calcs!E10</f>
        <v>0.50999999999999979</v>
      </c>
      <c r="G33" s="301">
        <f t="shared" si="2"/>
        <v>0.76000000000000068</v>
      </c>
    </row>
    <row r="34" spans="2:14" ht="24.75" customHeight="1" x14ac:dyDescent="0.2">
      <c r="B34" s="300" t="str">
        <f>Calcs!A11</f>
        <v>Springfield Line</v>
      </c>
      <c r="C34" s="7">
        <f>Calcs!N51</f>
        <v>0</v>
      </c>
      <c r="D34" s="301">
        <f>Calcs!C11</f>
        <v>0</v>
      </c>
      <c r="E34" s="301">
        <f>Calcs!D11</f>
        <v>0</v>
      </c>
      <c r="F34" s="301">
        <f>Calcs!E11</f>
        <v>0</v>
      </c>
      <c r="G34" s="301">
        <f t="shared" si="2"/>
        <v>0</v>
      </c>
    </row>
    <row r="35" spans="2:14" ht="24.75" customHeight="1" x14ac:dyDescent="0.2">
      <c r="B35" s="300" t="str">
        <f>Calcs!A12</f>
        <v>Cleveland Line</v>
      </c>
      <c r="C35" s="7">
        <f>Calcs!N52</f>
        <v>2.0300000000000011</v>
      </c>
      <c r="D35" s="301">
        <f>Calcs!C12</f>
        <v>0</v>
      </c>
      <c r="E35" s="301">
        <f>Calcs!D12</f>
        <v>0.90000000000000036</v>
      </c>
      <c r="F35" s="301">
        <f>Calcs!E12</f>
        <v>0.60000000000000053</v>
      </c>
      <c r="G35" s="301">
        <f t="shared" si="2"/>
        <v>1.5000000000000009</v>
      </c>
    </row>
    <row r="36" spans="2:14" ht="24.75" customHeight="1" x14ac:dyDescent="0.2">
      <c r="B36" s="300" t="str">
        <f>Calcs!A13</f>
        <v>Redcliffe Line</v>
      </c>
      <c r="C36" s="7">
        <f>Calcs!N53</f>
        <v>0</v>
      </c>
      <c r="D36" s="301">
        <f>Calcs!C13</f>
        <v>0</v>
      </c>
      <c r="E36" s="301">
        <f>Calcs!D13</f>
        <v>0</v>
      </c>
      <c r="F36" s="301">
        <f>Calcs!E13</f>
        <v>0</v>
      </c>
      <c r="G36" s="301">
        <f t="shared" si="2"/>
        <v>0</v>
      </c>
    </row>
    <row r="37" spans="2:14" ht="24.75" customHeight="1" x14ac:dyDescent="0.2">
      <c r="B37" s="300" t="str">
        <f>Calcs!A14</f>
        <v>Doomben Line</v>
      </c>
      <c r="C37" s="7">
        <f>Calcs!N54</f>
        <v>0</v>
      </c>
      <c r="D37" s="301">
        <f>Calcs!C14</f>
        <v>0</v>
      </c>
      <c r="E37" s="301">
        <f>Calcs!D14</f>
        <v>0</v>
      </c>
      <c r="F37" s="301">
        <f>Calcs!E14</f>
        <v>0</v>
      </c>
      <c r="G37" s="301">
        <f t="shared" si="2"/>
        <v>0</v>
      </c>
    </row>
    <row r="38" spans="2:14" ht="24.75" customHeight="1" x14ac:dyDescent="0.2">
      <c r="B38" s="300" t="str">
        <f>Calcs!A15</f>
        <v>DG Dutton Park - Fisherman Is</v>
      </c>
      <c r="C38" s="7">
        <f>Calcs!N55</f>
        <v>0.54</v>
      </c>
      <c r="D38" s="301">
        <f>Calcs!C15</f>
        <v>0</v>
      </c>
      <c r="E38" s="301">
        <f>Calcs!D15</f>
        <v>0.15999999999999948</v>
      </c>
      <c r="F38" s="301">
        <f>Calcs!E15</f>
        <v>0.28999999999999981</v>
      </c>
      <c r="G38" s="301">
        <f t="shared" si="2"/>
        <v>0.44999999999999929</v>
      </c>
    </row>
    <row r="39" spans="2:14" ht="24.75" customHeight="1" x14ac:dyDescent="0.2">
      <c r="B39" s="300" t="str">
        <f>Calcs!A16</f>
        <v>DG Dutton Park - ARTC Int</v>
      </c>
      <c r="C39" s="7">
        <f>Calcs!N56</f>
        <v>0.11999999999999922</v>
      </c>
      <c r="D39" s="301">
        <f>Calcs!C16</f>
        <v>0</v>
      </c>
      <c r="E39" s="301">
        <f>Calcs!D16</f>
        <v>0</v>
      </c>
      <c r="F39" s="301">
        <f>Calcs!E16</f>
        <v>0.19999999999999929</v>
      </c>
      <c r="G39" s="301">
        <f t="shared" si="2"/>
        <v>0.19999999999999929</v>
      </c>
    </row>
    <row r="40" spans="2:14" ht="24.75" customHeight="1" x14ac:dyDescent="0.2">
      <c r="B40" s="300" t="str">
        <f>Calcs!A17</f>
        <v>Tennyson Line</v>
      </c>
      <c r="C40" s="7">
        <f>Calcs!N57</f>
        <v>0</v>
      </c>
      <c r="D40" s="301">
        <f>Calcs!C17</f>
        <v>0</v>
      </c>
      <c r="E40" s="301">
        <f>Calcs!D17</f>
        <v>0</v>
      </c>
      <c r="F40" s="301">
        <f>Calcs!E17</f>
        <v>0</v>
      </c>
      <c r="G40" s="301">
        <f t="shared" si="2"/>
        <v>0</v>
      </c>
    </row>
    <row r="41" spans="2:14" ht="24.75" customHeight="1" x14ac:dyDescent="0.2">
      <c r="B41" s="300" t="str">
        <f>Calcs!A18</f>
        <v>QR SPUR</v>
      </c>
      <c r="C41" s="7">
        <f>Calcs!N58</f>
        <v>0</v>
      </c>
      <c r="D41" s="301">
        <f>Calcs!C18</f>
        <v>0</v>
      </c>
      <c r="E41" s="301">
        <f>Calcs!D18</f>
        <v>0</v>
      </c>
      <c r="F41" s="301">
        <f>Calcs!E18</f>
        <v>0</v>
      </c>
      <c r="G41" s="301">
        <f t="shared" si="2"/>
        <v>0</v>
      </c>
    </row>
    <row r="42" spans="2:14" ht="24.75" customHeight="1" x14ac:dyDescent="0.2">
      <c r="B42" s="300" t="str">
        <f>Calcs!A19</f>
        <v>DG Inner City</v>
      </c>
      <c r="C42" s="7">
        <f>Calcs!N59</f>
        <v>0</v>
      </c>
      <c r="D42" s="301">
        <f>Calcs!C19</f>
        <v>0</v>
      </c>
      <c r="E42" s="301">
        <f>Calcs!D19</f>
        <v>0</v>
      </c>
      <c r="F42" s="301">
        <f>Calcs!E19</f>
        <v>0</v>
      </c>
      <c r="G42" s="301">
        <f t="shared" si="2"/>
        <v>0</v>
      </c>
    </row>
    <row r="43" spans="2:14" ht="31.5" customHeight="1" x14ac:dyDescent="0.2">
      <c r="B43" s="302" t="s">
        <v>511</v>
      </c>
      <c r="C43" s="218">
        <f>SUM(C28:C42)</f>
        <v>10.290000000000008</v>
      </c>
      <c r="D43" s="303">
        <f>SUM(D28:D42)</f>
        <v>0.1800000000000006</v>
      </c>
      <c r="E43" s="303">
        <f>SUM(E28:E42)</f>
        <v>1.5549999999999999</v>
      </c>
      <c r="F43" s="303">
        <f>SUM(F28:F42)</f>
        <v>6.8600000000000083</v>
      </c>
      <c r="G43" s="303">
        <f>SUM(G28:G42)</f>
        <v>8.5950000000000095</v>
      </c>
      <c r="H43" s="304"/>
    </row>
    <row r="47" spans="2:14" ht="17.25" customHeight="1" x14ac:dyDescent="0.2">
      <c r="B47" s="204" t="s">
        <v>163</v>
      </c>
      <c r="C47" s="244" t="s">
        <v>331</v>
      </c>
      <c r="D47" s="488" t="s">
        <v>529</v>
      </c>
      <c r="E47" s="488"/>
      <c r="F47" s="244" t="s">
        <v>530</v>
      </c>
    </row>
    <row r="48" spans="2:14" ht="17.25" customHeight="1" x14ac:dyDescent="0.35">
      <c r="B48" s="6" t="str">
        <f>Calcs!A25</f>
        <v>Main Line</v>
      </c>
      <c r="C48" s="245">
        <f>Calcs!B25</f>
        <v>17.384999999999998</v>
      </c>
      <c r="D48" s="487">
        <f>Calcs!J25</f>
        <v>10.975</v>
      </c>
      <c r="E48" s="487"/>
      <c r="F48" s="246">
        <f>IFERROR(D48/C48,"")</f>
        <v>0.63129134311187807</v>
      </c>
      <c r="G48" s="211"/>
      <c r="I48" s="212"/>
      <c r="J48" s="213"/>
      <c r="K48" s="214"/>
      <c r="L48" s="215"/>
      <c r="M48" s="216"/>
      <c r="N48" s="217"/>
    </row>
    <row r="49" spans="1:7" ht="17.25" customHeight="1" x14ac:dyDescent="0.2">
      <c r="B49" s="6" t="str">
        <f>Calcs!A26</f>
        <v>North Coast Line</v>
      </c>
      <c r="C49" s="245">
        <f>Calcs!B26</f>
        <v>26.618000000000002</v>
      </c>
      <c r="D49" s="487">
        <f>Calcs!J26</f>
        <v>16.007999999999974</v>
      </c>
      <c r="E49" s="487"/>
      <c r="F49" s="246">
        <f t="shared" ref="F49:F62" si="3">IFERROR(D49/C49,"")</f>
        <v>0.60139755052971566</v>
      </c>
      <c r="G49" s="219"/>
    </row>
    <row r="50" spans="1:7" ht="17.25" customHeight="1" x14ac:dyDescent="0.2">
      <c r="B50" s="6" t="str">
        <f>Calcs!A27</f>
        <v>Ferny Grove Line</v>
      </c>
      <c r="C50" s="245">
        <f>Calcs!B27</f>
        <v>3.5649999999999999</v>
      </c>
      <c r="D50" s="487">
        <f>Calcs!J27</f>
        <v>2.7149999999999994</v>
      </c>
      <c r="E50" s="487"/>
      <c r="F50" s="246">
        <f t="shared" si="3"/>
        <v>0.76157082748948091</v>
      </c>
      <c r="G50" s="219"/>
    </row>
    <row r="51" spans="1:7" ht="17.25" customHeight="1" x14ac:dyDescent="0.2">
      <c r="B51" s="6" t="str">
        <f>Calcs!A28</f>
        <v>Inner City Line (via Central)</v>
      </c>
      <c r="C51" s="245">
        <f>Calcs!B28</f>
        <v>1.4419999999999999</v>
      </c>
      <c r="D51" s="487">
        <f>Calcs!J28</f>
        <v>0.18500000000000005</v>
      </c>
      <c r="E51" s="487"/>
      <c r="F51" s="246">
        <f t="shared" si="3"/>
        <v>0.12829403606102641</v>
      </c>
      <c r="G51" s="219"/>
    </row>
    <row r="52" spans="1:7" ht="17.25" customHeight="1" x14ac:dyDescent="0.2">
      <c r="B52" s="6" t="str">
        <f>Calcs!A29</f>
        <v>Gold Coast / Beenleigh Line</v>
      </c>
      <c r="C52" s="245">
        <f>Calcs!B29</f>
        <v>6.9330000000000087</v>
      </c>
      <c r="D52" s="487">
        <f>Calcs!J29</f>
        <v>1.942999999999997</v>
      </c>
      <c r="E52" s="487"/>
      <c r="F52" s="246">
        <f t="shared" si="3"/>
        <v>0.28025385835857414</v>
      </c>
      <c r="G52" s="219"/>
    </row>
    <row r="53" spans="1:7" ht="17.25" customHeight="1" x14ac:dyDescent="0.2">
      <c r="B53" s="6" t="str">
        <f>Calcs!A30</f>
        <v>Shorncliffe Line</v>
      </c>
      <c r="C53" s="245">
        <f>Calcs!B30</f>
        <v>4.1740000000000013</v>
      </c>
      <c r="D53" s="487">
        <f>Calcs!J30</f>
        <v>2.4040000000000008</v>
      </c>
      <c r="E53" s="487"/>
      <c r="F53" s="246">
        <f t="shared" si="3"/>
        <v>0.57594633445136556</v>
      </c>
      <c r="G53" s="219"/>
    </row>
    <row r="54" spans="1:7" ht="17.25" customHeight="1" x14ac:dyDescent="0.2">
      <c r="B54" s="6" t="str">
        <f>Calcs!A31</f>
        <v>Springfield Line</v>
      </c>
      <c r="C54" s="245">
        <f>Calcs!B31</f>
        <v>0</v>
      </c>
      <c r="D54" s="487">
        <f>Calcs!J31</f>
        <v>0</v>
      </c>
      <c r="E54" s="487"/>
      <c r="F54" s="246" t="str">
        <f t="shared" si="3"/>
        <v/>
      </c>
      <c r="G54" s="219"/>
    </row>
    <row r="55" spans="1:7" ht="17.25" customHeight="1" x14ac:dyDescent="0.2">
      <c r="B55" s="6" t="str">
        <f>Calcs!A32</f>
        <v>Cleveland Line</v>
      </c>
      <c r="C55" s="245">
        <f>Calcs!B32</f>
        <v>4.3400000000000052</v>
      </c>
      <c r="D55" s="487">
        <f>Calcs!J32</f>
        <v>2.7400000000000029</v>
      </c>
      <c r="E55" s="487"/>
      <c r="F55" s="246">
        <f t="shared" si="3"/>
        <v>0.63133640552995385</v>
      </c>
      <c r="G55" s="219"/>
    </row>
    <row r="56" spans="1:7" ht="17.25" customHeight="1" x14ac:dyDescent="0.2">
      <c r="B56" s="6" t="str">
        <f>Calcs!A33</f>
        <v>Redcliffe Line</v>
      </c>
      <c r="C56" s="245">
        <f>Calcs!B33</f>
        <v>0</v>
      </c>
      <c r="D56" s="487">
        <f>Calcs!J33</f>
        <v>0</v>
      </c>
      <c r="E56" s="487"/>
      <c r="F56" s="246" t="str">
        <f t="shared" si="3"/>
        <v/>
      </c>
      <c r="G56" s="219"/>
    </row>
    <row r="57" spans="1:7" ht="17.25" customHeight="1" x14ac:dyDescent="0.2">
      <c r="B57" s="6" t="str">
        <f>Calcs!A34</f>
        <v>Doomben Line</v>
      </c>
      <c r="C57" s="245">
        <f>Calcs!B34</f>
        <v>2.5900000000000003</v>
      </c>
      <c r="D57" s="487">
        <f>Calcs!J34</f>
        <v>2.09</v>
      </c>
      <c r="E57" s="487"/>
      <c r="F57" s="246">
        <f t="shared" si="3"/>
        <v>0.80694980694980678</v>
      </c>
    </row>
    <row r="58" spans="1:7" ht="17.25" customHeight="1" x14ac:dyDescent="0.2">
      <c r="B58" s="6" t="str">
        <f>Calcs!A35</f>
        <v>DG Dutton Park - Fisherman Is</v>
      </c>
      <c r="C58" s="245">
        <f>Calcs!B35</f>
        <v>2.0500000000000007</v>
      </c>
      <c r="D58" s="487">
        <f>Calcs!J35</f>
        <v>1.45</v>
      </c>
      <c r="E58" s="487"/>
      <c r="F58" s="246">
        <f t="shared" si="3"/>
        <v>0.70731707317073145</v>
      </c>
      <c r="G58" s="211"/>
    </row>
    <row r="59" spans="1:7" ht="17.25" customHeight="1" x14ac:dyDescent="0.2">
      <c r="A59" s="220"/>
      <c r="B59" s="6" t="str">
        <f>Calcs!A36</f>
        <v>DG Dutton Park - ARTC Int</v>
      </c>
      <c r="C59" s="245">
        <f>Calcs!B36</f>
        <v>0.36999999999999922</v>
      </c>
      <c r="D59" s="487">
        <f>Calcs!J36</f>
        <v>0.16999999999999993</v>
      </c>
      <c r="E59" s="487"/>
      <c r="F59" s="246">
        <f t="shared" si="3"/>
        <v>0.45945945945946026</v>
      </c>
      <c r="G59" s="222"/>
    </row>
    <row r="60" spans="1:7" ht="17.25" customHeight="1" x14ac:dyDescent="0.2">
      <c r="A60" s="220"/>
      <c r="B60" s="6" t="str">
        <f>Calcs!A37</f>
        <v>Tennyson Line</v>
      </c>
      <c r="C60" s="245">
        <f>Calcs!B37</f>
        <v>1.0910000000000002</v>
      </c>
      <c r="D60" s="487">
        <f>Calcs!J37</f>
        <v>0.32800000000000007</v>
      </c>
      <c r="E60" s="487"/>
      <c r="F60" s="246">
        <f t="shared" si="3"/>
        <v>0.30064161319890009</v>
      </c>
      <c r="G60" s="222"/>
    </row>
    <row r="61" spans="1:7" ht="17.25" customHeight="1" x14ac:dyDescent="0.2">
      <c r="A61" s="220"/>
      <c r="B61" s="6" t="str">
        <f>Calcs!A38</f>
        <v>QR SPUR</v>
      </c>
      <c r="C61" s="245">
        <f>Calcs!B38</f>
        <v>0.69999999999999929</v>
      </c>
      <c r="D61" s="487">
        <f>Calcs!J38</f>
        <v>0</v>
      </c>
      <c r="E61" s="487"/>
      <c r="F61" s="246">
        <f t="shared" si="3"/>
        <v>0</v>
      </c>
      <c r="G61" s="222"/>
    </row>
    <row r="62" spans="1:7" ht="17.25" customHeight="1" x14ac:dyDescent="0.2">
      <c r="A62" s="220"/>
      <c r="B62" s="6" t="str">
        <f>Calcs!A39</f>
        <v>DG Inner City</v>
      </c>
      <c r="C62" s="245">
        <f>Calcs!B39</f>
        <v>0</v>
      </c>
      <c r="D62" s="487">
        <f>Calcs!J39</f>
        <v>0</v>
      </c>
      <c r="E62" s="487"/>
      <c r="F62" s="246" t="str">
        <f t="shared" si="3"/>
        <v/>
      </c>
      <c r="G62" s="222"/>
    </row>
    <row r="63" spans="1:7" ht="15.75" customHeight="1" x14ac:dyDescent="0.2">
      <c r="A63" s="220"/>
      <c r="B63" s="210"/>
      <c r="D63" s="221"/>
      <c r="E63" s="221"/>
      <c r="F63" s="222"/>
      <c r="G63" s="222"/>
    </row>
    <row r="64" spans="1:7" ht="15.75" customHeight="1" x14ac:dyDescent="0.2">
      <c r="A64" s="220"/>
      <c r="B64" s="210"/>
      <c r="D64" s="221"/>
      <c r="E64" s="221"/>
      <c r="F64" s="222"/>
      <c r="G64" s="222"/>
    </row>
    <row r="65" spans="1:7" ht="15.75" customHeight="1" x14ac:dyDescent="0.2">
      <c r="A65" s="220"/>
      <c r="B65" s="210"/>
      <c r="D65" s="221"/>
      <c r="E65" s="221"/>
      <c r="F65" s="222"/>
      <c r="G65" s="222"/>
    </row>
    <row r="66" spans="1:7" ht="15.75" customHeight="1" x14ac:dyDescent="0.2">
      <c r="A66" s="220"/>
      <c r="B66" s="210"/>
      <c r="D66" s="221"/>
      <c r="E66" s="221"/>
      <c r="F66" s="222"/>
      <c r="G66" s="222"/>
    </row>
    <row r="67" spans="1:7" ht="15.75" customHeight="1" x14ac:dyDescent="0.2">
      <c r="A67" s="220"/>
      <c r="B67" s="210"/>
      <c r="D67" s="221"/>
      <c r="E67" s="221"/>
      <c r="F67" s="222"/>
      <c r="G67" s="222"/>
    </row>
    <row r="68" spans="1:7" ht="15.75" customHeight="1" x14ac:dyDescent="0.2">
      <c r="A68" s="220"/>
      <c r="B68" s="210"/>
      <c r="D68" s="221"/>
      <c r="E68" s="221"/>
      <c r="F68" s="222"/>
      <c r="G68" s="222"/>
    </row>
    <row r="73" spans="1:7" x14ac:dyDescent="0.2">
      <c r="D73" s="218"/>
    </row>
  </sheetData>
  <mergeCells count="16">
    <mergeCell ref="D52:E52"/>
    <mergeCell ref="D47:E47"/>
    <mergeCell ref="D48:E48"/>
    <mergeCell ref="D49:E49"/>
    <mergeCell ref="D50:E50"/>
    <mergeCell ref="D51:E51"/>
    <mergeCell ref="D59:E59"/>
    <mergeCell ref="D60:E60"/>
    <mergeCell ref="D61:E61"/>
    <mergeCell ref="D62:E62"/>
    <mergeCell ref="D53:E53"/>
    <mergeCell ref="D54:E54"/>
    <mergeCell ref="D55:E55"/>
    <mergeCell ref="D56:E56"/>
    <mergeCell ref="D57:E57"/>
    <mergeCell ref="D58:E58"/>
  </mergeCells>
  <conditionalFormatting sqref="F63:G64 G59:G62">
    <cfRule type="iconSet" priority="19">
      <iconSet iconSet="3Arrows">
        <cfvo type="percent" val="0"/>
        <cfvo type="num" val="0"/>
        <cfvo type="num" val="0.03" gte="0"/>
      </iconSet>
    </cfRule>
  </conditionalFormatting>
  <conditionalFormatting sqref="F65:G68">
    <cfRule type="iconSet" priority="14">
      <iconSet iconSet="3Arrows">
        <cfvo type="percent" val="0"/>
        <cfvo type="num" val="0"/>
        <cfvo type="num" val="0.03" gte="0"/>
      </iconSet>
    </cfRule>
  </conditionalFormatting>
  <conditionalFormatting sqref="H8:H23">
    <cfRule type="dataBar" priority="13">
      <dataBar showValue="0">
        <cfvo type="min"/>
        <cfvo type="max"/>
        <color rgb="FFC75F09"/>
      </dataBar>
      <extLst>
        <ext xmlns:x14="http://schemas.microsoft.com/office/spreadsheetml/2009/9/main" uri="{B025F937-C7B1-47D3-B67F-A62EFF666E3E}">
          <x14:id>{2D01AB7D-495F-4935-BBFC-61B7DD9B5D3B}</x14:id>
        </ext>
      </extLst>
    </cfRule>
  </conditionalFormatting>
  <conditionalFormatting sqref="B8:B22">
    <cfRule type="expression" priority="7">
      <formula>#REF!=$F$6</formula>
    </cfRule>
  </conditionalFormatting>
  <conditionalFormatting sqref="B27:B42">
    <cfRule type="expression" priority="4">
      <formula>#REF!=$F$6</formula>
    </cfRule>
  </conditionalFormatting>
  <conditionalFormatting sqref="B48:B62">
    <cfRule type="expression" priority="1">
      <formula>#REF!=$F$6</formula>
    </cfRule>
  </conditionalFormatting>
  <pageMargins left="0.70866141732283472" right="0.70866141732283472" top="0.74803149606299213" bottom="0.74803149606299213" header="0.31496062992125984" footer="0.31496062992125984"/>
  <pageSetup paperSize="9" scale="4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1">
              <controlPr defaultSize="0" autoLine="0" autoPict="0">
                <anchor moveWithCells="1">
                  <from>
                    <xdr:col>17</xdr:col>
                    <xdr:colOff>0</xdr:colOff>
                    <xdr:row>2</xdr:row>
                    <xdr:rowOff>0</xdr:rowOff>
                  </from>
                  <to>
                    <xdr:col>19</xdr:col>
                    <xdr:colOff>0</xdr:colOff>
                    <xdr:row>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2D01AB7D-495F-4935-BBFC-61B7DD9B5D3B}">
            <x14:dataBar minLength="0" maxLength="100" gradient="0">
              <x14:cfvo type="autoMin"/>
              <x14:cfvo type="autoMax"/>
              <x14:negativeFillColor rgb="FFFF0000"/>
              <x14:axisColor rgb="FF000000"/>
            </x14:dataBar>
          </x14:cfRule>
          <xm:sqref>H8:H23</xm:sqref>
        </x14:conditionalFormatting>
        <x14:conditionalFormatting xmlns:xm="http://schemas.microsoft.com/office/excel/2006/main">
          <x14:cfRule type="expression" priority="18" id="{E8DC13E3-172D-4F41-B9C9-826246505104}">
            <xm:f>'P:\AS\SEQ\BLROPS\STRUCTURES\Connor Clarke\Learning\[Copy of CongressStart.xlsm]Calc'!#REF!&gt;'P:\AS\SEQ\BLROPS\STRUCTURES\Connor Clarke\Learning\[Copy of CongressStart.xlsm]Calc'!#REF!</xm:f>
            <x14:dxf>
              <font>
                <b/>
                <i val="0"/>
                <color theme="4" tint="-0.499984740745262"/>
              </font>
            </x14:dxf>
          </x14:cfRule>
          <xm:sqref>I48</xm:sqref>
        </x14:conditionalFormatting>
        <x14:conditionalFormatting xmlns:xm="http://schemas.microsoft.com/office/excel/2006/main">
          <x14:cfRule type="expression" priority="17" id="{C781AE8B-7DA6-4530-9E80-BF0492F800A7}">
            <xm:f>'P:\AS\SEQ\BLROPS\STRUCTURES\Connor Clarke\Learning\[Copy of CongressStart.xlsm]Calc'!#REF!&gt;'P:\AS\SEQ\BLROPS\STRUCTURES\Connor Clarke\Learning\[Copy of CongressStart.xlsm]Calc'!#REF!</xm:f>
            <x14:dxf>
              <font>
                <b/>
                <i val="0"/>
                <color theme="4" tint="-0.499984740745262"/>
              </font>
            </x14:dxf>
          </x14:cfRule>
          <xm:sqref>K48</xm:sqref>
        </x14:conditionalFormatting>
        <x14:conditionalFormatting xmlns:xm="http://schemas.microsoft.com/office/excel/2006/main">
          <x14:cfRule type="expression" priority="16" id="{CFE80D1C-8B3D-48BB-A394-4FF0FB89FD21}">
            <xm:f>'P:\AS\SEQ\BLROPS\STRUCTURES\Connor Clarke\Learning\[Copy of CongressStart.xlsm]Calc'!#REF!&gt;'P:\AS\SEQ\BLROPS\STRUCTURES\Connor Clarke\Learning\[Copy of CongressStart.xlsm]Calc'!#REF!</xm:f>
            <x14:dxf>
              <font>
                <b/>
                <i val="0"/>
                <color theme="4" tint="-0.499984740745262"/>
              </font>
            </x14:dxf>
          </x14:cfRule>
          <xm:sqref>L48</xm:sqref>
        </x14:conditionalFormatting>
        <x14:conditionalFormatting xmlns:xm="http://schemas.microsoft.com/office/excel/2006/main">
          <x14:cfRule type="expression" priority="15" id="{7A021627-0739-4070-9B9B-C8285B34C6D8}">
            <xm:f>'P:\AS\SEQ\BLROPS\STRUCTURES\Connor Clarke\Learning\[Copy of CongressStart.xlsm]Calc'!#REF!&gt;'P:\AS\SEQ\BLROPS\STRUCTURES\Connor Clarke\Learning\[Copy of CongressStart.xlsm]Calc'!#REF!</xm:f>
            <x14:dxf>
              <font>
                <b/>
                <i val="0"/>
                <color theme="4" tint="-0.499984740745262"/>
              </font>
            </x14:dxf>
          </x14:cfRule>
          <xm:sqref>N48</xm:sqref>
        </x14:conditionalFormatting>
        <x14:conditionalFormatting xmlns:xm="http://schemas.microsoft.com/office/excel/2006/main">
          <x14:cfRule type="iconSet" priority="12" id="{439D3CA1-E635-4056-A507-4FD954EF1499}">
            <x14:iconSet custom="1">
              <x14:cfvo type="percent">
                <xm:f>0</xm:f>
              </x14:cfvo>
              <x14:cfvo type="num">
                <xm:f>'P:\AS\SEQ\BLROPS\STRUCTURES\Connor Clarke\Learning\[Copy of CongressStart.xlsm]List'!#REF!</xm:f>
              </x14:cfvo>
              <x14:cfvo type="num" gte="0">
                <xm:f>'P:\AS\SEQ\BLROPS\STRUCTURES\Connor Clarke\Learning\[Copy of CongressStart.xlsm]List'!#REF!</xm:f>
              </x14:cfvo>
              <x14:cfIcon iconSet="3Arrows" iconId="0"/>
              <x14:cfIcon iconSet="3Arrows" iconId="1"/>
              <x14:cfIcon iconSet="3Arrows" iconId="2"/>
            </x14:iconSet>
          </x14:cfRule>
          <xm:sqref>G49:G54</xm:sqref>
        </x14:conditionalFormatting>
        <x14:conditionalFormatting xmlns:xm="http://schemas.microsoft.com/office/excel/2006/main">
          <x14:cfRule type="iconSet" priority="11" id="{455D3AD1-BE57-40A4-8887-E70F8D22A541}">
            <x14:iconSet custom="1">
              <x14:cfvo type="percent">
                <xm:f>0</xm:f>
              </x14:cfvo>
              <x14:cfvo type="num">
                <xm:f>'P:\AS\SEQ\BLROPS\STRUCTURES\Connor Clarke\Learning\[Copy of CongressStart.xlsm]List'!#REF!</xm:f>
              </x14:cfvo>
              <x14:cfvo type="num" gte="0">
                <xm:f>'P:\AS\SEQ\BLROPS\STRUCTURES\Connor Clarke\Learning\[Copy of CongressStart.xlsm]List'!#REF!</xm:f>
              </x14:cfvo>
              <x14:cfIcon iconSet="3Arrows" iconId="0"/>
              <x14:cfIcon iconSet="3Arrows" iconId="1"/>
              <x14:cfIcon iconSet="3Arrows" iconId="2"/>
            </x14:iconSet>
          </x14:cfRule>
          <xm:sqref>G55</xm:sqref>
        </x14:conditionalFormatting>
        <x14:conditionalFormatting xmlns:xm="http://schemas.microsoft.com/office/excel/2006/main">
          <x14:cfRule type="iconSet" priority="10" id="{884CB8EF-1211-4445-B90E-7B4F355F0518}">
            <x14:iconSet custom="1">
              <x14:cfvo type="percent">
                <xm:f>0</xm:f>
              </x14:cfvo>
              <x14:cfvo type="num">
                <xm:f>'P:\AS\SEQ\BLROPS\STRUCTURES\Connor Clarke\Learning\[Copy of CongressStart.xlsm]List'!#REF!</xm:f>
              </x14:cfvo>
              <x14:cfvo type="num" gte="0">
                <xm:f>'P:\AS\SEQ\BLROPS\STRUCTURES\Connor Clarke\Learning\[Copy of CongressStart.xlsm]List'!#REF!</xm:f>
              </x14:cfvo>
              <x14:cfIcon iconSet="3Arrows" iconId="0"/>
              <x14:cfIcon iconSet="3Arrows" iconId="1"/>
              <x14:cfIcon iconSet="3Arrows" iconId="2"/>
            </x14:iconSet>
          </x14:cfRule>
          <xm:sqref>G56</xm:sqref>
        </x14:conditionalFormatting>
      </x14:conditionalFormattings>
    </ext>
    <ext xmlns:x14="http://schemas.microsoft.com/office/spreadsheetml/2009/9/main" uri="{05C60535-1F16-4fd2-B633-F4F36F0B64E0}">
      <x14:sparklineGroups xmlns:xm="http://schemas.microsoft.com/office/excel/2006/main">
        <x14:sparklineGroup manualMax="0" manualMin="0" lineWeight="1" displayEmptyCellsAs="gap" xr2:uid="{00000000-0003-0000-0100-000000000000}">
          <x14:colorSeries theme="9" tint="-0.249977111117893"/>
          <x14:colorNegative rgb="FF000000"/>
          <x14:colorAxis rgb="FF000000"/>
          <x14:colorMarkers rgb="FF000000"/>
          <x14:colorFirst rgb="FF000000"/>
          <x14:colorLast rgb="FF000000"/>
          <x14:colorHigh rgb="FF000000"/>
          <x14:colorLow rgb="FF000000"/>
          <x14:sparklines>
            <x14:sparkline>
              <xm:f>Calcs!B45:M45</xm:f>
              <xm:sqref>C8</xm:sqref>
            </x14:sparkline>
          </x14:sparklines>
        </x14:sparklineGroup>
        <x14:sparklineGroup manualMax="0" manualMin="0" lineWeight="1" displayEmptyCellsAs="gap" xr2:uid="{00000000-0003-0000-0100-000001000000}">
          <x14:colorSeries theme="9" tint="-0.249977111117893"/>
          <x14:colorNegative rgb="FF000000"/>
          <x14:colorAxis rgb="FF000000"/>
          <x14:colorMarkers rgb="FF000000"/>
          <x14:colorFirst rgb="FF000000"/>
          <x14:colorLast rgb="FF000000"/>
          <x14:colorHigh rgb="FF000000"/>
          <x14:colorLow rgb="FF000000"/>
          <x14:sparklines>
            <x14:sparkline>
              <xm:f>Calcs!B59:M59</xm:f>
              <xm:sqref>C22</xm:sqref>
            </x14:sparkline>
          </x14:sparklines>
        </x14:sparklineGroup>
        <x14:sparklineGroup manualMax="0" manualMin="0" lineWeight="1" displayEmptyCellsAs="gap" xr2:uid="{00000000-0003-0000-0100-000002000000}">
          <x14:colorSeries theme="9" tint="-0.249977111117893"/>
          <x14:colorNegative rgb="FF000000"/>
          <x14:colorAxis rgb="FF000000"/>
          <x14:colorMarkers rgb="FF000000"/>
          <x14:colorFirst rgb="FF000000"/>
          <x14:colorLast rgb="FF000000"/>
          <x14:colorHigh rgb="FF000000"/>
          <x14:colorLow rgb="FF000000"/>
          <x14:sparklines>
            <x14:sparkline>
              <xm:f>Calcs!B46:M46</xm:f>
              <xm:sqref>C9</xm:sqref>
            </x14:sparkline>
          </x14:sparklines>
        </x14:sparklineGroup>
        <x14:sparklineGroup manualMax="0" manualMin="0" lineWeight="1" displayEmptyCellsAs="gap" xr2:uid="{00000000-0003-0000-0100-000003000000}">
          <x14:colorSeries theme="9" tint="-0.249977111117893"/>
          <x14:colorNegative rgb="FF000000"/>
          <x14:colorAxis rgb="FF000000"/>
          <x14:colorMarkers rgb="FF000000"/>
          <x14:colorFirst rgb="FF000000"/>
          <x14:colorLast rgb="FF000000"/>
          <x14:colorHigh rgb="FF000000"/>
          <x14:colorLow rgb="FF000000"/>
          <x14:sparklines>
            <x14:sparkline>
              <xm:f>Calcs!B47:M47</xm:f>
              <xm:sqref>C10</xm:sqref>
            </x14:sparkline>
          </x14:sparklines>
        </x14:sparklineGroup>
        <x14:sparklineGroup manualMax="0" manualMin="0" lineWeight="1" displayEmptyCellsAs="gap" xr2:uid="{00000000-0003-0000-0100-000004000000}">
          <x14:colorSeries theme="9" tint="-0.249977111117893"/>
          <x14:colorNegative rgb="FF000000"/>
          <x14:colorAxis rgb="FF000000"/>
          <x14:colorMarkers rgb="FF000000"/>
          <x14:colorFirst rgb="FF000000"/>
          <x14:colorLast rgb="FF000000"/>
          <x14:colorHigh rgb="FF000000"/>
          <x14:colorLow rgb="FF000000"/>
          <x14:sparklines>
            <x14:sparkline>
              <xm:f>Calcs!B48:M48</xm:f>
              <xm:sqref>C11</xm:sqref>
            </x14:sparkline>
          </x14:sparklines>
        </x14:sparklineGroup>
        <x14:sparklineGroup manualMax="0" manualMin="0" lineWeight="1" displayEmptyCellsAs="gap" xr2:uid="{00000000-0003-0000-0100-000005000000}">
          <x14:colorSeries theme="9" tint="-0.249977111117893"/>
          <x14:colorNegative rgb="FF000000"/>
          <x14:colorAxis rgb="FF000000"/>
          <x14:colorMarkers rgb="FF000000"/>
          <x14:colorFirst rgb="FF000000"/>
          <x14:colorLast rgb="FF000000"/>
          <x14:colorHigh rgb="FF000000"/>
          <x14:colorLow rgb="FF000000"/>
          <x14:sparklines>
            <x14:sparkline>
              <xm:f>Calcs!B49:M49</xm:f>
              <xm:sqref>C12</xm:sqref>
            </x14:sparkline>
          </x14:sparklines>
        </x14:sparklineGroup>
        <x14:sparklineGroup manualMax="0" manualMin="0" lineWeight="1" displayEmptyCellsAs="gap" xr2:uid="{00000000-0003-0000-0100-000006000000}">
          <x14:colorSeries theme="9" tint="-0.249977111117893"/>
          <x14:colorNegative rgb="FF000000"/>
          <x14:colorAxis rgb="FF000000"/>
          <x14:colorMarkers rgb="FF000000"/>
          <x14:colorFirst rgb="FF000000"/>
          <x14:colorLast rgb="FF000000"/>
          <x14:colorHigh rgb="FF000000"/>
          <x14:colorLow rgb="FF000000"/>
          <x14:sparklines>
            <x14:sparkline>
              <xm:f>Calcs!B50:M50</xm:f>
              <xm:sqref>C13</xm:sqref>
            </x14:sparkline>
          </x14:sparklines>
        </x14:sparklineGroup>
        <x14:sparklineGroup manualMax="0" manualMin="0" lineWeight="1" displayEmptyCellsAs="gap" xr2:uid="{00000000-0003-0000-0100-000007000000}">
          <x14:colorSeries theme="9" tint="-0.249977111117893"/>
          <x14:colorNegative rgb="FF000000"/>
          <x14:colorAxis rgb="FF000000"/>
          <x14:colorMarkers rgb="FF000000"/>
          <x14:colorFirst rgb="FF000000"/>
          <x14:colorLast rgb="FF000000"/>
          <x14:colorHigh rgb="FF000000"/>
          <x14:colorLow rgb="FF000000"/>
          <x14:sparklines>
            <x14:sparkline>
              <xm:f>Calcs!B51:M51</xm:f>
              <xm:sqref>C14</xm:sqref>
            </x14:sparkline>
          </x14:sparklines>
        </x14:sparklineGroup>
        <x14:sparklineGroup manualMax="0" manualMin="0" lineWeight="1" displayEmptyCellsAs="gap" xr2:uid="{00000000-0003-0000-0100-000008000000}">
          <x14:colorSeries theme="9" tint="-0.249977111117893"/>
          <x14:colorNegative rgb="FF000000"/>
          <x14:colorAxis rgb="FF000000"/>
          <x14:colorMarkers rgb="FF000000"/>
          <x14:colorFirst rgb="FF000000"/>
          <x14:colorLast rgb="FF000000"/>
          <x14:colorHigh rgb="FF000000"/>
          <x14:colorLow rgb="FF000000"/>
          <x14:sparklines>
            <x14:sparkline>
              <xm:f>Calcs!B52:M52</xm:f>
              <xm:sqref>C15</xm:sqref>
            </x14:sparkline>
          </x14:sparklines>
        </x14:sparklineGroup>
        <x14:sparklineGroup manualMax="0" manualMin="0" lineWeight="1" displayEmptyCellsAs="gap" xr2:uid="{00000000-0003-0000-0100-000009000000}">
          <x14:colorSeries theme="9" tint="-0.249977111117893"/>
          <x14:colorNegative rgb="FF000000"/>
          <x14:colorAxis rgb="FF000000"/>
          <x14:colorMarkers rgb="FF000000"/>
          <x14:colorFirst rgb="FF000000"/>
          <x14:colorLast rgb="FF000000"/>
          <x14:colorHigh rgb="FF000000"/>
          <x14:colorLow rgb="FF000000"/>
          <x14:sparklines>
            <x14:sparkline>
              <xm:f>Calcs!B53:M53</xm:f>
              <xm:sqref>C16</xm:sqref>
            </x14:sparkline>
          </x14:sparklines>
        </x14:sparklineGroup>
        <x14:sparklineGroup manualMax="0" manualMin="0" lineWeight="1" displayEmptyCellsAs="gap" xr2:uid="{00000000-0003-0000-0100-00000A000000}">
          <x14:colorSeries theme="9" tint="-0.249977111117893"/>
          <x14:colorNegative rgb="FF000000"/>
          <x14:colorAxis rgb="FF000000"/>
          <x14:colorMarkers rgb="FF000000"/>
          <x14:colorFirst rgb="FF000000"/>
          <x14:colorLast rgb="FF000000"/>
          <x14:colorHigh rgb="FF000000"/>
          <x14:colorLow rgb="FF000000"/>
          <x14:sparklines>
            <x14:sparkline>
              <xm:f>Calcs!B54:M54</xm:f>
              <xm:sqref>C17</xm:sqref>
            </x14:sparkline>
          </x14:sparklines>
        </x14:sparklineGroup>
        <x14:sparklineGroup manualMax="0" manualMin="0" lineWeight="1" displayEmptyCellsAs="gap" xr2:uid="{00000000-0003-0000-0100-00000B000000}">
          <x14:colorSeries theme="9" tint="-0.249977111117893"/>
          <x14:colorNegative rgb="FF000000"/>
          <x14:colorAxis rgb="FF000000"/>
          <x14:colorMarkers rgb="FF000000"/>
          <x14:colorFirst rgb="FF000000"/>
          <x14:colorLast rgb="FF000000"/>
          <x14:colorHigh rgb="FF000000"/>
          <x14:colorLow rgb="FF000000"/>
          <x14:sparklines>
            <x14:sparkline>
              <xm:f>Calcs!B55:M55</xm:f>
              <xm:sqref>C18</xm:sqref>
            </x14:sparkline>
          </x14:sparklines>
        </x14:sparklineGroup>
        <x14:sparklineGroup manualMax="0" manualMin="0" lineWeight="1" displayEmptyCellsAs="gap" xr2:uid="{00000000-0003-0000-0100-00000C000000}">
          <x14:colorSeries theme="9" tint="-0.249977111117893"/>
          <x14:colorNegative rgb="FF000000"/>
          <x14:colorAxis rgb="FF000000"/>
          <x14:colorMarkers rgb="FF000000"/>
          <x14:colorFirst rgb="FF000000"/>
          <x14:colorLast rgb="FF000000"/>
          <x14:colorHigh rgb="FF000000"/>
          <x14:colorLow rgb="FF000000"/>
          <x14:sparklines>
            <x14:sparkline>
              <xm:f>Calcs!B56:M56</xm:f>
              <xm:sqref>C19</xm:sqref>
            </x14:sparkline>
          </x14:sparklines>
        </x14:sparklineGroup>
        <x14:sparklineGroup manualMax="0" manualMin="0" lineWeight="1" displayEmptyCellsAs="gap" xr2:uid="{00000000-0003-0000-0100-00000D000000}">
          <x14:colorSeries theme="9" tint="-0.249977111117893"/>
          <x14:colorNegative rgb="FF000000"/>
          <x14:colorAxis rgb="FF000000"/>
          <x14:colorMarkers rgb="FF000000"/>
          <x14:colorFirst rgb="FF000000"/>
          <x14:colorLast rgb="FF000000"/>
          <x14:colorHigh rgb="FF000000"/>
          <x14:colorLow rgb="FF000000"/>
          <x14:sparklines>
            <x14:sparkline>
              <xm:f>Calcs!B57:M57</xm:f>
              <xm:sqref>C20</xm:sqref>
            </x14:sparkline>
          </x14:sparklines>
        </x14:sparklineGroup>
        <x14:sparklineGroup manualMax="0" manualMin="0" lineWeight="1" displayEmptyCellsAs="gap" xr2:uid="{00000000-0003-0000-0100-00000E000000}">
          <x14:colorSeries theme="9" tint="-0.249977111117893"/>
          <x14:colorNegative rgb="FF000000"/>
          <x14:colorAxis rgb="FF000000"/>
          <x14:colorMarkers rgb="FF000000"/>
          <x14:colorFirst rgb="FF000000"/>
          <x14:colorLast rgb="FF000000"/>
          <x14:colorHigh rgb="FF000000"/>
          <x14:colorLow rgb="FF000000"/>
          <x14:sparklines>
            <x14:sparkline>
              <xm:f>Calcs!B58:M58</xm:f>
              <xm:sqref>C21</xm:sqref>
            </x14:sparkline>
          </x14:sparklines>
        </x14:sparklineGroup>
      </x14:sparklineGroups>
    </ex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6600"/>
  </sheetPr>
  <dimension ref="A1:AH473"/>
  <sheetViews>
    <sheetView tabSelected="1" topLeftCell="F1" zoomScale="65" zoomScaleNormal="65" workbookViewId="0">
      <pane ySplit="2" topLeftCell="A120" activePane="bottomLeft" state="frozen"/>
      <selection pane="bottomLeft" activeCell="X129" sqref="X129"/>
    </sheetView>
  </sheetViews>
  <sheetFormatPr defaultColWidth="9.140625" defaultRowHeight="12.75" x14ac:dyDescent="0.2"/>
  <cols>
    <col min="1" max="1" width="9.5703125" style="13" customWidth="1"/>
    <col min="2" max="2" width="9.5703125" style="11" customWidth="1"/>
    <col min="3" max="3" width="27.140625" style="13" bestFit="1" customWidth="1"/>
    <col min="4" max="4" width="35.5703125" style="13" bestFit="1" customWidth="1"/>
    <col min="5" max="5" width="6.85546875" style="13" customWidth="1"/>
    <col min="6" max="7" width="19.140625" style="284" customWidth="1"/>
    <col min="8" max="8" width="15.42578125" style="182" customWidth="1"/>
    <col min="9" max="9" width="10.5703125" style="13" bestFit="1" customWidth="1"/>
    <col min="10" max="11" width="8.85546875" style="13" customWidth="1"/>
    <col min="12" max="12" width="10.5703125" style="13" bestFit="1" customWidth="1"/>
    <col min="13" max="13" width="17.42578125" style="14" bestFit="1" customWidth="1"/>
    <col min="14" max="15" width="18.140625" style="13" customWidth="1"/>
    <col min="16" max="17" width="10.7109375" style="15" customWidth="1"/>
    <col min="18" max="18" width="11.85546875" style="11" customWidth="1"/>
    <col min="19" max="19" width="10.42578125" style="11" customWidth="1"/>
    <col min="20" max="22" width="12.5703125" style="11" customWidth="1"/>
    <col min="23" max="23" width="32.5703125" style="13" customWidth="1"/>
    <col min="24" max="24" width="37" style="14" customWidth="1"/>
    <col min="25" max="25" width="18.5703125" style="11" customWidth="1"/>
    <col min="26" max="26" width="18.42578125" style="13" bestFit="1" customWidth="1"/>
    <col min="27" max="27" width="18.42578125" style="13" customWidth="1"/>
    <col min="28" max="28" width="16.28515625" style="35" customWidth="1"/>
    <col min="29" max="30" width="15.42578125" style="35" customWidth="1"/>
    <col min="31" max="31" width="12.28515625" style="13" customWidth="1"/>
    <col min="32" max="32" width="13.140625" style="8" customWidth="1"/>
    <col min="33" max="33" width="10.140625" style="8" customWidth="1"/>
    <col min="34" max="16384" width="9.140625" style="8"/>
  </cols>
  <sheetData>
    <row r="1" spans="1:34" ht="26.25" x14ac:dyDescent="0.2">
      <c r="A1" s="489" t="s">
        <v>173</v>
      </c>
      <c r="B1" s="490"/>
      <c r="C1" s="490"/>
      <c r="D1" s="490"/>
      <c r="E1" s="490"/>
      <c r="F1" s="491"/>
      <c r="G1" s="491"/>
      <c r="H1" s="491"/>
      <c r="I1" s="490"/>
      <c r="J1" s="490"/>
      <c r="K1" s="490"/>
      <c r="L1" s="490"/>
      <c r="M1" s="490"/>
      <c r="N1" s="490"/>
      <c r="O1" s="490"/>
      <c r="P1" s="490"/>
      <c r="Q1" s="490"/>
      <c r="R1" s="490"/>
      <c r="S1" s="490"/>
      <c r="T1" s="490"/>
      <c r="U1" s="490"/>
      <c r="V1" s="490"/>
      <c r="W1" s="490"/>
      <c r="X1" s="492"/>
      <c r="Y1" s="490"/>
      <c r="Z1" s="490"/>
      <c r="AA1" s="490"/>
      <c r="AB1" s="490"/>
      <c r="AC1" s="490"/>
      <c r="AD1" s="490"/>
      <c r="AE1" s="490"/>
    </row>
    <row r="2" spans="1:34" s="37" customFormat="1" ht="39" thickBot="1" x14ac:dyDescent="0.25">
      <c r="A2" s="27" t="s">
        <v>115</v>
      </c>
      <c r="B2" s="27" t="s">
        <v>162</v>
      </c>
      <c r="C2" s="27" t="s">
        <v>163</v>
      </c>
      <c r="D2" s="28" t="s">
        <v>4</v>
      </c>
      <c r="E2" s="28" t="s">
        <v>92</v>
      </c>
      <c r="F2" s="181" t="s">
        <v>366</v>
      </c>
      <c r="G2" s="181" t="s">
        <v>861</v>
      </c>
      <c r="H2" s="181" t="s">
        <v>532</v>
      </c>
      <c r="I2" s="28" t="s">
        <v>10</v>
      </c>
      <c r="J2" s="29" t="s">
        <v>0</v>
      </c>
      <c r="K2" s="29" t="s">
        <v>1</v>
      </c>
      <c r="L2" s="29" t="s">
        <v>119</v>
      </c>
      <c r="M2" s="28" t="s">
        <v>11</v>
      </c>
      <c r="N2" s="28" t="s">
        <v>592</v>
      </c>
      <c r="O2" s="28" t="s">
        <v>593</v>
      </c>
      <c r="P2" s="30" t="s">
        <v>149</v>
      </c>
      <c r="Q2" s="30" t="s">
        <v>172</v>
      </c>
      <c r="R2" s="28" t="s">
        <v>138</v>
      </c>
      <c r="S2" s="28" t="s">
        <v>137</v>
      </c>
      <c r="T2" s="31" t="s">
        <v>140</v>
      </c>
      <c r="U2" s="31" t="s">
        <v>174</v>
      </c>
      <c r="V2" s="31" t="s">
        <v>552</v>
      </c>
      <c r="W2" s="32" t="s">
        <v>3</v>
      </c>
      <c r="X2" s="32" t="s">
        <v>8</v>
      </c>
      <c r="Y2" s="33" t="s">
        <v>176</v>
      </c>
      <c r="Z2" s="32" t="s">
        <v>237</v>
      </c>
      <c r="AA2" s="32" t="s">
        <v>574</v>
      </c>
      <c r="AB2" s="34" t="s">
        <v>12</v>
      </c>
      <c r="AC2" s="34" t="s">
        <v>13</v>
      </c>
      <c r="AD2" s="225" t="s">
        <v>509</v>
      </c>
      <c r="AE2" s="31" t="s">
        <v>14</v>
      </c>
      <c r="AF2" s="33" t="s">
        <v>523</v>
      </c>
      <c r="AG2" s="33" t="s">
        <v>515</v>
      </c>
      <c r="AH2" s="33" t="s">
        <v>524</v>
      </c>
    </row>
    <row r="3" spans="1:34" ht="38.25" x14ac:dyDescent="0.2">
      <c r="A3" s="67" t="s">
        <v>117</v>
      </c>
      <c r="B3" s="79"/>
      <c r="C3" s="68" t="s">
        <v>9</v>
      </c>
      <c r="D3" s="50" t="s">
        <v>141</v>
      </c>
      <c r="E3" s="104" t="str">
        <f>IF(Table25781014[[#This Row],[Line Section]]="","",VLOOKUP(Table25781014[[#This Row],[Line Section]],Reference!$A$2:$B$47,2,FALSE))</f>
        <v>C152</v>
      </c>
      <c r="F3" s="250"/>
      <c r="G3" s="250"/>
      <c r="H3" s="69"/>
      <c r="I3" s="54" t="s">
        <v>93</v>
      </c>
      <c r="J3" s="463">
        <v>0.17</v>
      </c>
      <c r="K3" s="53">
        <v>0.5</v>
      </c>
      <c r="L3" s="102">
        <f>IF(Table25781014[[#This Row],[End
(km)]]="","",Table25781014[[#This Row],[End
(km)]]-Table25781014[[#This Row],[Start
(km)]])</f>
        <v>0.32999999999999996</v>
      </c>
      <c r="M3" s="63" t="s">
        <v>189</v>
      </c>
      <c r="N3" s="50" t="s">
        <v>113</v>
      </c>
      <c r="O3" s="64"/>
      <c r="P3" s="64">
        <v>43224</v>
      </c>
      <c r="Q3" s="64"/>
      <c r="R3" s="65"/>
      <c r="S3" s="55" t="s">
        <v>121</v>
      </c>
      <c r="T3" s="65" t="s">
        <v>122</v>
      </c>
      <c r="U3" s="65"/>
      <c r="V3" s="65"/>
      <c r="W3" s="272"/>
      <c r="X3" s="465" t="s">
        <v>672</v>
      </c>
      <c r="Y3" s="405" t="s">
        <v>195</v>
      </c>
      <c r="Z3" s="109" t="s">
        <v>122</v>
      </c>
      <c r="AA3" s="276"/>
      <c r="AB3" s="94"/>
      <c r="AC3" s="94"/>
      <c r="AD3" s="94" t="str">
        <f>IF(Table25781014[[#This Row],[End Completed Section (km)]]="","",Table25781014[[#This Row],[End Completed Section (km)]]-Table25781014[[#This Row],[Start Completed Section (km)]])</f>
        <v/>
      </c>
      <c r="AE3" s="460"/>
      <c r="AF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 s="229" t="str">
        <f>IF(Table25781014[[#This Row],[Planned Date]]="","",TEXT(Table25781014[[#This Row],[Planned Date]],"mmm"))</f>
        <v/>
      </c>
      <c r="AH3" s="56" t="str">
        <f>IF(Table25781014[[#This Row],[Month]]="","",VLOOKUP(Table25781014[[#This Row],[Month]],List!$B$2:$C$13,2,FALSE))</f>
        <v/>
      </c>
    </row>
    <row r="4" spans="1:34" ht="38.25" x14ac:dyDescent="0.2">
      <c r="A4" s="67" t="s">
        <v>117</v>
      </c>
      <c r="B4" s="461"/>
      <c r="C4" s="68" t="s">
        <v>9</v>
      </c>
      <c r="D4" s="54" t="s">
        <v>141</v>
      </c>
      <c r="E4" s="104" t="str">
        <f>IF(Table25781014[[#This Row],[Line Section]]="","",VLOOKUP(Table25781014[[#This Row],[Line Section]],Reference!$A$2:$B$47,2,FALSE))</f>
        <v>C152</v>
      </c>
      <c r="F4" s="250"/>
      <c r="G4" s="250"/>
      <c r="H4" s="69"/>
      <c r="I4" s="54" t="s">
        <v>94</v>
      </c>
      <c r="J4" s="60">
        <v>0.22</v>
      </c>
      <c r="K4" s="60">
        <v>0.25</v>
      </c>
      <c r="L4" s="53">
        <f>IF(Table25781014[[#This Row],[End
(km)]]="","",Table25781014[[#This Row],[End
(km)]]-Table25781014[[#This Row],[Start
(km)]])</f>
        <v>0.03</v>
      </c>
      <c r="M4" s="63" t="s">
        <v>129</v>
      </c>
      <c r="N4" s="54" t="s">
        <v>113</v>
      </c>
      <c r="O4" s="272"/>
      <c r="P4" s="64">
        <v>43238</v>
      </c>
      <c r="Q4" s="378"/>
      <c r="R4" s="65" t="s">
        <v>121</v>
      </c>
      <c r="S4" s="55"/>
      <c r="T4" s="66"/>
      <c r="U4" s="154"/>
      <c r="V4" s="154"/>
      <c r="W4" s="58"/>
      <c r="X4" s="77" t="s">
        <v>365</v>
      </c>
      <c r="Y4" s="403"/>
      <c r="Z4" s="65" t="s">
        <v>122</v>
      </c>
      <c r="AA4" s="277"/>
      <c r="AB4" s="95"/>
      <c r="AC4" s="95"/>
      <c r="AD4" s="95" t="str">
        <f>IF(Table25781014[[#This Row],[End Completed Section (km)]]="","",Table25781014[[#This Row],[End Completed Section (km)]]-Table25781014[[#This Row],[Start Completed Section (km)]])</f>
        <v/>
      </c>
      <c r="AE4" s="70"/>
      <c r="AF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 s="229" t="str">
        <f>IF(Table25781014[[#This Row],[Planned Date]]="","",TEXT(Table25781014[[#This Row],[Planned Date]],"mmm"))</f>
        <v/>
      </c>
      <c r="AH4" s="56" t="str">
        <f>IF(Table25781014[[#This Row],[Month]]="","",VLOOKUP(Table25781014[[#This Row],[Month]],List!$B$2:$C$13,2,FALSE))</f>
        <v/>
      </c>
    </row>
    <row r="5" spans="1:34" ht="38.25" x14ac:dyDescent="0.2">
      <c r="A5" s="67" t="s">
        <v>117</v>
      </c>
      <c r="B5" s="79"/>
      <c r="C5" s="68" t="s">
        <v>9</v>
      </c>
      <c r="D5" s="50" t="s">
        <v>141</v>
      </c>
      <c r="E5" s="104" t="str">
        <f>IF(Table25781014[[#This Row],[Line Section]]="","",VLOOKUP(Table25781014[[#This Row],[Line Section]],Reference!$A$2:$B$47,2,FALSE))</f>
        <v>C152</v>
      </c>
      <c r="F5" s="250">
        <v>44031</v>
      </c>
      <c r="G5" s="250" t="s">
        <v>430</v>
      </c>
      <c r="H5" s="69" t="s">
        <v>533</v>
      </c>
      <c r="I5" s="54" t="s">
        <v>93</v>
      </c>
      <c r="J5" s="101">
        <v>0.9</v>
      </c>
      <c r="K5" s="60">
        <v>1.3</v>
      </c>
      <c r="L5" s="102">
        <f>IF(Table25781014[[#This Row],[End
(km)]]="","",Table25781014[[#This Row],[End
(km)]]-Table25781014[[#This Row],[Start
(km)]])</f>
        <v>0.4</v>
      </c>
      <c r="M5" s="63" t="s">
        <v>189</v>
      </c>
      <c r="N5" s="50" t="s">
        <v>113</v>
      </c>
      <c r="O5" s="64" t="s">
        <v>113</v>
      </c>
      <c r="P5" s="64">
        <v>43224</v>
      </c>
      <c r="Q5" s="64">
        <v>43472</v>
      </c>
      <c r="R5" s="65" t="s">
        <v>121</v>
      </c>
      <c r="S5" s="55" t="s">
        <v>121</v>
      </c>
      <c r="T5" s="66" t="s">
        <v>121</v>
      </c>
      <c r="U5" s="66"/>
      <c r="V5" s="66"/>
      <c r="W5" s="58" t="s">
        <v>196</v>
      </c>
      <c r="X5" s="107" t="s">
        <v>618</v>
      </c>
      <c r="Y5" s="405" t="s">
        <v>197</v>
      </c>
      <c r="Z5" s="109" t="s">
        <v>122</v>
      </c>
      <c r="AA5" s="276"/>
      <c r="AB5" s="95"/>
      <c r="AC5" s="95"/>
      <c r="AD5" s="95" t="str">
        <f>IF(Table25781014[[#This Row],[End Completed Section (km)]]="","",Table25781014[[#This Row],[End Completed Section (km)]]-Table25781014[[#This Row],[Start Completed Section (km)]])</f>
        <v/>
      </c>
      <c r="AE5" s="70"/>
      <c r="AF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5" s="229" t="str">
        <f>IF(Table25781014[[#This Row],[Planned Date]]="","",TEXT(Table25781014[[#This Row],[Planned Date]],"mmm"))</f>
        <v>Jul</v>
      </c>
      <c r="AH5" s="56">
        <f>IF(Table25781014[[#This Row],[Month]]="","",VLOOKUP(Table25781014[[#This Row],[Month]],List!$B$2:$C$13,2,FALSE))</f>
        <v>1</v>
      </c>
    </row>
    <row r="6" spans="1:34" s="56" customFormat="1" x14ac:dyDescent="0.2">
      <c r="A6" s="98" t="s">
        <v>118</v>
      </c>
      <c r="B6" s="80"/>
      <c r="C6" s="68" t="s">
        <v>9</v>
      </c>
      <c r="D6" s="54" t="s">
        <v>141</v>
      </c>
      <c r="E6" s="100" t="str">
        <f>IF(Table25781014[[#This Row],[Line Section]]="","",VLOOKUP(Table25781014[[#This Row],[Line Section]],Reference!$A$2:$B$47,2,FALSE))</f>
        <v>C152</v>
      </c>
      <c r="F6" s="157"/>
      <c r="G6" s="440"/>
      <c r="H6" s="247"/>
      <c r="I6" s="54" t="s">
        <v>94</v>
      </c>
      <c r="J6" s="60">
        <v>2.33</v>
      </c>
      <c r="K6" s="60">
        <v>2.6</v>
      </c>
      <c r="L6" s="102">
        <f>IF(Table25781014[[#This Row],[End
(km)]]="","",Table25781014[[#This Row],[End
(km)]]-Table25781014[[#This Row],[Start
(km)]])</f>
        <v>0.27</v>
      </c>
      <c r="M6" s="61" t="s">
        <v>129</v>
      </c>
      <c r="N6" s="54"/>
      <c r="O6" s="272" t="s">
        <v>112</v>
      </c>
      <c r="P6" s="64">
        <v>43489</v>
      </c>
      <c r="Q6" s="71"/>
      <c r="R6" s="57" t="s">
        <v>121</v>
      </c>
      <c r="S6" s="55"/>
      <c r="T6" s="66"/>
      <c r="U6" s="66"/>
      <c r="V6" s="269"/>
      <c r="W6" s="67"/>
      <c r="X6" s="77" t="s">
        <v>760</v>
      </c>
      <c r="Y6" s="46"/>
      <c r="Z6" s="103" t="s">
        <v>122</v>
      </c>
      <c r="AA6" s="280"/>
      <c r="AB6" s="96"/>
      <c r="AC6" s="96"/>
      <c r="AD6" s="227" t="str">
        <f>IF(Table25781014[[#This Row],[End Completed Section (km)]]="","",Table25781014[[#This Row],[End Completed Section (km)]]-Table25781014[[#This Row],[Start Completed Section (km)]])</f>
        <v/>
      </c>
      <c r="AE6" s="72"/>
      <c r="AF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6" s="229" t="str">
        <f>IF(Table25781014[[#This Row],[Planned Date]]="","",TEXT(Table25781014[[#This Row],[Planned Date]],"mmm"))</f>
        <v/>
      </c>
      <c r="AH6" s="252" t="str">
        <f>IF(Table25781014[[#This Row],[Month]]="","",VLOOKUP(Table25781014[[#This Row],[Month]],List!$B$2:$C$13,2,FALSE))</f>
        <v/>
      </c>
    </row>
    <row r="7" spans="1:34" ht="25.5" x14ac:dyDescent="0.2">
      <c r="A7" s="98" t="s">
        <v>117</v>
      </c>
      <c r="B7" s="79"/>
      <c r="C7" s="68" t="s">
        <v>9</v>
      </c>
      <c r="D7" s="50" t="s">
        <v>141</v>
      </c>
      <c r="E7" s="104" t="str">
        <f>IF(Table25781014[[#This Row],[Line Section]]="","",VLOOKUP(Table25781014[[#This Row],[Line Section]],Reference!$A$2:$B$47,2,FALSE))</f>
        <v>C152</v>
      </c>
      <c r="F7" s="250"/>
      <c r="G7" s="250"/>
      <c r="H7" s="69"/>
      <c r="I7" s="54" t="s">
        <v>94</v>
      </c>
      <c r="J7" s="60">
        <v>6.3</v>
      </c>
      <c r="K7" s="60">
        <v>6.45</v>
      </c>
      <c r="L7" s="53">
        <f>IF(Table25781014[[#This Row],[End
(km)]]="","",Table25781014[[#This Row],[End
(km)]]-Table25781014[[#This Row],[Start
(km)]])</f>
        <v>0.15000000000000036</v>
      </c>
      <c r="M7" s="63" t="s">
        <v>189</v>
      </c>
      <c r="N7" s="50" t="s">
        <v>113</v>
      </c>
      <c r="O7" s="64" t="s">
        <v>113</v>
      </c>
      <c r="P7" s="64">
        <v>43348</v>
      </c>
      <c r="Q7" s="64">
        <v>43472</v>
      </c>
      <c r="R7" s="65"/>
      <c r="S7" s="55"/>
      <c r="T7" s="66"/>
      <c r="U7" s="66"/>
      <c r="V7" s="66"/>
      <c r="W7" s="58"/>
      <c r="X7" s="77"/>
      <c r="Y7" s="412"/>
      <c r="Z7" s="65" t="s">
        <v>122</v>
      </c>
      <c r="AA7" s="277"/>
      <c r="AB7" s="95"/>
      <c r="AC7" s="95"/>
      <c r="AD7" s="95" t="str">
        <f>IF(Table25781014[[#This Row],[End Completed Section (km)]]="","",Table25781014[[#This Row],[End Completed Section (km)]]-Table25781014[[#This Row],[Start Completed Section (km)]])</f>
        <v/>
      </c>
      <c r="AE7" s="70"/>
      <c r="AF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7" s="229" t="str">
        <f>IF(Table25781014[[#This Row],[Planned Date]]="","",TEXT(Table25781014[[#This Row],[Planned Date]],"mmm"))</f>
        <v/>
      </c>
      <c r="AH7" s="252" t="str">
        <f>IF(Table25781014[[#This Row],[Month]]="","",VLOOKUP(Table25781014[[#This Row],[Month]],List!$B$2:$C$13,2,FALSE))</f>
        <v/>
      </c>
    </row>
    <row r="8" spans="1:34" ht="63.75" x14ac:dyDescent="0.2">
      <c r="A8" s="98" t="s">
        <v>116</v>
      </c>
      <c r="B8" s="79"/>
      <c r="C8" s="68" t="s">
        <v>9</v>
      </c>
      <c r="D8" s="50" t="s">
        <v>141</v>
      </c>
      <c r="E8" s="104" t="str">
        <f>IF(Table25781014[[#This Row],[Line Section]]="","",VLOOKUP(Table25781014[[#This Row],[Line Section]],Reference!$A$2:$B$47,2,FALSE))</f>
        <v>C152</v>
      </c>
      <c r="F8" s="250">
        <v>43506</v>
      </c>
      <c r="G8" s="250"/>
      <c r="H8" s="69" t="s">
        <v>533</v>
      </c>
      <c r="I8" s="54" t="s">
        <v>94</v>
      </c>
      <c r="J8" s="101">
        <v>6.45</v>
      </c>
      <c r="K8" s="60">
        <v>6.61</v>
      </c>
      <c r="L8" s="102">
        <f>IF(Table25781014[[#This Row],[End
(km)]]="","",Table25781014[[#This Row],[End
(km)]]-Table25781014[[#This Row],[Start
(km)]])</f>
        <v>0.16000000000000014</v>
      </c>
      <c r="M8" s="63" t="s">
        <v>189</v>
      </c>
      <c r="N8" s="99" t="s">
        <v>113</v>
      </c>
      <c r="O8" s="64" t="s">
        <v>111</v>
      </c>
      <c r="P8" s="64">
        <v>43224</v>
      </c>
      <c r="Q8" s="64">
        <v>43472</v>
      </c>
      <c r="R8" s="65" t="s">
        <v>121</v>
      </c>
      <c r="S8" s="55"/>
      <c r="T8" s="66" t="s">
        <v>121</v>
      </c>
      <c r="U8" s="66"/>
      <c r="V8" s="66"/>
      <c r="W8" s="58"/>
      <c r="X8" s="107" t="s">
        <v>408</v>
      </c>
      <c r="Y8" s="405" t="s">
        <v>190</v>
      </c>
      <c r="Z8" s="109" t="s">
        <v>121</v>
      </c>
      <c r="AA8" s="276"/>
      <c r="AB8" s="95">
        <v>6.3</v>
      </c>
      <c r="AC8" s="95">
        <v>6.9</v>
      </c>
      <c r="AD8" s="95">
        <f>IF(Table25781014[[#This Row],[End Completed Section (km)]]="","",Table25781014[[#This Row],[End Completed Section (km)]]-Table25781014[[#This Row],[Start Completed Section (km)]])</f>
        <v>0.60000000000000053</v>
      </c>
      <c r="AE8" s="70">
        <v>43505</v>
      </c>
      <c r="AF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8" s="229" t="str">
        <f>IF(Table25781014[[#This Row],[Planned Date]]="","",TEXT(Table25781014[[#This Row],[Planned Date]],"mmm"))</f>
        <v>Feb</v>
      </c>
      <c r="AH8" s="56">
        <f>IF(Table25781014[[#This Row],[Month]]="","",VLOOKUP(Table25781014[[#This Row],[Month]],List!$B$2:$C$13,2,FALSE))</f>
        <v>8</v>
      </c>
    </row>
    <row r="9" spans="1:34" ht="25.5" x14ac:dyDescent="0.2">
      <c r="A9" s="98" t="s">
        <v>117</v>
      </c>
      <c r="B9" s="462"/>
      <c r="C9" s="68" t="s">
        <v>9</v>
      </c>
      <c r="D9" s="50" t="s">
        <v>141</v>
      </c>
      <c r="E9" s="104" t="str">
        <f>IF(Table25781014[[#This Row],[Line Section]]="","",VLOOKUP(Table25781014[[#This Row],[Line Section]],Reference!$A$2:$B$47,2,FALSE))</f>
        <v>C152</v>
      </c>
      <c r="F9" s="250"/>
      <c r="G9" s="250"/>
      <c r="H9" s="434"/>
      <c r="I9" s="54" t="s">
        <v>93</v>
      </c>
      <c r="J9" s="101">
        <v>6.9</v>
      </c>
      <c r="K9" s="60">
        <v>7.3</v>
      </c>
      <c r="L9" s="102">
        <f>IF(Table25781014[[#This Row],[End
(km)]]="","",Table25781014[[#This Row],[End
(km)]]-Table25781014[[#This Row],[Start
(km)]])</f>
        <v>0.39999999999999947</v>
      </c>
      <c r="M9" s="63" t="s">
        <v>189</v>
      </c>
      <c r="N9" s="99"/>
      <c r="O9" s="64" t="s">
        <v>113</v>
      </c>
      <c r="P9" s="64">
        <v>43663</v>
      </c>
      <c r="Q9" s="464"/>
      <c r="R9" s="65"/>
      <c r="S9" s="55"/>
      <c r="T9" s="66"/>
      <c r="U9" s="418"/>
      <c r="V9" s="418"/>
      <c r="W9" s="58"/>
      <c r="X9" s="107" t="s">
        <v>839</v>
      </c>
      <c r="Y9" s="475"/>
      <c r="Z9" s="109" t="s">
        <v>188</v>
      </c>
      <c r="AA9" s="482"/>
      <c r="AB9" s="95"/>
      <c r="AC9" s="95"/>
      <c r="AD9" s="484" t="str">
        <f>IF(Table25781014[[#This Row],[End Completed Section (km)]]="","",Table25781014[[#This Row],[End Completed Section (km)]]-Table25781014[[#This Row],[Start Completed Section (km)]])</f>
        <v/>
      </c>
      <c r="AE9" s="70"/>
      <c r="AF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9" s="229" t="str">
        <f>IF(Table25781014[[#This Row],[Planned Date]]="","",TEXT(Table25781014[[#This Row],[Planned Date]],"mmm"))</f>
        <v/>
      </c>
      <c r="AH9" s="252" t="str">
        <f>IF(Table25781014[[#This Row],[Month]]="","",VLOOKUP(Table25781014[[#This Row],[Month]],List!$B$2:$C$13,2,FALSE))</f>
        <v/>
      </c>
    </row>
    <row r="10" spans="1:34" ht="25.5" x14ac:dyDescent="0.2">
      <c r="A10" s="98" t="s">
        <v>117</v>
      </c>
      <c r="B10" s="79"/>
      <c r="C10" s="68" t="s">
        <v>9</v>
      </c>
      <c r="D10" s="50" t="s">
        <v>141</v>
      </c>
      <c r="E10" s="104" t="str">
        <f>IF(Table25781014[[#This Row],[Line Section]]="","",VLOOKUP(Table25781014[[#This Row],[Line Section]],Reference!$A$2:$B$47,2,FALSE))</f>
        <v>C152</v>
      </c>
      <c r="F10" s="250"/>
      <c r="G10" s="250"/>
      <c r="H10" s="69"/>
      <c r="I10" s="54" t="s">
        <v>94</v>
      </c>
      <c r="J10" s="101">
        <v>7.4</v>
      </c>
      <c r="K10" s="60">
        <v>7.6</v>
      </c>
      <c r="L10" s="102">
        <f>IF(Table25781014[[#This Row],[End
(km)]]="","",Table25781014[[#This Row],[End
(km)]]-Table25781014[[#This Row],[Start
(km)]])</f>
        <v>0.19999999999999929</v>
      </c>
      <c r="M10" s="63" t="s">
        <v>189</v>
      </c>
      <c r="N10" s="99" t="s">
        <v>113</v>
      </c>
      <c r="O10" s="64" t="s">
        <v>113</v>
      </c>
      <c r="P10" s="64">
        <v>43224</v>
      </c>
      <c r="Q10" s="64">
        <v>43472</v>
      </c>
      <c r="R10" s="65" t="s">
        <v>121</v>
      </c>
      <c r="S10" s="55"/>
      <c r="T10" s="66" t="s">
        <v>121</v>
      </c>
      <c r="U10" s="66"/>
      <c r="V10" s="66"/>
      <c r="W10" s="58" t="s">
        <v>191</v>
      </c>
      <c r="X10" s="107" t="s">
        <v>194</v>
      </c>
      <c r="Y10" s="405" t="s">
        <v>193</v>
      </c>
      <c r="Z10" s="109" t="s">
        <v>122</v>
      </c>
      <c r="AA10" s="276"/>
      <c r="AB10" s="95"/>
      <c r="AC10" s="95"/>
      <c r="AD10" s="95" t="str">
        <f>IF(Table25781014[[#This Row],[End Completed Section (km)]]="","",Table25781014[[#This Row],[End Completed Section (km)]]-Table25781014[[#This Row],[Start Completed Section (km)]])</f>
        <v/>
      </c>
      <c r="AE10" s="70"/>
      <c r="AF1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0" s="229" t="str">
        <f>IF(Table25781014[[#This Row],[Planned Date]]="","",TEXT(Table25781014[[#This Row],[Planned Date]],"mmm"))</f>
        <v/>
      </c>
      <c r="AH10" s="56" t="str">
        <f>IF(Table25781014[[#This Row],[Month]]="","",VLOOKUP(Table25781014[[#This Row],[Month]],List!$B$2:$C$13,2,FALSE))</f>
        <v/>
      </c>
    </row>
    <row r="11" spans="1:34" s="56" customFormat="1" ht="25.5" x14ac:dyDescent="0.2">
      <c r="A11" s="67" t="s">
        <v>116</v>
      </c>
      <c r="B11" s="305"/>
      <c r="C11" s="68" t="s">
        <v>9</v>
      </c>
      <c r="D11" s="50" t="s">
        <v>141</v>
      </c>
      <c r="E11" s="100" t="str">
        <f>IF(Table25781014[[#This Row],[Line Section]]="","",VLOOKUP(Table25781014[[#This Row],[Line Section]],Reference!$A$2:$B$47,2,FALSE))</f>
        <v>C152</v>
      </c>
      <c r="F11" s="157"/>
      <c r="G11" s="440"/>
      <c r="H11" s="306"/>
      <c r="I11" s="54" t="s">
        <v>94</v>
      </c>
      <c r="J11" s="101">
        <v>8.3000000000000007</v>
      </c>
      <c r="K11" s="60">
        <v>8.6</v>
      </c>
      <c r="L11" s="102">
        <f>IF(Table25781014[[#This Row],[End
(km)]]="","",Table25781014[[#This Row],[End
(km)]]-Table25781014[[#This Row],[Start
(km)]])</f>
        <v>0.29999999999999893</v>
      </c>
      <c r="M11" s="61" t="s">
        <v>189</v>
      </c>
      <c r="N11" s="99"/>
      <c r="O11" s="71" t="s">
        <v>113</v>
      </c>
      <c r="P11" s="64">
        <v>43472</v>
      </c>
      <c r="Q11" s="307"/>
      <c r="R11" s="57"/>
      <c r="S11" s="55"/>
      <c r="T11" s="66"/>
      <c r="U11" s="308"/>
      <c r="V11" s="309"/>
      <c r="W11" s="67"/>
      <c r="X11" s="107" t="s">
        <v>640</v>
      </c>
      <c r="Y11" s="435" t="s">
        <v>613</v>
      </c>
      <c r="Z11" s="103" t="s">
        <v>139</v>
      </c>
      <c r="AA11" s="320"/>
      <c r="AB11" s="96"/>
      <c r="AC11" s="96"/>
      <c r="AD11" s="310" t="str">
        <f>IF(Table25781014[[#This Row],[End Completed Section (km)]]="","",Table25781014[[#This Row],[End Completed Section (km)]]-Table25781014[[#This Row],[Start Completed Section (km)]])</f>
        <v/>
      </c>
      <c r="AE11" s="72"/>
      <c r="AF1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1" s="229" t="str">
        <f>IF(Table25781014[[#This Row],[Planned Date]]="","",TEXT(Table25781014[[#This Row],[Planned Date]],"mmm"))</f>
        <v/>
      </c>
      <c r="AH11" s="252" t="str">
        <f>IF(Table25781014[[#This Row],[Month]]="","",VLOOKUP(Table25781014[[#This Row],[Month]],List!$B$2:$C$13,2,FALSE))</f>
        <v/>
      </c>
    </row>
    <row r="12" spans="1:34" ht="25.5" x14ac:dyDescent="0.2">
      <c r="A12" s="98" t="s">
        <v>118</v>
      </c>
      <c r="B12" s="338"/>
      <c r="C12" s="68" t="s">
        <v>9</v>
      </c>
      <c r="D12" s="50" t="s">
        <v>141</v>
      </c>
      <c r="E12" s="104" t="str">
        <f>IF(Table25781014[[#This Row],[Line Section]]="","",VLOOKUP(Table25781014[[#This Row],[Line Section]],Reference!$A$2:$B$47,2,FALSE))</f>
        <v>C152</v>
      </c>
      <c r="F12" s="250"/>
      <c r="G12" s="250"/>
      <c r="H12" s="311"/>
      <c r="I12" s="54" t="s">
        <v>93</v>
      </c>
      <c r="J12" s="101">
        <v>8.3000000000000007</v>
      </c>
      <c r="K12" s="60">
        <v>8.5</v>
      </c>
      <c r="L12" s="102">
        <f>IF(Table25781014[[#This Row],[End
(km)]]="","",Table25781014[[#This Row],[End
(km)]]-Table25781014[[#This Row],[Start
(km)]])</f>
        <v>0.19999999999999929</v>
      </c>
      <c r="M12" s="63" t="s">
        <v>189</v>
      </c>
      <c r="N12" s="99"/>
      <c r="O12" s="64" t="s">
        <v>113</v>
      </c>
      <c r="P12" s="64">
        <v>43472</v>
      </c>
      <c r="Q12" s="335"/>
      <c r="R12" s="65"/>
      <c r="S12" s="55"/>
      <c r="T12" s="66"/>
      <c r="U12" s="308"/>
      <c r="V12" s="308"/>
      <c r="W12" s="58"/>
      <c r="X12" s="77"/>
      <c r="Y12" s="476" t="s">
        <v>619</v>
      </c>
      <c r="Z12" s="109"/>
      <c r="AA12" s="390"/>
      <c r="AB12" s="95"/>
      <c r="AC12" s="95"/>
      <c r="AD12" s="337" t="str">
        <f>IF(Table25781014[[#This Row],[End Completed Section (km)]]="","",Table25781014[[#This Row],[End Completed Section (km)]]-Table25781014[[#This Row],[Start Completed Section (km)]])</f>
        <v/>
      </c>
      <c r="AE12" s="70"/>
      <c r="AF1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2" s="229" t="str">
        <f>IF(Table25781014[[#This Row],[Planned Date]]="","",TEXT(Table25781014[[#This Row],[Planned Date]],"mmm"))</f>
        <v/>
      </c>
      <c r="AH12" s="252" t="str">
        <f>IF(Table25781014[[#This Row],[Month]]="","",VLOOKUP(Table25781014[[#This Row],[Month]],List!$B$2:$C$13,2,FALSE))</f>
        <v/>
      </c>
    </row>
    <row r="13" spans="1:34" x14ac:dyDescent="0.2">
      <c r="A13" s="67" t="s">
        <v>117</v>
      </c>
      <c r="B13" s="409"/>
      <c r="C13" s="68" t="s">
        <v>9</v>
      </c>
      <c r="D13" s="50" t="s">
        <v>141</v>
      </c>
      <c r="E13" s="104" t="str">
        <f>IF(Table25781014[[#This Row],[Line Section]]="","",VLOOKUP(Table25781014[[#This Row],[Line Section]],Reference!$A$2:$B$47,2,FALSE))</f>
        <v>C152</v>
      </c>
      <c r="F13" s="250"/>
      <c r="G13" s="250"/>
      <c r="H13" s="377"/>
      <c r="I13" s="54" t="s">
        <v>94</v>
      </c>
      <c r="J13" s="101">
        <v>8.32</v>
      </c>
      <c r="K13" s="60">
        <v>8.3379999999999992</v>
      </c>
      <c r="L13" s="102">
        <f>IF(Table25781014[[#This Row],[End
(km)]]="","",Table25781014[[#This Row],[End
(km)]]-Table25781014[[#This Row],[Start
(km)]])</f>
        <v>1.7999999999998906E-2</v>
      </c>
      <c r="M13" s="63"/>
      <c r="N13" s="99"/>
      <c r="O13" s="64"/>
      <c r="P13" s="64">
        <v>43467</v>
      </c>
      <c r="Q13" s="410"/>
      <c r="R13" s="65"/>
      <c r="S13" s="55"/>
      <c r="T13" s="66"/>
      <c r="U13" s="294"/>
      <c r="V13" s="294"/>
      <c r="W13" s="58"/>
      <c r="X13" s="58" t="s">
        <v>591</v>
      </c>
      <c r="Y13" s="469"/>
      <c r="Z13" s="109" t="s">
        <v>121</v>
      </c>
      <c r="AA13" s="481"/>
      <c r="AB13" s="95">
        <v>8.32</v>
      </c>
      <c r="AC13" s="95">
        <v>8.3379999999999992</v>
      </c>
      <c r="AD13" s="483">
        <f>IF(Table25781014[[#This Row],[End Completed Section (km)]]="","",Table25781014[[#This Row],[End Completed Section (km)]]-Table25781014[[#This Row],[Start Completed Section (km)]])</f>
        <v>1.7999999999998906E-2</v>
      </c>
      <c r="AE13" s="70">
        <v>43464</v>
      </c>
      <c r="AF1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13" s="229" t="str">
        <f>IF(Table25781014[[#This Row],[Planned Date]]="","",TEXT(Table25781014[[#This Row],[Planned Date]],"mmm"))</f>
        <v/>
      </c>
      <c r="AH13" s="252" t="str">
        <f>IF(Table25781014[[#This Row],[Month]]="","",VLOOKUP(Table25781014[[#This Row],[Month]],List!$B$2:$C$13,2,FALSE))</f>
        <v/>
      </c>
    </row>
    <row r="14" spans="1:34" ht="38.25" x14ac:dyDescent="0.2">
      <c r="A14" s="67" t="s">
        <v>116</v>
      </c>
      <c r="B14" s="79">
        <v>4</v>
      </c>
      <c r="C14" s="68" t="s">
        <v>9</v>
      </c>
      <c r="D14" s="50" t="s">
        <v>141</v>
      </c>
      <c r="E14" s="104" t="str">
        <f>IF(Table25781014[[#This Row],[Line Section]]="","",VLOOKUP(Table25781014[[#This Row],[Line Section]],Reference!$A$2:$B$47,2,FALSE))</f>
        <v>C152</v>
      </c>
      <c r="F14" s="250">
        <v>43996</v>
      </c>
      <c r="G14" s="250" t="s">
        <v>430</v>
      </c>
      <c r="H14" s="69" t="s">
        <v>533</v>
      </c>
      <c r="I14" s="54" t="s">
        <v>94</v>
      </c>
      <c r="J14" s="101">
        <v>8.76</v>
      </c>
      <c r="K14" s="60">
        <v>9</v>
      </c>
      <c r="L14" s="102">
        <f>IF(Table25781014[[#This Row],[End
(km)]]="","",Table25781014[[#This Row],[End
(km)]]-Table25781014[[#This Row],[Start
(km)]])</f>
        <v>0.24000000000000021</v>
      </c>
      <c r="M14" s="63" t="s">
        <v>189</v>
      </c>
      <c r="N14" s="99" t="s">
        <v>112</v>
      </c>
      <c r="O14" s="64" t="s">
        <v>113</v>
      </c>
      <c r="P14" s="64">
        <v>43224</v>
      </c>
      <c r="Q14" s="64">
        <v>43472</v>
      </c>
      <c r="R14" s="65" t="s">
        <v>121</v>
      </c>
      <c r="S14" s="55" t="s">
        <v>121</v>
      </c>
      <c r="T14" s="66" t="s">
        <v>122</v>
      </c>
      <c r="U14" s="66"/>
      <c r="V14" s="66"/>
      <c r="W14" s="58"/>
      <c r="X14" s="180" t="s">
        <v>834</v>
      </c>
      <c r="Y14" s="405" t="s">
        <v>192</v>
      </c>
      <c r="Z14" s="109" t="s">
        <v>122</v>
      </c>
      <c r="AA14" s="276"/>
      <c r="AB14" s="95"/>
      <c r="AC14" s="95"/>
      <c r="AD14" s="95" t="str">
        <f>IF(Table25781014[[#This Row],[End Completed Section (km)]]="","",Table25781014[[#This Row],[End Completed Section (km)]]-Table25781014[[#This Row],[Start Completed Section (km)]])</f>
        <v/>
      </c>
      <c r="AE14" s="70"/>
      <c r="AF1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14" s="229" t="str">
        <f>IF(Table25781014[[#This Row],[Planned Date]]="","",TEXT(Table25781014[[#This Row],[Planned Date]],"mmm"))</f>
        <v>Jun</v>
      </c>
      <c r="AH14" s="56">
        <f>IF(Table25781014[[#This Row],[Month]]="","",VLOOKUP(Table25781014[[#This Row],[Month]],List!$B$2:$C$13,2,FALSE))</f>
        <v>12</v>
      </c>
    </row>
    <row r="15" spans="1:34" ht="25.5" x14ac:dyDescent="0.2">
      <c r="A15" s="67" t="s">
        <v>117</v>
      </c>
      <c r="B15" s="160">
        <v>9</v>
      </c>
      <c r="C15" s="67" t="s">
        <v>9</v>
      </c>
      <c r="D15" s="59" t="s">
        <v>141</v>
      </c>
      <c r="E15" s="104" t="str">
        <f>IF(Table25781014[[#This Row],[Line Section]]="","",VLOOKUP(Table25781014[[#This Row],[Line Section]],Reference!$A$2:$B$47,2,FALSE))</f>
        <v>C152</v>
      </c>
      <c r="F15" s="250">
        <v>44367</v>
      </c>
      <c r="G15" s="250" t="s">
        <v>430</v>
      </c>
      <c r="H15" s="69" t="s">
        <v>533</v>
      </c>
      <c r="I15" s="54" t="s">
        <v>93</v>
      </c>
      <c r="J15" s="60">
        <v>8.76</v>
      </c>
      <c r="K15" s="60">
        <v>9</v>
      </c>
      <c r="L15" s="53">
        <f>IF(Table25781014[[#This Row],[End
(km)]]="","",Table25781014[[#This Row],[End
(km)]]-Table25781014[[#This Row],[Start
(km)]])</f>
        <v>0.24000000000000021</v>
      </c>
      <c r="M15" s="61" t="s">
        <v>179</v>
      </c>
      <c r="N15" s="59" t="s">
        <v>113</v>
      </c>
      <c r="O15" s="272" t="s">
        <v>113</v>
      </c>
      <c r="P15" s="64">
        <v>43238</v>
      </c>
      <c r="Q15" s="378">
        <v>43472</v>
      </c>
      <c r="R15" s="65" t="s">
        <v>121</v>
      </c>
      <c r="S15" s="55"/>
      <c r="T15" s="66"/>
      <c r="U15" s="154"/>
      <c r="V15" s="154"/>
      <c r="W15" s="58"/>
      <c r="X15" s="77" t="s">
        <v>620</v>
      </c>
      <c r="Y15" s="275" t="s">
        <v>621</v>
      </c>
      <c r="Z15" s="55" t="s">
        <v>122</v>
      </c>
      <c r="AA15" s="480"/>
      <c r="AB15" s="95"/>
      <c r="AC15" s="95"/>
      <c r="AD15" s="95" t="str">
        <f>IF(Table25781014[[#This Row],[End Completed Section (km)]]="","",Table25781014[[#This Row],[End Completed Section (km)]]-Table25781014[[#This Row],[Start Completed Section (km)]])</f>
        <v/>
      </c>
      <c r="AE15" s="70"/>
      <c r="AF1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15" s="229" t="str">
        <f>IF(Table25781014[[#This Row],[Planned Date]]="","",TEXT(Table25781014[[#This Row],[Planned Date]],"mmm"))</f>
        <v>Jun</v>
      </c>
      <c r="AH15" s="56">
        <f>IF(Table25781014[[#This Row],[Month]]="","",VLOOKUP(Table25781014[[#This Row],[Month]],List!$B$2:$C$13,2,FALSE))</f>
        <v>12</v>
      </c>
    </row>
    <row r="16" spans="1:34" ht="25.5" x14ac:dyDescent="0.2">
      <c r="A16" s="67" t="s">
        <v>116</v>
      </c>
      <c r="B16" s="160"/>
      <c r="C16" s="67" t="s">
        <v>9</v>
      </c>
      <c r="D16" s="59" t="s">
        <v>141</v>
      </c>
      <c r="E16" s="104" t="str">
        <f>IF(Table25781014[[#This Row],[Line Section]]="","",VLOOKUP(Table25781014[[#This Row],[Line Section]],Reference!$A$2:$B$47,2,FALSE))</f>
        <v>C152</v>
      </c>
      <c r="F16" s="250"/>
      <c r="G16" s="250"/>
      <c r="H16" s="69"/>
      <c r="I16" s="54" t="s">
        <v>93</v>
      </c>
      <c r="J16" s="60">
        <v>9.11</v>
      </c>
      <c r="K16" s="60">
        <v>9.15</v>
      </c>
      <c r="L16" s="53">
        <f>IF(Table25781014[[#This Row],[End
(km)]]="","",Table25781014[[#This Row],[End
(km)]]-Table25781014[[#This Row],[Start
(km)]])</f>
        <v>4.0000000000000924E-2</v>
      </c>
      <c r="M16" s="61" t="s">
        <v>129</v>
      </c>
      <c r="N16" s="59" t="s">
        <v>113</v>
      </c>
      <c r="O16" s="59" t="s">
        <v>113</v>
      </c>
      <c r="P16" s="64">
        <v>43238</v>
      </c>
      <c r="Q16" s="378">
        <v>43472</v>
      </c>
      <c r="R16" s="65" t="s">
        <v>121</v>
      </c>
      <c r="S16" s="55"/>
      <c r="T16" s="66"/>
      <c r="U16" s="154"/>
      <c r="V16" s="154"/>
      <c r="W16" s="58"/>
      <c r="X16" s="77" t="s">
        <v>622</v>
      </c>
      <c r="Y16" s="403"/>
      <c r="Z16" s="55" t="s">
        <v>122</v>
      </c>
      <c r="AA16" s="480"/>
      <c r="AB16" s="95"/>
      <c r="AC16" s="95"/>
      <c r="AD16" s="95" t="str">
        <f>IF(Table25781014[[#This Row],[End Completed Section (km)]]="","",Table25781014[[#This Row],[End Completed Section (km)]]-Table25781014[[#This Row],[Start Completed Section (km)]])</f>
        <v/>
      </c>
      <c r="AE16" s="70"/>
      <c r="AF1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6" s="229" t="str">
        <f>IF(Table25781014[[#This Row],[Planned Date]]="","",TEXT(Table25781014[[#This Row],[Planned Date]],"mmm"))</f>
        <v/>
      </c>
      <c r="AH16" s="56" t="str">
        <f>IF(Table25781014[[#This Row],[Month]]="","",VLOOKUP(Table25781014[[#This Row],[Month]],List!$B$2:$C$13,2,FALSE))</f>
        <v/>
      </c>
    </row>
    <row r="17" spans="1:34" ht="25.5" x14ac:dyDescent="0.2">
      <c r="A17" s="67" t="s">
        <v>117</v>
      </c>
      <c r="B17" s="305">
        <v>8</v>
      </c>
      <c r="C17" s="67" t="s">
        <v>9</v>
      </c>
      <c r="D17" s="59" t="s">
        <v>141</v>
      </c>
      <c r="E17" s="104" t="str">
        <f>IF(Table25781014[[#This Row],[Line Section]]="","",VLOOKUP(Table25781014[[#This Row],[Line Section]],Reference!$A$2:$B$47,2,FALSE))</f>
        <v>C152</v>
      </c>
      <c r="F17" s="250">
        <v>43996</v>
      </c>
      <c r="G17" s="250"/>
      <c r="H17" s="69" t="s">
        <v>533</v>
      </c>
      <c r="I17" s="54" t="s">
        <v>94</v>
      </c>
      <c r="J17" s="60">
        <v>9.4</v>
      </c>
      <c r="K17" s="60">
        <v>9.86</v>
      </c>
      <c r="L17" s="53">
        <f>IF(Table25781014[[#This Row],[End
(km)]]="","",Table25781014[[#This Row],[End
(km)]]-Table25781014[[#This Row],[Start
(km)]])</f>
        <v>0.45999999999999908</v>
      </c>
      <c r="M17" s="61" t="s">
        <v>189</v>
      </c>
      <c r="N17" s="59"/>
      <c r="O17" s="272" t="s">
        <v>113</v>
      </c>
      <c r="P17" s="64">
        <v>43472</v>
      </c>
      <c r="Q17" s="335">
        <v>43475</v>
      </c>
      <c r="R17" s="65" t="s">
        <v>121</v>
      </c>
      <c r="S17" s="55"/>
      <c r="T17" s="66"/>
      <c r="U17" s="308"/>
      <c r="V17" s="308"/>
      <c r="W17" s="58" t="s">
        <v>602</v>
      </c>
      <c r="X17" s="77" t="s">
        <v>614</v>
      </c>
      <c r="Y17" s="476" t="s">
        <v>615</v>
      </c>
      <c r="Z17" s="55"/>
      <c r="AA17" s="336"/>
      <c r="AB17" s="95"/>
      <c r="AC17" s="95"/>
      <c r="AD17" s="337" t="str">
        <f>IF(Table25781014[[#This Row],[End Completed Section (km)]]="","",Table25781014[[#This Row],[End Completed Section (km)]]-Table25781014[[#This Row],[Start Completed Section (km)]])</f>
        <v/>
      </c>
      <c r="AE17" s="72"/>
      <c r="AF1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17" s="229" t="str">
        <f>IF(Table25781014[[#This Row],[Planned Date]]="","",TEXT(Table25781014[[#This Row],[Planned Date]],"mmm"))</f>
        <v>Jun</v>
      </c>
      <c r="AH17" s="252">
        <f>IF(Table25781014[[#This Row],[Month]]="","",VLOOKUP(Table25781014[[#This Row],[Month]],List!$B$2:$C$13,2,FALSE))</f>
        <v>12</v>
      </c>
    </row>
    <row r="18" spans="1:34" ht="25.5" x14ac:dyDescent="0.2">
      <c r="A18" s="67"/>
      <c r="B18" s="291"/>
      <c r="C18" s="67" t="s">
        <v>9</v>
      </c>
      <c r="D18" s="59" t="s">
        <v>141</v>
      </c>
      <c r="E18" s="104" t="str">
        <f>IF(Table25781014[[#This Row],[Line Section]]="","",VLOOKUP(Table25781014[[#This Row],[Line Section]],Reference!$A$2:$B$47,2,FALSE))</f>
        <v>C152</v>
      </c>
      <c r="F18" s="250"/>
      <c r="G18" s="250"/>
      <c r="H18" s="288"/>
      <c r="I18" s="54" t="s">
        <v>94</v>
      </c>
      <c r="J18" s="60">
        <v>9.8000000000000007</v>
      </c>
      <c r="K18" s="60">
        <v>9.8350000000000009</v>
      </c>
      <c r="L18" s="53">
        <f>IF(Table25781014[[#This Row],[End
(km)]]="","",Table25781014[[#This Row],[End
(km)]]-Table25781014[[#This Row],[Start
(km)]])</f>
        <v>3.5000000000000142E-2</v>
      </c>
      <c r="M18" s="61" t="s">
        <v>129</v>
      </c>
      <c r="N18" s="59"/>
      <c r="O18" s="272"/>
      <c r="P18" s="64">
        <v>43439</v>
      </c>
      <c r="Q18" s="383"/>
      <c r="R18" s="65"/>
      <c r="S18" s="55"/>
      <c r="T18" s="66"/>
      <c r="U18" s="286"/>
      <c r="V18" s="286"/>
      <c r="W18" s="58"/>
      <c r="X18" s="77" t="s">
        <v>585</v>
      </c>
      <c r="Y18" s="474"/>
      <c r="Z18" s="55" t="s">
        <v>121</v>
      </c>
      <c r="AA18" s="414"/>
      <c r="AB18" s="95">
        <v>9.8000000000000007</v>
      </c>
      <c r="AC18" s="95">
        <v>9.83</v>
      </c>
      <c r="AD18" s="394">
        <f>IF(Table25781014[[#This Row],[End Completed Section (km)]]="","",Table25781014[[#This Row],[End Completed Section (km)]]-Table25781014[[#This Row],[Start Completed Section (km)]])</f>
        <v>2.9999999999999361E-2</v>
      </c>
      <c r="AE18" s="70">
        <v>43433</v>
      </c>
      <c r="AF1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18" s="229" t="str">
        <f>IF(Table25781014[[#This Row],[Planned Date]]="","",TEXT(Table25781014[[#This Row],[Planned Date]],"mmm"))</f>
        <v/>
      </c>
      <c r="AH18" s="252" t="str">
        <f>IF(Table25781014[[#This Row],[Month]]="","",VLOOKUP(Table25781014[[#This Row],[Month]],List!$B$2:$C$13,2,FALSE))</f>
        <v/>
      </c>
    </row>
    <row r="19" spans="1:34" ht="25.5" x14ac:dyDescent="0.2">
      <c r="A19" s="67" t="s">
        <v>118</v>
      </c>
      <c r="B19" s="80"/>
      <c r="C19" s="67" t="s">
        <v>9</v>
      </c>
      <c r="D19" s="59" t="s">
        <v>142</v>
      </c>
      <c r="E19" s="104" t="str">
        <f>IF(Table25781014[[#This Row],[Line Section]]="","",VLOOKUP(Table25781014[[#This Row],[Line Section]],Reference!$A$2:$B$47,2,FALSE))</f>
        <v>C152</v>
      </c>
      <c r="F19" s="250"/>
      <c r="G19" s="250"/>
      <c r="H19" s="42"/>
      <c r="I19" s="54" t="s">
        <v>93</v>
      </c>
      <c r="J19" s="60">
        <v>10.45</v>
      </c>
      <c r="K19" s="60">
        <v>10.7</v>
      </c>
      <c r="L19" s="53">
        <f>IF(Table25781014[[#This Row],[End
(km)]]="","",Table25781014[[#This Row],[End
(km)]]-Table25781014[[#This Row],[Start
(km)]])</f>
        <v>0.25</v>
      </c>
      <c r="M19" s="61" t="s">
        <v>189</v>
      </c>
      <c r="N19" s="59" t="s">
        <v>113</v>
      </c>
      <c r="O19" s="272" t="s">
        <v>113</v>
      </c>
      <c r="P19" s="64">
        <v>43230</v>
      </c>
      <c r="Q19" s="64">
        <v>43472</v>
      </c>
      <c r="R19" s="65"/>
      <c r="S19" s="55"/>
      <c r="T19" s="66" t="s">
        <v>122</v>
      </c>
      <c r="U19" s="66"/>
      <c r="V19" s="268"/>
      <c r="W19" s="67"/>
      <c r="X19" s="77"/>
      <c r="Y19" s="275" t="s">
        <v>263</v>
      </c>
      <c r="Z19" s="65" t="s">
        <v>122</v>
      </c>
      <c r="AA19" s="277"/>
      <c r="AB19" s="95"/>
      <c r="AC19" s="95"/>
      <c r="AD19" s="95" t="str">
        <f>IF(Table25781014[[#This Row],[End Completed Section (km)]]="","",Table25781014[[#This Row],[End Completed Section (km)]]-Table25781014[[#This Row],[Start Completed Section (km)]])</f>
        <v/>
      </c>
      <c r="AE19" s="70"/>
      <c r="AF1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9" s="229" t="str">
        <f>IF(Table25781014[[#This Row],[Planned Date]]="","",TEXT(Table25781014[[#This Row],[Planned Date]],"mmm"))</f>
        <v/>
      </c>
      <c r="AH19" s="56" t="str">
        <f>IF(Table25781014[[#This Row],[Month]]="","",VLOOKUP(Table25781014[[#This Row],[Month]],List!$B$2:$C$13,2,FALSE))</f>
        <v/>
      </c>
    </row>
    <row r="20" spans="1:34" ht="25.5" x14ac:dyDescent="0.2">
      <c r="A20" s="67" t="s">
        <v>117</v>
      </c>
      <c r="B20" s="80"/>
      <c r="C20" s="67" t="s">
        <v>9</v>
      </c>
      <c r="D20" s="59" t="s">
        <v>142</v>
      </c>
      <c r="E20" s="104" t="str">
        <f>IF(Table25781014[[#This Row],[Line Section]]="","",VLOOKUP(Table25781014[[#This Row],[Line Section]],Reference!$A$2:$B$47,2,FALSE))</f>
        <v>C152</v>
      </c>
      <c r="F20" s="250"/>
      <c r="G20" s="250"/>
      <c r="H20" s="104"/>
      <c r="I20" s="54" t="s">
        <v>94</v>
      </c>
      <c r="J20" s="60">
        <v>10.8</v>
      </c>
      <c r="K20" s="60">
        <v>10.91</v>
      </c>
      <c r="L20" s="53">
        <f>IF(Table25781014[[#This Row],[End
(km)]]="","",Table25781014[[#This Row],[End
(km)]]-Table25781014[[#This Row],[Start
(km)]])</f>
        <v>0.10999999999999943</v>
      </c>
      <c r="M20" s="61" t="s">
        <v>189</v>
      </c>
      <c r="N20" s="59" t="s">
        <v>113</v>
      </c>
      <c r="O20" s="272" t="s">
        <v>113</v>
      </c>
      <c r="P20" s="64">
        <v>43230</v>
      </c>
      <c r="Q20" s="64">
        <v>43472</v>
      </c>
      <c r="R20" s="65"/>
      <c r="S20" s="55"/>
      <c r="T20" s="66" t="s">
        <v>122</v>
      </c>
      <c r="U20" s="66"/>
      <c r="V20" s="66"/>
      <c r="W20" s="58"/>
      <c r="X20" s="77" t="s">
        <v>298</v>
      </c>
      <c r="Y20" s="412" t="s">
        <v>274</v>
      </c>
      <c r="Z20" s="65" t="s">
        <v>122</v>
      </c>
      <c r="AA20" s="277"/>
      <c r="AB20" s="95"/>
      <c r="AC20" s="95"/>
      <c r="AD20" s="95" t="str">
        <f>IF(Table25781014[[#This Row],[End Completed Section (km)]]="","",Table25781014[[#This Row],[End Completed Section (km)]]-Table25781014[[#This Row],[Start Completed Section (km)]])</f>
        <v/>
      </c>
      <c r="AE20" s="70"/>
      <c r="AF2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0" s="229" t="str">
        <f>IF(Table25781014[[#This Row],[Planned Date]]="","",TEXT(Table25781014[[#This Row],[Planned Date]],"mmm"))</f>
        <v/>
      </c>
      <c r="AH20" s="56" t="str">
        <f>IF(Table25781014[[#This Row],[Month]]="","",VLOOKUP(Table25781014[[#This Row],[Month]],List!$B$2:$C$13,2,FALSE))</f>
        <v/>
      </c>
    </row>
    <row r="21" spans="1:34" ht="25.5" x14ac:dyDescent="0.2">
      <c r="A21" s="67" t="s">
        <v>116</v>
      </c>
      <c r="B21" s="80"/>
      <c r="C21" s="67" t="s">
        <v>9</v>
      </c>
      <c r="D21" s="59" t="s">
        <v>142</v>
      </c>
      <c r="E21" s="104" t="str">
        <f>IF(Table25781014[[#This Row],[Line Section]]="","",VLOOKUP(Table25781014[[#This Row],[Line Section]],Reference!$A$2:$B$47,2,FALSE))</f>
        <v>C152</v>
      </c>
      <c r="F21" s="250"/>
      <c r="G21" s="250"/>
      <c r="H21" s="42"/>
      <c r="I21" s="54" t="s">
        <v>93</v>
      </c>
      <c r="J21" s="60">
        <v>10.85</v>
      </c>
      <c r="K21" s="60">
        <v>10.91</v>
      </c>
      <c r="L21" s="53">
        <f>IF(Table25781014[[#This Row],[End
(km)]]="","",Table25781014[[#This Row],[End
(km)]]-Table25781014[[#This Row],[Start
(km)]])</f>
        <v>6.0000000000000497E-2</v>
      </c>
      <c r="M21" s="61" t="s">
        <v>189</v>
      </c>
      <c r="N21" s="59" t="s">
        <v>113</v>
      </c>
      <c r="O21" s="272"/>
      <c r="P21" s="64">
        <v>43230</v>
      </c>
      <c r="Q21" s="64">
        <v>43250</v>
      </c>
      <c r="R21" s="65"/>
      <c r="S21" s="55"/>
      <c r="T21" s="66" t="s">
        <v>122</v>
      </c>
      <c r="U21" s="66"/>
      <c r="V21" s="66"/>
      <c r="W21" s="58"/>
      <c r="X21" s="155" t="s">
        <v>577</v>
      </c>
      <c r="Y21" s="275" t="s">
        <v>264</v>
      </c>
      <c r="Z21" s="65" t="s">
        <v>139</v>
      </c>
      <c r="AA21" s="277"/>
      <c r="AB21" s="95"/>
      <c r="AC21" s="95"/>
      <c r="AD21" s="95" t="str">
        <f>IF(Table25781014[[#This Row],[End Completed Section (km)]]="","",Table25781014[[#This Row],[End Completed Section (km)]]-Table25781014[[#This Row],[Start Completed Section (km)]])</f>
        <v/>
      </c>
      <c r="AE21" s="70"/>
      <c r="AF2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1" s="229" t="str">
        <f>IF(Table25781014[[#This Row],[Planned Date]]="","",TEXT(Table25781014[[#This Row],[Planned Date]],"mmm"))</f>
        <v/>
      </c>
      <c r="AH21" s="56" t="str">
        <f>IF(Table25781014[[#This Row],[Month]]="","",VLOOKUP(Table25781014[[#This Row],[Month]],List!$B$2:$C$13,2,FALSE))</f>
        <v/>
      </c>
    </row>
    <row r="22" spans="1:34" ht="51" x14ac:dyDescent="0.2">
      <c r="A22" s="67" t="s">
        <v>116</v>
      </c>
      <c r="B22" s="80"/>
      <c r="C22" s="67" t="s">
        <v>9</v>
      </c>
      <c r="D22" s="59" t="s">
        <v>142</v>
      </c>
      <c r="E22" s="104" t="str">
        <f>IF(Table25781014[[#This Row],[Line Section]]="","",VLOOKUP(Table25781014[[#This Row],[Line Section]],Reference!$A$2:$B$47,2,FALSE))</f>
        <v>C152</v>
      </c>
      <c r="F22" s="250"/>
      <c r="G22" s="250"/>
      <c r="H22" s="69"/>
      <c r="I22" s="54" t="s">
        <v>94</v>
      </c>
      <c r="J22" s="60">
        <v>12.2</v>
      </c>
      <c r="K22" s="60">
        <v>12.5</v>
      </c>
      <c r="L22" s="53">
        <f>IF(Table25781014[[#This Row],[End
(km)]]="","",Table25781014[[#This Row],[End
(km)]]-Table25781014[[#This Row],[Start
(km)]])</f>
        <v>0.30000000000000071</v>
      </c>
      <c r="M22" s="61" t="s">
        <v>279</v>
      </c>
      <c r="N22" s="59" t="s">
        <v>113</v>
      </c>
      <c r="O22" s="272"/>
      <c r="P22" s="64">
        <v>43230</v>
      </c>
      <c r="Q22" s="64"/>
      <c r="R22" s="65"/>
      <c r="S22" s="55" t="s">
        <v>121</v>
      </c>
      <c r="T22" s="66" t="s">
        <v>121</v>
      </c>
      <c r="U22" s="66"/>
      <c r="V22" s="66"/>
      <c r="W22" s="58" t="s">
        <v>281</v>
      </c>
      <c r="X22" s="77" t="s">
        <v>305</v>
      </c>
      <c r="Y22" s="275" t="s">
        <v>280</v>
      </c>
      <c r="Z22" s="65" t="s">
        <v>139</v>
      </c>
      <c r="AA22" s="277"/>
      <c r="AB22" s="95"/>
      <c r="AC22" s="95"/>
      <c r="AD22" s="95" t="str">
        <f>IF(Table25781014[[#This Row],[End Completed Section (km)]]="","",Table25781014[[#This Row],[End Completed Section (km)]]-Table25781014[[#This Row],[Start Completed Section (km)]])</f>
        <v/>
      </c>
      <c r="AE22" s="70"/>
      <c r="AF2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2" s="229" t="str">
        <f>IF(Table25781014[[#This Row],[Planned Date]]="","",TEXT(Table25781014[[#This Row],[Planned Date]],"mmm"))</f>
        <v/>
      </c>
      <c r="AH22" s="56" t="str">
        <f>IF(Table25781014[[#This Row],[Month]]="","",VLOOKUP(Table25781014[[#This Row],[Month]],List!$B$2:$C$13,2,FALSE))</f>
        <v/>
      </c>
    </row>
    <row r="23" spans="1:34" ht="76.5" x14ac:dyDescent="0.2">
      <c r="A23" s="67" t="s">
        <v>116</v>
      </c>
      <c r="B23" s="80"/>
      <c r="C23" s="67" t="s">
        <v>9</v>
      </c>
      <c r="D23" s="59" t="s">
        <v>142</v>
      </c>
      <c r="E23" s="104" t="str">
        <f>IF(Table25781014[[#This Row],[Line Section]]="","",VLOOKUP(Table25781014[[#This Row],[Line Section]],Reference!$A$2:$B$47,2,FALSE))</f>
        <v>C152</v>
      </c>
      <c r="F23" s="250"/>
      <c r="G23" s="250"/>
      <c r="H23" s="69"/>
      <c r="I23" s="54" t="s">
        <v>94</v>
      </c>
      <c r="J23" s="60">
        <v>12.78</v>
      </c>
      <c r="K23" s="60">
        <v>13.2</v>
      </c>
      <c r="L23" s="53">
        <f>IF(Table25781014[[#This Row],[End
(km)]]="","",Table25781014[[#This Row],[End
(km)]]-Table25781014[[#This Row],[Start
(km)]])</f>
        <v>0.41999999999999993</v>
      </c>
      <c r="M23" s="61" t="s">
        <v>126</v>
      </c>
      <c r="N23" s="59" t="s">
        <v>113</v>
      </c>
      <c r="O23" s="272" t="s">
        <v>113</v>
      </c>
      <c r="P23" s="64">
        <v>43230</v>
      </c>
      <c r="Q23" s="64">
        <v>43472</v>
      </c>
      <c r="R23" s="65"/>
      <c r="S23" s="55" t="s">
        <v>121</v>
      </c>
      <c r="T23" s="66" t="s">
        <v>122</v>
      </c>
      <c r="U23" s="66"/>
      <c r="V23" s="66"/>
      <c r="W23" s="58" t="s">
        <v>150</v>
      </c>
      <c r="X23" s="77" t="s">
        <v>667</v>
      </c>
      <c r="Y23" s="275" t="s">
        <v>282</v>
      </c>
      <c r="Z23" s="65" t="s">
        <v>139</v>
      </c>
      <c r="AA23" s="277"/>
      <c r="AB23" s="95"/>
      <c r="AC23" s="95"/>
      <c r="AD23" s="95" t="str">
        <f>IF(Table25781014[[#This Row],[End Completed Section (km)]]="","",Table25781014[[#This Row],[End Completed Section (km)]]-Table25781014[[#This Row],[Start Completed Section (km)]])</f>
        <v/>
      </c>
      <c r="AE23" s="70"/>
      <c r="AF2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3" s="229" t="str">
        <f>IF(Table25781014[[#This Row],[Planned Date]]="","",TEXT(Table25781014[[#This Row],[Planned Date]],"mmm"))</f>
        <v/>
      </c>
      <c r="AH23" s="56" t="str">
        <f>IF(Table25781014[[#This Row],[Month]]="","",VLOOKUP(Table25781014[[#This Row],[Month]],List!$B$2:$C$13,2,FALSE))</f>
        <v/>
      </c>
    </row>
    <row r="24" spans="1:34" ht="76.5" x14ac:dyDescent="0.2">
      <c r="A24" s="67" t="s">
        <v>117</v>
      </c>
      <c r="B24" s="80"/>
      <c r="C24" s="67" t="s">
        <v>9</v>
      </c>
      <c r="D24" s="59" t="s">
        <v>142</v>
      </c>
      <c r="E24" s="104" t="str">
        <f>IF(Table25781014[[#This Row],[Line Section]]="","",VLOOKUP(Table25781014[[#This Row],[Line Section]],Reference!$A$2:$B$47,2,FALSE))</f>
        <v>C152</v>
      </c>
      <c r="F24" s="250">
        <v>43485</v>
      </c>
      <c r="G24" s="250"/>
      <c r="H24" s="42" t="s">
        <v>533</v>
      </c>
      <c r="I24" s="54" t="s">
        <v>93</v>
      </c>
      <c r="J24" s="60">
        <v>12.9</v>
      </c>
      <c r="K24" s="60">
        <v>13.8</v>
      </c>
      <c r="L24" s="53">
        <f>IF(Table25781014[[#This Row],[End
(km)]]="","",Table25781014[[#This Row],[End
(km)]]-Table25781014[[#This Row],[Start
(km)]])</f>
        <v>0.90000000000000036</v>
      </c>
      <c r="M24" s="61" t="s">
        <v>189</v>
      </c>
      <c r="N24" s="59" t="s">
        <v>113</v>
      </c>
      <c r="O24" s="272" t="s">
        <v>113</v>
      </c>
      <c r="P24" s="64">
        <v>43230</v>
      </c>
      <c r="Q24" s="64">
        <v>43474</v>
      </c>
      <c r="R24" s="65" t="s">
        <v>121</v>
      </c>
      <c r="S24" s="55"/>
      <c r="T24" s="66" t="s">
        <v>121</v>
      </c>
      <c r="U24" s="66" t="s">
        <v>121</v>
      </c>
      <c r="V24" s="66"/>
      <c r="W24" s="58"/>
      <c r="X24" s="77" t="s">
        <v>576</v>
      </c>
      <c r="Y24" s="275" t="s">
        <v>265</v>
      </c>
      <c r="Z24" s="65" t="s">
        <v>121</v>
      </c>
      <c r="AA24" s="277"/>
      <c r="AB24" s="95">
        <v>12.9</v>
      </c>
      <c r="AC24" s="95">
        <v>13.8</v>
      </c>
      <c r="AD24" s="95">
        <f>IF(Table25781014[[#This Row],[End Completed Section (km)]]="","",Table25781014[[#This Row],[End Completed Section (km)]]-Table25781014[[#This Row],[Start Completed Section (km)]])</f>
        <v>0.90000000000000036</v>
      </c>
      <c r="AE24" s="70">
        <v>43485</v>
      </c>
      <c r="AF2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24" s="229" t="str">
        <f>IF(Table25781014[[#This Row],[Planned Date]]="","",TEXT(Table25781014[[#This Row],[Planned Date]],"mmm"))</f>
        <v>Jan</v>
      </c>
      <c r="AH24" s="56">
        <f>IF(Table25781014[[#This Row],[Month]]="","",VLOOKUP(Table25781014[[#This Row],[Month]],List!$B$2:$C$13,2,FALSE))</f>
        <v>7</v>
      </c>
    </row>
    <row r="25" spans="1:34" ht="25.5" x14ac:dyDescent="0.2">
      <c r="A25" s="67" t="s">
        <v>118</v>
      </c>
      <c r="B25" s="80"/>
      <c r="C25" s="67" t="s">
        <v>9</v>
      </c>
      <c r="D25" s="59" t="s">
        <v>142</v>
      </c>
      <c r="E25" s="104" t="str">
        <f>IF(Table25781014[[#This Row],[Line Section]]="","",VLOOKUP(Table25781014[[#This Row],[Line Section]],Reference!$A$2:$B$47,2,FALSE))</f>
        <v>C152</v>
      </c>
      <c r="F25" s="250">
        <v>43632</v>
      </c>
      <c r="G25" s="250"/>
      <c r="H25" s="69" t="s">
        <v>533</v>
      </c>
      <c r="I25" s="69" t="s">
        <v>94</v>
      </c>
      <c r="J25" s="60">
        <v>13.03</v>
      </c>
      <c r="K25" s="60">
        <v>14</v>
      </c>
      <c r="L25" s="53">
        <f>IF(Table25781014[[#This Row],[End
(km)]]="","",Table25781014[[#This Row],[End
(km)]]-Table25781014[[#This Row],[Start
(km)]])</f>
        <v>0.97000000000000064</v>
      </c>
      <c r="M25" s="61" t="s">
        <v>129</v>
      </c>
      <c r="N25" s="59" t="s">
        <v>113</v>
      </c>
      <c r="O25" s="272" t="s">
        <v>113</v>
      </c>
      <c r="P25" s="64">
        <v>43391</v>
      </c>
      <c r="Q25" s="64">
        <v>43682</v>
      </c>
      <c r="R25" s="57" t="s">
        <v>121</v>
      </c>
      <c r="S25" s="55"/>
      <c r="T25" s="66"/>
      <c r="U25" s="66"/>
      <c r="V25" s="66"/>
      <c r="W25" s="58"/>
      <c r="X25" s="155" t="s">
        <v>852</v>
      </c>
      <c r="Y25" s="471"/>
      <c r="Z25" s="57" t="s">
        <v>121</v>
      </c>
      <c r="AA25" s="278"/>
      <c r="AB25" s="96">
        <v>13.03</v>
      </c>
      <c r="AC25" s="96">
        <v>14</v>
      </c>
      <c r="AD25" s="226">
        <f>14-13.82+13.73-13.03</f>
        <v>0.88000000000000078</v>
      </c>
      <c r="AE25" s="72">
        <v>43632</v>
      </c>
      <c r="AF2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25" s="229" t="str">
        <f>IF(Table25781014[[#This Row],[Planned Date]]="","",TEXT(Table25781014[[#This Row],[Planned Date]],"mmm"))</f>
        <v>Jun</v>
      </c>
      <c r="AH25" s="252">
        <f>IF(Table25781014[[#This Row],[Month]]="","",VLOOKUP(Table25781014[[#This Row],[Month]],List!$B$2:$C$13,2,FALSE))</f>
        <v>12</v>
      </c>
    </row>
    <row r="26" spans="1:34" ht="25.5" x14ac:dyDescent="0.2">
      <c r="A26" s="67" t="s">
        <v>117</v>
      </c>
      <c r="B26" s="80"/>
      <c r="C26" s="67" t="s">
        <v>9</v>
      </c>
      <c r="D26" s="59" t="s">
        <v>142</v>
      </c>
      <c r="E26" s="104" t="str">
        <f>IF(Table25781014[[#This Row],[Line Section]]="","",VLOOKUP(Table25781014[[#This Row],[Line Section]],Reference!$A$2:$B$47,2,FALSE))</f>
        <v>C152</v>
      </c>
      <c r="F26" s="250"/>
      <c r="G26" s="250"/>
      <c r="H26" s="69" t="s">
        <v>533</v>
      </c>
      <c r="I26" s="69" t="s">
        <v>533</v>
      </c>
      <c r="J26" s="60">
        <v>13.6</v>
      </c>
      <c r="K26" s="60">
        <v>14.07</v>
      </c>
      <c r="L26" s="53">
        <f>IF(Table25781014[[#This Row],[End
(km)]]="","",Table25781014[[#This Row],[End
(km)]]-Table25781014[[#This Row],[Start
(km)]])</f>
        <v>0.47000000000000064</v>
      </c>
      <c r="M26" s="61" t="s">
        <v>189</v>
      </c>
      <c r="N26" s="59" t="s">
        <v>113</v>
      </c>
      <c r="O26" s="272"/>
      <c r="P26" s="64">
        <v>43230</v>
      </c>
      <c r="Q26" s="64">
        <v>43250</v>
      </c>
      <c r="R26" s="57" t="s">
        <v>121</v>
      </c>
      <c r="S26" s="55" t="s">
        <v>121</v>
      </c>
      <c r="T26" s="66"/>
      <c r="U26" s="66" t="s">
        <v>121</v>
      </c>
      <c r="V26" s="66"/>
      <c r="W26" s="58"/>
      <c r="X26" s="155"/>
      <c r="Y26" s="388" t="s">
        <v>283</v>
      </c>
      <c r="Z26" s="57" t="s">
        <v>139</v>
      </c>
      <c r="AA26" s="278"/>
      <c r="AB26" s="96"/>
      <c r="AC26" s="96"/>
      <c r="AD26" s="226" t="str">
        <f>IF(Table25781014[[#This Row],[End Completed Section (km)]]="","",Table25781014[[#This Row],[End Completed Section (km)]]-Table25781014[[#This Row],[Start Completed Section (km)]])</f>
        <v/>
      </c>
      <c r="AE26" s="72"/>
      <c r="AF2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6" s="229" t="str">
        <f>IF(Table25781014[[#This Row],[Planned Date]]="","",TEXT(Table25781014[[#This Row],[Planned Date]],"mmm"))</f>
        <v/>
      </c>
      <c r="AH26" s="56" t="str">
        <f>IF(Table25781014[[#This Row],[Month]]="","",VLOOKUP(Table25781014[[#This Row],[Month]],List!$B$2:$C$13,2,FALSE))</f>
        <v/>
      </c>
    </row>
    <row r="27" spans="1:34" x14ac:dyDescent="0.2">
      <c r="A27" s="67" t="s">
        <v>118</v>
      </c>
      <c r="B27" s="80"/>
      <c r="C27" s="67" t="s">
        <v>9</v>
      </c>
      <c r="D27" s="59" t="s">
        <v>142</v>
      </c>
      <c r="E27" s="104" t="str">
        <f>IF(Table25781014[[#This Row],[Line Section]]="","",VLOOKUP(Table25781014[[#This Row],[Line Section]],Reference!$A$2:$B$47,2,FALSE))</f>
        <v>C152</v>
      </c>
      <c r="F27" s="250"/>
      <c r="G27" s="250"/>
      <c r="H27" s="69"/>
      <c r="I27" s="69" t="s">
        <v>94</v>
      </c>
      <c r="J27" s="60">
        <v>14.27</v>
      </c>
      <c r="K27" s="60">
        <v>14.48</v>
      </c>
      <c r="L27" s="53">
        <f>IF(Table25781014[[#This Row],[End
(km)]]="","",Table25781014[[#This Row],[End
(km)]]-Table25781014[[#This Row],[Start
(km)]])</f>
        <v>0.21000000000000085</v>
      </c>
      <c r="M27" s="61" t="s">
        <v>129</v>
      </c>
      <c r="N27" s="59"/>
      <c r="O27" s="272" t="s">
        <v>110</v>
      </c>
      <c r="P27" s="64">
        <v>43489</v>
      </c>
      <c r="Q27" s="64"/>
      <c r="R27" s="57" t="s">
        <v>121</v>
      </c>
      <c r="S27" s="55"/>
      <c r="T27" s="66"/>
      <c r="U27" s="66"/>
      <c r="V27" s="66"/>
      <c r="W27" s="58"/>
      <c r="X27" s="77" t="s">
        <v>762</v>
      </c>
      <c r="Y27" s="471"/>
      <c r="Z27" s="57" t="s">
        <v>122</v>
      </c>
      <c r="AA27" s="278"/>
      <c r="AB27" s="96"/>
      <c r="AC27" s="96"/>
      <c r="AD27" s="226" t="str">
        <f>IF(Table25781014[[#This Row],[End Completed Section (km)]]="","",Table25781014[[#This Row],[End Completed Section (km)]]-Table25781014[[#This Row],[Start Completed Section (km)]])</f>
        <v/>
      </c>
      <c r="AE27" s="72"/>
      <c r="AF2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7" s="229" t="str">
        <f>IF(Table25781014[[#This Row],[Planned Date]]="","",TEXT(Table25781014[[#This Row],[Planned Date]],"mmm"))</f>
        <v/>
      </c>
      <c r="AH27" s="252" t="str">
        <f>IF(Table25781014[[#This Row],[Month]]="","",VLOOKUP(Table25781014[[#This Row],[Month]],List!$B$2:$C$13,2,FALSE))</f>
        <v/>
      </c>
    </row>
    <row r="28" spans="1:34" ht="76.5" x14ac:dyDescent="0.2">
      <c r="A28" s="67" t="s">
        <v>117</v>
      </c>
      <c r="B28" s="80"/>
      <c r="C28" s="67" t="s">
        <v>9</v>
      </c>
      <c r="D28" s="59" t="s">
        <v>142</v>
      </c>
      <c r="E28" s="104" t="str">
        <f>IF(Table25781014[[#This Row],[Line Section]]="","",VLOOKUP(Table25781014[[#This Row],[Line Section]],Reference!$A$2:$B$47,2,FALSE))</f>
        <v>C152</v>
      </c>
      <c r="F28" s="250">
        <v>43891</v>
      </c>
      <c r="G28" s="250"/>
      <c r="H28" s="42" t="s">
        <v>533</v>
      </c>
      <c r="I28" s="54" t="s">
        <v>93</v>
      </c>
      <c r="J28" s="60">
        <v>14.6</v>
      </c>
      <c r="K28" s="60">
        <v>15</v>
      </c>
      <c r="L28" s="53">
        <f>IF(Table25781014[[#This Row],[End
(km)]]="","",Table25781014[[#This Row],[End
(km)]]-Table25781014[[#This Row],[Start
(km)]])</f>
        <v>0.40000000000000036</v>
      </c>
      <c r="M28" s="61" t="s">
        <v>189</v>
      </c>
      <c r="N28" s="59" t="s">
        <v>113</v>
      </c>
      <c r="O28" s="272" t="s">
        <v>113</v>
      </c>
      <c r="P28" s="64">
        <v>43230</v>
      </c>
      <c r="Q28" s="64">
        <v>43684</v>
      </c>
      <c r="R28" s="57" t="s">
        <v>121</v>
      </c>
      <c r="S28" s="55" t="s">
        <v>121</v>
      </c>
      <c r="T28" s="66" t="s">
        <v>122</v>
      </c>
      <c r="U28" s="66"/>
      <c r="V28" s="66"/>
      <c r="W28" s="58" t="s">
        <v>131</v>
      </c>
      <c r="X28" s="77" t="s">
        <v>855</v>
      </c>
      <c r="Y28" s="388" t="s">
        <v>266</v>
      </c>
      <c r="Z28" s="57" t="s">
        <v>139</v>
      </c>
      <c r="AA28" s="278"/>
      <c r="AB28" s="96"/>
      <c r="AC28" s="96"/>
      <c r="AD28" s="226" t="str">
        <f>IF(Table25781014[[#This Row],[End Completed Section (km)]]="","",Table25781014[[#This Row],[End Completed Section (km)]]-Table25781014[[#This Row],[Start Completed Section (km)]])</f>
        <v/>
      </c>
      <c r="AE28" s="72"/>
      <c r="AF2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28" s="229" t="str">
        <f>IF(Table25781014[[#This Row],[Planned Date]]="","",TEXT(Table25781014[[#This Row],[Planned Date]],"mmm"))</f>
        <v>Mar</v>
      </c>
      <c r="AH28" s="56">
        <f>IF(Table25781014[[#This Row],[Month]]="","",VLOOKUP(Table25781014[[#This Row],[Month]],List!$B$2:$C$13,2,FALSE))</f>
        <v>9</v>
      </c>
    </row>
    <row r="29" spans="1:34" ht="38.25" x14ac:dyDescent="0.2">
      <c r="A29" s="67" t="s">
        <v>118</v>
      </c>
      <c r="B29" s="80"/>
      <c r="C29" s="67" t="s">
        <v>9</v>
      </c>
      <c r="D29" s="59" t="s">
        <v>142</v>
      </c>
      <c r="E29" s="104" t="str">
        <f>IF(Table25781014[[#This Row],[Line Section]]="","",VLOOKUP(Table25781014[[#This Row],[Line Section]],Reference!$A$2:$B$47,2,FALSE))</f>
        <v>C152</v>
      </c>
      <c r="F29" s="250"/>
      <c r="G29" s="250"/>
      <c r="H29" s="69"/>
      <c r="I29" s="69" t="s">
        <v>94</v>
      </c>
      <c r="J29" s="60">
        <v>15.87</v>
      </c>
      <c r="K29" s="60">
        <v>16.2</v>
      </c>
      <c r="L29" s="53">
        <f>IF(Table25781014[[#This Row],[End
(km)]]="","",Table25781014[[#This Row],[End
(km)]]-Table25781014[[#This Row],[Start
(km)]])</f>
        <v>0.33000000000000007</v>
      </c>
      <c r="M29" s="61" t="s">
        <v>129</v>
      </c>
      <c r="N29" s="59"/>
      <c r="O29" s="272" t="s">
        <v>113</v>
      </c>
      <c r="P29" s="64">
        <v>43489</v>
      </c>
      <c r="Q29" s="64"/>
      <c r="R29" s="57" t="s">
        <v>121</v>
      </c>
      <c r="S29" s="55"/>
      <c r="T29" s="66"/>
      <c r="U29" s="66"/>
      <c r="V29" s="66"/>
      <c r="W29" s="58"/>
      <c r="X29" s="77" t="s">
        <v>763</v>
      </c>
      <c r="Y29" s="471"/>
      <c r="Z29" s="57" t="s">
        <v>122</v>
      </c>
      <c r="AA29" s="278"/>
      <c r="AB29" s="96"/>
      <c r="AC29" s="96"/>
      <c r="AD29" s="226" t="str">
        <f>IF(Table25781014[[#This Row],[End Completed Section (km)]]="","",Table25781014[[#This Row],[End Completed Section (km)]]-Table25781014[[#This Row],[Start Completed Section (km)]])</f>
        <v/>
      </c>
      <c r="AE29" s="72"/>
      <c r="AF2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9" s="229" t="str">
        <f>IF(Table25781014[[#This Row],[Planned Date]]="","",TEXT(Table25781014[[#This Row],[Planned Date]],"mmm"))</f>
        <v/>
      </c>
      <c r="AH29" s="252" t="str">
        <f>IF(Table25781014[[#This Row],[Month]]="","",VLOOKUP(Table25781014[[#This Row],[Month]],List!$B$2:$C$13,2,FALSE))</f>
        <v/>
      </c>
    </row>
    <row r="30" spans="1:34" ht="38.25" x14ac:dyDescent="0.2">
      <c r="A30" s="67" t="s">
        <v>118</v>
      </c>
      <c r="B30" s="80"/>
      <c r="C30" s="67" t="s">
        <v>9</v>
      </c>
      <c r="D30" s="59" t="s">
        <v>142</v>
      </c>
      <c r="E30" s="104" t="str">
        <f>IF(Table25781014[[#This Row],[Line Section]]="","",VLOOKUP(Table25781014[[#This Row],[Line Section]],Reference!$A$2:$B$47,2,FALSE))</f>
        <v>C152</v>
      </c>
      <c r="F30" s="250">
        <v>44255</v>
      </c>
      <c r="G30" s="250"/>
      <c r="H30" s="69" t="s">
        <v>534</v>
      </c>
      <c r="I30" s="69" t="s">
        <v>94</v>
      </c>
      <c r="J30" s="60">
        <v>16.2</v>
      </c>
      <c r="K30" s="60">
        <v>16.350000000000001</v>
      </c>
      <c r="L30" s="53">
        <f>IF(Table25781014[[#This Row],[End
(km)]]="","",Table25781014[[#This Row],[End
(km)]]-Table25781014[[#This Row],[Start
(km)]])</f>
        <v>0.15000000000000213</v>
      </c>
      <c r="M30" s="61" t="s">
        <v>129</v>
      </c>
      <c r="N30" s="59"/>
      <c r="O30" s="272" t="s">
        <v>111</v>
      </c>
      <c r="P30" s="64">
        <v>43489</v>
      </c>
      <c r="Q30" s="64"/>
      <c r="R30" s="57" t="s">
        <v>121</v>
      </c>
      <c r="S30" s="55"/>
      <c r="T30" s="66"/>
      <c r="U30" s="66"/>
      <c r="V30" s="66"/>
      <c r="W30" s="58"/>
      <c r="X30" s="77" t="s">
        <v>765</v>
      </c>
      <c r="Y30" s="471"/>
      <c r="Z30" s="57" t="s">
        <v>122</v>
      </c>
      <c r="AA30" s="278"/>
      <c r="AB30" s="96"/>
      <c r="AC30" s="96"/>
      <c r="AD30" s="226" t="str">
        <f>IF(Table25781014[[#This Row],[End Completed Section (km)]]="","",Table25781014[[#This Row],[End Completed Section (km)]]-Table25781014[[#This Row],[Start Completed Section (km)]])</f>
        <v/>
      </c>
      <c r="AE30" s="72"/>
      <c r="AF3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30" s="229" t="str">
        <f>IF(Table25781014[[#This Row],[Planned Date]]="","",TEXT(Table25781014[[#This Row],[Planned Date]],"mmm"))</f>
        <v>Feb</v>
      </c>
      <c r="AH30" s="252">
        <f>IF(Table25781014[[#This Row],[Month]]="","",VLOOKUP(Table25781014[[#This Row],[Month]],List!$B$2:$C$13,2,FALSE))</f>
        <v>8</v>
      </c>
    </row>
    <row r="31" spans="1:34" ht="38.25" x14ac:dyDescent="0.2">
      <c r="A31" s="67" t="s">
        <v>116</v>
      </c>
      <c r="B31" s="80"/>
      <c r="C31" s="67" t="s">
        <v>9</v>
      </c>
      <c r="D31" s="59" t="s">
        <v>142</v>
      </c>
      <c r="E31" s="104" t="str">
        <f>IF(Table25781014[[#This Row],[Line Section]]="","",VLOOKUP(Table25781014[[#This Row],[Line Section]],Reference!$A$2:$B$47,2,FALSE))</f>
        <v>C152</v>
      </c>
      <c r="F31" s="250"/>
      <c r="G31" s="250"/>
      <c r="H31" s="69"/>
      <c r="I31" s="54" t="s">
        <v>94</v>
      </c>
      <c r="J31" s="60">
        <v>16.5</v>
      </c>
      <c r="K31" s="60">
        <v>16.78</v>
      </c>
      <c r="L31" s="53">
        <f>IF(Table25781014[[#This Row],[End
(km)]]="","",Table25781014[[#This Row],[End
(km)]]-Table25781014[[#This Row],[Start
(km)]])</f>
        <v>0.28000000000000114</v>
      </c>
      <c r="M31" s="61" t="s">
        <v>189</v>
      </c>
      <c r="N31" s="59" t="s">
        <v>113</v>
      </c>
      <c r="O31" s="272"/>
      <c r="P31" s="64">
        <v>43230</v>
      </c>
      <c r="Q31" s="64"/>
      <c r="R31" s="57"/>
      <c r="S31" s="55" t="s">
        <v>121</v>
      </c>
      <c r="T31" s="66"/>
      <c r="U31" s="66"/>
      <c r="V31" s="66"/>
      <c r="W31" s="58" t="s">
        <v>285</v>
      </c>
      <c r="X31" s="77" t="s">
        <v>589</v>
      </c>
      <c r="Y31" s="388" t="s">
        <v>284</v>
      </c>
      <c r="Z31" s="57" t="s">
        <v>139</v>
      </c>
      <c r="AA31" s="278"/>
      <c r="AB31" s="96"/>
      <c r="AC31" s="96"/>
      <c r="AD31" s="226" t="str">
        <f>IF(Table25781014[[#This Row],[End Completed Section (km)]]="","",Table25781014[[#This Row],[End Completed Section (km)]]-Table25781014[[#This Row],[Start Completed Section (km)]])</f>
        <v/>
      </c>
      <c r="AE31" s="72"/>
      <c r="AF3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1" s="229" t="str">
        <f>IF(Table25781014[[#This Row],[Planned Date]]="","",TEXT(Table25781014[[#This Row],[Planned Date]],"mmm"))</f>
        <v/>
      </c>
      <c r="AH31" s="56" t="str">
        <f>IF(Table25781014[[#This Row],[Month]]="","",VLOOKUP(Table25781014[[#This Row],[Month]],List!$B$2:$C$13,2,FALSE))</f>
        <v/>
      </c>
    </row>
    <row r="32" spans="1:34" x14ac:dyDescent="0.2">
      <c r="A32" s="67" t="s">
        <v>118</v>
      </c>
      <c r="B32" s="80"/>
      <c r="C32" s="67" t="s">
        <v>9</v>
      </c>
      <c r="D32" s="59" t="s">
        <v>142</v>
      </c>
      <c r="E32" s="104" t="str">
        <f>IF(Table25781014[[#This Row],[Line Section]]="","",VLOOKUP(Table25781014[[#This Row],[Line Section]],Reference!$A$2:$B$47,2,FALSE))</f>
        <v>C152</v>
      </c>
      <c r="F32" s="250"/>
      <c r="G32" s="250"/>
      <c r="H32" s="69"/>
      <c r="I32" s="69" t="s">
        <v>94</v>
      </c>
      <c r="J32" s="60">
        <v>16.850000000000001</v>
      </c>
      <c r="K32" s="60">
        <v>16.96</v>
      </c>
      <c r="L32" s="53">
        <f>IF(Table25781014[[#This Row],[End
(km)]]="","",Table25781014[[#This Row],[End
(km)]]-Table25781014[[#This Row],[Start
(km)]])</f>
        <v>0.10999999999999943</v>
      </c>
      <c r="M32" s="61" t="s">
        <v>129</v>
      </c>
      <c r="N32" s="59"/>
      <c r="O32" s="272" t="s">
        <v>112</v>
      </c>
      <c r="P32" s="64">
        <v>43489</v>
      </c>
      <c r="Q32" s="64"/>
      <c r="R32" s="57" t="s">
        <v>121</v>
      </c>
      <c r="S32" s="55"/>
      <c r="T32" s="66"/>
      <c r="U32" s="66"/>
      <c r="V32" s="66"/>
      <c r="W32" s="58"/>
      <c r="X32" s="77" t="s">
        <v>764</v>
      </c>
      <c r="Y32" s="471"/>
      <c r="Z32" s="57"/>
      <c r="AA32" s="278"/>
      <c r="AB32" s="96"/>
      <c r="AC32" s="96"/>
      <c r="AD32" s="226" t="str">
        <f>IF(Table25781014[[#This Row],[End Completed Section (km)]]="","",Table25781014[[#This Row],[End Completed Section (km)]]-Table25781014[[#This Row],[Start Completed Section (km)]])</f>
        <v/>
      </c>
      <c r="AE32" s="72"/>
      <c r="AF3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2" s="229" t="str">
        <f>IF(Table25781014[[#This Row],[Planned Date]]="","",TEXT(Table25781014[[#This Row],[Planned Date]],"mmm"))</f>
        <v/>
      </c>
      <c r="AH32" s="252" t="str">
        <f>IF(Table25781014[[#This Row],[Month]]="","",VLOOKUP(Table25781014[[#This Row],[Month]],List!$B$2:$C$13,2,FALSE))</f>
        <v/>
      </c>
    </row>
    <row r="33" spans="1:34" s="56" customFormat="1" x14ac:dyDescent="0.2">
      <c r="A33" s="67" t="s">
        <v>118</v>
      </c>
      <c r="B33" s="80"/>
      <c r="C33" s="67" t="s">
        <v>9</v>
      </c>
      <c r="D33" s="59" t="s">
        <v>142</v>
      </c>
      <c r="E33" s="100" t="str">
        <f>IF(Table25781014[[#This Row],[Line Section]]="","",VLOOKUP(Table25781014[[#This Row],[Line Section]],Reference!$A$2:$B$47,2,FALSE))</f>
        <v>C152</v>
      </c>
      <c r="F33" s="250"/>
      <c r="G33" s="250"/>
      <c r="H33" s="69"/>
      <c r="I33" s="54" t="s">
        <v>93</v>
      </c>
      <c r="J33" s="60">
        <v>16.899999999999999</v>
      </c>
      <c r="K33" s="60">
        <v>16.97</v>
      </c>
      <c r="L33" s="53">
        <f>IF(Table25781014[[#This Row],[End
(km)]]="","",Table25781014[[#This Row],[End
(km)]]-Table25781014[[#This Row],[Start
(km)]])</f>
        <v>7.0000000000000284E-2</v>
      </c>
      <c r="M33" s="61" t="s">
        <v>725</v>
      </c>
      <c r="N33" s="59"/>
      <c r="O33" s="295" t="s">
        <v>109</v>
      </c>
      <c r="P33" s="64">
        <v>43489</v>
      </c>
      <c r="Q33" s="71"/>
      <c r="R33" s="61"/>
      <c r="S33" s="55"/>
      <c r="T33" s="66"/>
      <c r="U33" s="66"/>
      <c r="V33" s="269"/>
      <c r="W33" s="67"/>
      <c r="X33" s="77" t="s">
        <v>766</v>
      </c>
      <c r="Y33" s="46"/>
      <c r="Z33" s="159"/>
      <c r="AA33" s="282"/>
      <c r="AB33" s="96"/>
      <c r="AC33" s="96"/>
      <c r="AD33" s="227" t="str">
        <f>IF(Table25781014[[#This Row],[End Completed Section (km)]]="","",Table25781014[[#This Row],[End Completed Section (km)]]-Table25781014[[#This Row],[Start Completed Section (km)]])</f>
        <v/>
      </c>
      <c r="AE33" s="161"/>
      <c r="AF3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3" s="229" t="str">
        <f>IF(Table25781014[[#This Row],[Planned Date]]="","",TEXT(Table25781014[[#This Row],[Planned Date]],"mmm"))</f>
        <v/>
      </c>
      <c r="AH33" s="252" t="str">
        <f>IF(Table25781014[[#This Row],[Month]]="","",VLOOKUP(Table25781014[[#This Row],[Month]],List!$B$2:$C$13,2,FALSE))</f>
        <v/>
      </c>
    </row>
    <row r="34" spans="1:34" ht="25.5" x14ac:dyDescent="0.2">
      <c r="A34" s="67" t="s">
        <v>117</v>
      </c>
      <c r="B34" s="80"/>
      <c r="C34" s="67" t="s">
        <v>9</v>
      </c>
      <c r="D34" s="59" t="s">
        <v>142</v>
      </c>
      <c r="E34" s="104" t="str">
        <f>IF(Table25781014[[#This Row],[Line Section]]="","",VLOOKUP(Table25781014[[#This Row],[Line Section]],Reference!$A$2:$B$47,2,FALSE))</f>
        <v>C152</v>
      </c>
      <c r="F34" s="250"/>
      <c r="G34" s="250"/>
      <c r="H34" s="69"/>
      <c r="I34" s="54" t="s">
        <v>93</v>
      </c>
      <c r="J34" s="60">
        <v>17.2</v>
      </c>
      <c r="K34" s="60">
        <v>17.5</v>
      </c>
      <c r="L34" s="53">
        <f>IF(Table25781014[[#This Row],[End
(km)]]="","",Table25781014[[#This Row],[End
(km)]]-Table25781014[[#This Row],[Start
(km)]])</f>
        <v>0.30000000000000071</v>
      </c>
      <c r="M34" s="61" t="s">
        <v>189</v>
      </c>
      <c r="N34" s="59" t="s">
        <v>111</v>
      </c>
      <c r="O34" s="272" t="s">
        <v>113</v>
      </c>
      <c r="P34" s="64">
        <v>43230</v>
      </c>
      <c r="Q34" s="64">
        <v>43472</v>
      </c>
      <c r="R34" s="57"/>
      <c r="S34" s="55"/>
      <c r="T34" s="66" t="s">
        <v>122</v>
      </c>
      <c r="U34" s="66"/>
      <c r="V34" s="66"/>
      <c r="W34" s="58" t="s">
        <v>268</v>
      </c>
      <c r="X34" s="77" t="s">
        <v>623</v>
      </c>
      <c r="Y34" s="388" t="s">
        <v>267</v>
      </c>
      <c r="Z34" s="57" t="s">
        <v>122</v>
      </c>
      <c r="AA34" s="278"/>
      <c r="AB34" s="96"/>
      <c r="AC34" s="96"/>
      <c r="AD34" s="226" t="str">
        <f>IF(Table25781014[[#This Row],[End Completed Section (km)]]="","",Table25781014[[#This Row],[End Completed Section (km)]]-Table25781014[[#This Row],[Start Completed Section (km)]])</f>
        <v/>
      </c>
      <c r="AE34" s="72"/>
      <c r="AF3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4" s="229" t="str">
        <f>IF(Table25781014[[#This Row],[Planned Date]]="","",TEXT(Table25781014[[#This Row],[Planned Date]],"mmm"))</f>
        <v/>
      </c>
      <c r="AH34" s="56" t="str">
        <f>IF(Table25781014[[#This Row],[Month]]="","",VLOOKUP(Table25781014[[#This Row],[Month]],List!$B$2:$C$13,2,FALSE))</f>
        <v/>
      </c>
    </row>
    <row r="35" spans="1:34" ht="25.5" x14ac:dyDescent="0.2">
      <c r="A35" s="67" t="s">
        <v>118</v>
      </c>
      <c r="B35" s="80"/>
      <c r="C35" s="67" t="s">
        <v>9</v>
      </c>
      <c r="D35" s="59" t="s">
        <v>142</v>
      </c>
      <c r="E35" s="104" t="str">
        <f>IF(Table25781014[[#This Row],[Line Section]]="","",VLOOKUP(Table25781014[[#This Row],[Line Section]],Reference!$A$2:$B$47,2,FALSE))</f>
        <v>C152</v>
      </c>
      <c r="F35" s="250">
        <v>44255</v>
      </c>
      <c r="G35" s="250"/>
      <c r="H35" s="69" t="s">
        <v>533</v>
      </c>
      <c r="I35" s="54" t="s">
        <v>94</v>
      </c>
      <c r="J35" s="60">
        <v>18.03</v>
      </c>
      <c r="K35" s="60">
        <v>18.53</v>
      </c>
      <c r="L35" s="53">
        <f>IF(Table25781014[[#This Row],[End
(km)]]="","",Table25781014[[#This Row],[End
(km)]]-Table25781014[[#This Row],[Start
(km)]])</f>
        <v>0.5</v>
      </c>
      <c r="M35" s="61" t="s">
        <v>189</v>
      </c>
      <c r="N35" s="59" t="s">
        <v>113</v>
      </c>
      <c r="O35" s="272" t="s">
        <v>113</v>
      </c>
      <c r="P35" s="64">
        <v>43230</v>
      </c>
      <c r="Q35" s="64">
        <v>43684</v>
      </c>
      <c r="R35" s="57" t="s">
        <v>121</v>
      </c>
      <c r="S35" s="55"/>
      <c r="T35" s="66"/>
      <c r="U35" s="66"/>
      <c r="V35" s="66"/>
      <c r="W35" s="58"/>
      <c r="X35" s="77" t="s">
        <v>856</v>
      </c>
      <c r="Y35" s="388" t="s">
        <v>286</v>
      </c>
      <c r="Z35" s="57" t="s">
        <v>122</v>
      </c>
      <c r="AA35" s="278"/>
      <c r="AB35" s="96"/>
      <c r="AC35" s="96"/>
      <c r="AD35" s="226" t="str">
        <f>IF(Table25781014[[#This Row],[End Completed Section (km)]]="","",Table25781014[[#This Row],[End Completed Section (km)]]-Table25781014[[#This Row],[Start Completed Section (km)]])</f>
        <v/>
      </c>
      <c r="AE35" s="72"/>
      <c r="AF3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35" s="229" t="str">
        <f>IF(Table25781014[[#This Row],[Planned Date]]="","",TEXT(Table25781014[[#This Row],[Planned Date]],"mmm"))</f>
        <v>Feb</v>
      </c>
      <c r="AH35" s="56">
        <f>IF(Table25781014[[#This Row],[Month]]="","",VLOOKUP(Table25781014[[#This Row],[Month]],List!$B$2:$C$13,2,FALSE))</f>
        <v>8</v>
      </c>
    </row>
    <row r="36" spans="1:34" ht="76.5" x14ac:dyDescent="0.2">
      <c r="A36" s="67" t="s">
        <v>116</v>
      </c>
      <c r="B36" s="305">
        <v>5</v>
      </c>
      <c r="C36" s="67" t="s">
        <v>9</v>
      </c>
      <c r="D36" s="59" t="s">
        <v>142</v>
      </c>
      <c r="E36" s="104" t="str">
        <f>IF(Table25781014[[#This Row],[Line Section]]="","",VLOOKUP(Table25781014[[#This Row],[Line Section]],Reference!$A$2:$B$47,2,FALSE))</f>
        <v>C152</v>
      </c>
      <c r="F36" s="250" t="s">
        <v>651</v>
      </c>
      <c r="G36" s="250"/>
      <c r="H36" s="311"/>
      <c r="I36" s="54" t="s">
        <v>94</v>
      </c>
      <c r="J36" s="60">
        <v>18.5</v>
      </c>
      <c r="K36" s="60">
        <v>18.66</v>
      </c>
      <c r="L36" s="53">
        <f>IF(Table25781014[[#This Row],[End
(km)]]="","",Table25781014[[#This Row],[End
(km)]]-Table25781014[[#This Row],[Start
(km)]])</f>
        <v>0.16000000000000014</v>
      </c>
      <c r="M36" s="61" t="s">
        <v>189</v>
      </c>
      <c r="N36" s="59"/>
      <c r="O36" s="272" t="s">
        <v>113</v>
      </c>
      <c r="P36" s="64">
        <v>43472</v>
      </c>
      <c r="Q36" s="335">
        <v>43475</v>
      </c>
      <c r="R36" s="57" t="s">
        <v>121</v>
      </c>
      <c r="S36" s="55" t="s">
        <v>121</v>
      </c>
      <c r="T36" s="66"/>
      <c r="U36" s="308"/>
      <c r="V36" s="308"/>
      <c r="W36" s="62" t="s">
        <v>642</v>
      </c>
      <c r="X36" s="77" t="s">
        <v>671</v>
      </c>
      <c r="Y36" s="388" t="s">
        <v>616</v>
      </c>
      <c r="Z36" s="57" t="s">
        <v>233</v>
      </c>
      <c r="AA36" s="313"/>
      <c r="AB36" s="96"/>
      <c r="AC36" s="96"/>
      <c r="AD36" s="314" t="str">
        <f>IF(Table25781014[[#This Row],[End Completed Section (km)]]="","",Table25781014[[#This Row],[End Completed Section (km)]]-Table25781014[[#This Row],[Start Completed Section (km)]])</f>
        <v/>
      </c>
      <c r="AE36" s="72"/>
      <c r="AF36"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6" s="229" t="str">
        <f>IF(Table25781014[[#This Row],[Planned Date]]="","",TEXT(Table25781014[[#This Row],[Planned Date]],"mmm"))</f>
        <v>21/22</v>
      </c>
      <c r="AH36" s="252" t="e">
        <f>IF(Table25781014[[#This Row],[Month]]="","",VLOOKUP(Table25781014[[#This Row],[Month]],List!$B$2:$C$13,2,FALSE))</f>
        <v>#N/A</v>
      </c>
    </row>
    <row r="37" spans="1:34" s="56" customFormat="1" ht="25.5" x14ac:dyDescent="0.2">
      <c r="A37" s="98" t="s">
        <v>116</v>
      </c>
      <c r="B37" s="80">
        <v>2</v>
      </c>
      <c r="C37" s="67" t="s">
        <v>9</v>
      </c>
      <c r="D37" s="59" t="s">
        <v>142</v>
      </c>
      <c r="E37" s="100" t="str">
        <f>IF(Table25781014[[#This Row],[Line Section]]="","",VLOOKUP(Table25781014[[#This Row],[Line Section]],Reference!$A$2:$B$47,2,FALSE))</f>
        <v>C152</v>
      </c>
      <c r="F37" s="157" t="s">
        <v>651</v>
      </c>
      <c r="G37" s="440"/>
      <c r="H37" s="247"/>
      <c r="I37" s="54" t="s">
        <v>94</v>
      </c>
      <c r="J37" s="60">
        <v>18.760000000000002</v>
      </c>
      <c r="K37" s="60">
        <v>18.850000000000001</v>
      </c>
      <c r="L37" s="53">
        <f>IF(Table25781014[[#This Row],[End
(km)]]="","",Table25781014[[#This Row],[End
(km)]]-Table25781014[[#This Row],[Start
(km)]])</f>
        <v>8.9999999999999858E-2</v>
      </c>
      <c r="M37" s="61" t="s">
        <v>189</v>
      </c>
      <c r="N37" s="59"/>
      <c r="O37" s="295" t="s">
        <v>113</v>
      </c>
      <c r="P37" s="64">
        <v>43479</v>
      </c>
      <c r="Q37" s="71"/>
      <c r="R37" s="57"/>
      <c r="S37" s="55"/>
      <c r="T37" s="66"/>
      <c r="U37" s="66"/>
      <c r="V37" s="269"/>
      <c r="W37" s="67" t="s">
        <v>669</v>
      </c>
      <c r="X37" s="77" t="s">
        <v>670</v>
      </c>
      <c r="Y37" s="112"/>
      <c r="Z37" s="80" t="s">
        <v>233</v>
      </c>
      <c r="AA37" s="278"/>
      <c r="AB37" s="96"/>
      <c r="AC37" s="96"/>
      <c r="AD37" s="227" t="str">
        <f>IF(Table25781014[[#This Row],[End Completed Section (km)]]="","",Table25781014[[#This Row],[End Completed Section (km)]]-Table25781014[[#This Row],[Start Completed Section (km)]])</f>
        <v/>
      </c>
      <c r="AE37" s="72"/>
      <c r="AF37"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7" s="229" t="str">
        <f>IF(Table25781014[[#This Row],[Planned Date]]="","",TEXT(Table25781014[[#This Row],[Planned Date]],"mmm"))</f>
        <v>21/22</v>
      </c>
      <c r="AH37" s="252" t="e">
        <f>IF(Table25781014[[#This Row],[Month]]="","",VLOOKUP(Table25781014[[#This Row],[Month]],List!$B$2:$C$13,2,FALSE))</f>
        <v>#N/A</v>
      </c>
    </row>
    <row r="38" spans="1:34" ht="63.75" x14ac:dyDescent="0.2">
      <c r="A38" s="73" t="s">
        <v>116</v>
      </c>
      <c r="B38" s="81"/>
      <c r="C38" s="67" t="s">
        <v>9</v>
      </c>
      <c r="D38" s="74" t="s">
        <v>142</v>
      </c>
      <c r="E38" s="104" t="str">
        <f>IF(Table25781014[[#This Row],[Line Section]]="","",VLOOKUP(Table25781014[[#This Row],[Line Section]],Reference!$A$2:$B$47,2,FALSE))</f>
        <v>C152</v>
      </c>
      <c r="F38" s="157"/>
      <c r="G38" s="440"/>
      <c r="H38" s="247"/>
      <c r="I38" s="54" t="s">
        <v>94</v>
      </c>
      <c r="J38" s="75">
        <v>19.05</v>
      </c>
      <c r="K38" s="75">
        <v>19.2</v>
      </c>
      <c r="L38" s="53">
        <f>IF(Table25781014[[#This Row],[End
(km)]]="","",Table25781014[[#This Row],[End
(km)]]-Table25781014[[#This Row],[Start
(km)]])</f>
        <v>0.14999999999999858</v>
      </c>
      <c r="M38" s="76" t="s">
        <v>189</v>
      </c>
      <c r="N38" s="74" t="s">
        <v>113</v>
      </c>
      <c r="O38" s="295" t="s">
        <v>113</v>
      </c>
      <c r="P38" s="71">
        <v>43230</v>
      </c>
      <c r="Q38" s="71">
        <v>43475</v>
      </c>
      <c r="R38" s="65"/>
      <c r="S38" s="55" t="s">
        <v>121</v>
      </c>
      <c r="T38" s="66"/>
      <c r="U38" s="66"/>
      <c r="V38" s="66"/>
      <c r="W38" s="58" t="s">
        <v>617</v>
      </c>
      <c r="X38" s="78" t="s">
        <v>641</v>
      </c>
      <c r="Y38" s="472" t="s">
        <v>288</v>
      </c>
      <c r="Z38" s="65" t="s">
        <v>139</v>
      </c>
      <c r="AA38" s="278"/>
      <c r="AB38" s="358"/>
      <c r="AC38" s="358"/>
      <c r="AD38" s="358" t="str">
        <f>IF(Table25781014[[#This Row],[End Completed Section (km)]]="","",Table25781014[[#This Row],[End Completed Section (km)]]-Table25781014[[#This Row],[Start Completed Section (km)]])</f>
        <v/>
      </c>
      <c r="AE38" s="408"/>
      <c r="AF3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8" s="229" t="str">
        <f>IF(Table25781014[[#This Row],[Planned Date]]="","",TEXT(Table25781014[[#This Row],[Planned Date]],"mmm"))</f>
        <v/>
      </c>
      <c r="AH38" s="56" t="str">
        <f>IF(Table25781014[[#This Row],[Month]]="","",VLOOKUP(Table25781014[[#This Row],[Month]],List!$B$2:$C$13,2,FALSE))</f>
        <v/>
      </c>
    </row>
    <row r="39" spans="1:34" s="56" customFormat="1" ht="25.5" x14ac:dyDescent="0.2">
      <c r="A39" s="98"/>
      <c r="B39" s="318"/>
      <c r="C39" s="67" t="s">
        <v>9</v>
      </c>
      <c r="D39" s="59" t="s">
        <v>142</v>
      </c>
      <c r="E39" s="100" t="str">
        <f>IF(Table25781014[[#This Row],[Line Section]]="","",VLOOKUP(Table25781014[[#This Row],[Line Section]],Reference!$A$2:$B$47,2,FALSE))</f>
        <v>C152</v>
      </c>
      <c r="F39" s="157"/>
      <c r="G39" s="440"/>
      <c r="H39" s="444"/>
      <c r="I39" s="54" t="s">
        <v>100</v>
      </c>
      <c r="J39" s="60">
        <v>22.507999999999999</v>
      </c>
      <c r="K39" s="60">
        <v>22.521000000000001</v>
      </c>
      <c r="L39" s="53">
        <f>IF(Table25781014[[#This Row],[End
(km)]]="","",Table25781014[[#This Row],[End
(km)]]-Table25781014[[#This Row],[Start
(km)]])</f>
        <v>1.3000000000001677E-2</v>
      </c>
      <c r="M39" s="61" t="s">
        <v>554</v>
      </c>
      <c r="N39" s="59"/>
      <c r="O39" s="272"/>
      <c r="P39" s="64">
        <v>43370</v>
      </c>
      <c r="Q39" s="271">
        <v>43370</v>
      </c>
      <c r="R39" s="57" t="s">
        <v>121</v>
      </c>
      <c r="S39" s="55"/>
      <c r="T39" s="66"/>
      <c r="U39" s="319"/>
      <c r="V39" s="379" t="s">
        <v>121</v>
      </c>
      <c r="W39" s="67"/>
      <c r="X39" s="77" t="s">
        <v>555</v>
      </c>
      <c r="Y39" s="477"/>
      <c r="Z39" s="80" t="s">
        <v>556</v>
      </c>
      <c r="AA39" s="278"/>
      <c r="AB39" s="96">
        <v>22.507999999999999</v>
      </c>
      <c r="AC39" s="96">
        <v>22.521000000000001</v>
      </c>
      <c r="AD39" s="382">
        <f>IF(Table25781014[[#This Row],[End Completed Section (km)]]="","",Table25781014[[#This Row],[End Completed Section (km)]]-Table25781014[[#This Row],[Start Completed Section (km)]])</f>
        <v>1.3000000000001677E-2</v>
      </c>
      <c r="AE39" s="486">
        <v>43367</v>
      </c>
      <c r="AF39" s="253"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39" s="254" t="str">
        <f>IF(Table25781014[[#This Row],[Planned Date]]="","",TEXT(Table25781014[[#This Row],[Planned Date]],"mmm"))</f>
        <v/>
      </c>
      <c r="AH39" s="255" t="str">
        <f>IF(Table25781014[[#This Row],[Month]]="","",VLOOKUP(Table25781014[[#This Row],[Month]],List!$B$2:$C$13,2,FALSE))</f>
        <v/>
      </c>
    </row>
    <row r="40" spans="1:34" ht="38.25" x14ac:dyDescent="0.2">
      <c r="A40" s="67" t="s">
        <v>116</v>
      </c>
      <c r="B40" s="305">
        <v>6</v>
      </c>
      <c r="C40" s="67" t="s">
        <v>9</v>
      </c>
      <c r="D40" s="59" t="s">
        <v>142</v>
      </c>
      <c r="E40" s="104" t="str">
        <f>IF(Table25781014[[#This Row],[Line Section]]="","",VLOOKUP(Table25781014[[#This Row],[Line Section]],Reference!$A$2:$B$47,2,FALSE))</f>
        <v>C152</v>
      </c>
      <c r="F40" s="157">
        <v>43891</v>
      </c>
      <c r="G40" s="250"/>
      <c r="H40" s="69" t="s">
        <v>534</v>
      </c>
      <c r="I40" s="54" t="s">
        <v>100</v>
      </c>
      <c r="J40" s="60">
        <v>22.52</v>
      </c>
      <c r="K40" s="60">
        <v>22.65</v>
      </c>
      <c r="L40" s="53">
        <f>IF(Table25781014[[#This Row],[End
(km)]]="","",Table25781014[[#This Row],[End
(km)]]-Table25781014[[#This Row],[Start
(km)]])</f>
        <v>0.12999999999999901</v>
      </c>
      <c r="M40" s="61" t="s">
        <v>189</v>
      </c>
      <c r="N40" s="59"/>
      <c r="O40" s="295" t="s">
        <v>113</v>
      </c>
      <c r="P40" s="71">
        <v>43472</v>
      </c>
      <c r="Q40" s="307">
        <v>43475</v>
      </c>
      <c r="R40" s="57" t="s">
        <v>121</v>
      </c>
      <c r="S40" s="55" t="s">
        <v>121</v>
      </c>
      <c r="T40" s="66" t="s">
        <v>121</v>
      </c>
      <c r="U40" s="308"/>
      <c r="V40" s="308"/>
      <c r="W40" s="58" t="s">
        <v>287</v>
      </c>
      <c r="X40" s="77" t="s">
        <v>643</v>
      </c>
      <c r="Y40" s="388" t="s">
        <v>624</v>
      </c>
      <c r="Z40" s="57" t="s">
        <v>188</v>
      </c>
      <c r="AA40" s="313"/>
      <c r="AB40" s="96"/>
      <c r="AC40" s="96"/>
      <c r="AD40" s="314" t="str">
        <f>IF(Table25781014[[#This Row],[End Completed Section (km)]]="","",Table25781014[[#This Row],[End Completed Section (km)]]-Table25781014[[#This Row],[Start Completed Section (km)]])</f>
        <v/>
      </c>
      <c r="AE40" s="161"/>
      <c r="AF40" s="253"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40" s="254" t="str">
        <f>IF(Table25781014[[#This Row],[Planned Date]]="","",TEXT(Table25781014[[#This Row],[Planned Date]],"mmm"))</f>
        <v>Mar</v>
      </c>
      <c r="AH40" s="255">
        <f>IF(Table25781014[[#This Row],[Month]]="","",VLOOKUP(Table25781014[[#This Row],[Month]],List!$B$2:$C$13,2,FALSE))</f>
        <v>9</v>
      </c>
    </row>
    <row r="41" spans="1:34" s="56" customFormat="1" ht="25.5" x14ac:dyDescent="0.2">
      <c r="A41" s="98" t="s">
        <v>117</v>
      </c>
      <c r="B41" s="305"/>
      <c r="C41" s="67" t="s">
        <v>9</v>
      </c>
      <c r="D41" s="59" t="s">
        <v>142</v>
      </c>
      <c r="E41" s="100" t="str">
        <f>IF(Table25781014[[#This Row],[Line Section]]="","",VLOOKUP(Table25781014[[#This Row],[Line Section]],Reference!$A$2:$B$47,2,FALSE))</f>
        <v>C152</v>
      </c>
      <c r="F41" s="157"/>
      <c r="G41" s="250"/>
      <c r="H41" s="311"/>
      <c r="I41" s="54" t="s">
        <v>100</v>
      </c>
      <c r="J41" s="60">
        <v>24.1</v>
      </c>
      <c r="K41" s="60">
        <v>24.35</v>
      </c>
      <c r="L41" s="53">
        <f>IF(Table25781014[[#This Row],[End
(km)]]="","",Table25781014[[#This Row],[End
(km)]]-Table25781014[[#This Row],[Start
(km)]])</f>
        <v>0.25</v>
      </c>
      <c r="M41" s="61" t="s">
        <v>189</v>
      </c>
      <c r="N41" s="59" t="s">
        <v>110</v>
      </c>
      <c r="O41" s="272" t="s">
        <v>109</v>
      </c>
      <c r="P41" s="64">
        <v>43230</v>
      </c>
      <c r="Q41" s="307">
        <v>43472</v>
      </c>
      <c r="R41" s="57"/>
      <c r="S41" s="55" t="s">
        <v>121</v>
      </c>
      <c r="T41" s="66" t="s">
        <v>122</v>
      </c>
      <c r="U41" s="308"/>
      <c r="V41" s="312"/>
      <c r="W41" s="67"/>
      <c r="X41" s="77" t="s">
        <v>269</v>
      </c>
      <c r="Y41" s="327" t="s">
        <v>270</v>
      </c>
      <c r="Z41" s="80" t="s">
        <v>139</v>
      </c>
      <c r="AA41" s="313"/>
      <c r="AB41" s="96"/>
      <c r="AC41" s="96"/>
      <c r="AD41" s="314" t="str">
        <f>IF(Table25781014[[#This Row],[End Completed Section (km)]]="","",Table25781014[[#This Row],[End Completed Section (km)]]-Table25781014[[#This Row],[Start Completed Section (km)]])</f>
        <v/>
      </c>
      <c r="AE41" s="72"/>
      <c r="AF4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1" s="229" t="str">
        <f>IF(Table25781014[[#This Row],[Planned Date]]="","",TEXT(Table25781014[[#This Row],[Planned Date]],"mmm"))</f>
        <v/>
      </c>
      <c r="AH41" s="252" t="str">
        <f>IF(Table25781014[[#This Row],[Month]]="","",VLOOKUP(Table25781014[[#This Row],[Month]],List!$B$2:$C$13,2,FALSE))</f>
        <v/>
      </c>
    </row>
    <row r="42" spans="1:34" x14ac:dyDescent="0.2">
      <c r="A42" s="67"/>
      <c r="B42" s="80"/>
      <c r="C42" s="67" t="s">
        <v>9</v>
      </c>
      <c r="D42" s="59" t="s">
        <v>142</v>
      </c>
      <c r="E42" s="104" t="str">
        <f>IF(Table25781014[[#This Row],[Line Section]]="","",VLOOKUP(Table25781014[[#This Row],[Line Section]],Reference!$A$2:$B$47,2,FALSE))</f>
        <v>C152</v>
      </c>
      <c r="F42" s="157"/>
      <c r="G42" s="250"/>
      <c r="H42" s="69"/>
      <c r="I42" s="54" t="s">
        <v>100</v>
      </c>
      <c r="J42" s="60">
        <v>27.375</v>
      </c>
      <c r="K42" s="60">
        <v>27.41</v>
      </c>
      <c r="L42" s="53">
        <f>IF(Table25781014[[#This Row],[End
(km)]]="","",Table25781014[[#This Row],[End
(km)]]-Table25781014[[#This Row],[Start
(km)]])</f>
        <v>3.5000000000000142E-2</v>
      </c>
      <c r="M42" s="61" t="s">
        <v>554</v>
      </c>
      <c r="N42" s="59"/>
      <c r="O42" s="295"/>
      <c r="P42" s="71"/>
      <c r="Q42" s="71"/>
      <c r="R42" s="57"/>
      <c r="S42" s="55"/>
      <c r="T42" s="66"/>
      <c r="U42" s="66"/>
      <c r="V42" s="66"/>
      <c r="W42" s="58"/>
      <c r="X42" s="77"/>
      <c r="Y42" s="471"/>
      <c r="Z42" s="57"/>
      <c r="AA42" s="278"/>
      <c r="AB42" s="96"/>
      <c r="AC42" s="96"/>
      <c r="AD42" s="226" t="str">
        <f>IF(Table25781014[[#This Row],[End Completed Section (km)]]="","",Table25781014[[#This Row],[End Completed Section (km)]]-Table25781014[[#This Row],[Start Completed Section (km)]])</f>
        <v/>
      </c>
      <c r="AE42" s="72"/>
      <c r="AF4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2" s="229" t="str">
        <f>IF(Table25781014[[#This Row],[Planned Date]]="","",TEXT(Table25781014[[#This Row],[Planned Date]],"mmm"))</f>
        <v/>
      </c>
      <c r="AH42" s="252" t="str">
        <f>IF(Table25781014[[#This Row],[Month]]="","",VLOOKUP(Table25781014[[#This Row],[Month]],List!$B$2:$C$13,2,FALSE))</f>
        <v/>
      </c>
    </row>
    <row r="43" spans="1:34" ht="89.25" x14ac:dyDescent="0.2">
      <c r="A43" s="67" t="s">
        <v>117</v>
      </c>
      <c r="B43" s="305">
        <v>11</v>
      </c>
      <c r="C43" s="67" t="s">
        <v>9</v>
      </c>
      <c r="D43" s="59" t="s">
        <v>142</v>
      </c>
      <c r="E43" s="104" t="str">
        <f>IF(Table25781014[[#This Row],[Line Section]]="","",VLOOKUP(Table25781014[[#This Row],[Line Section]],Reference!$A$2:$B$47,2,FALSE))</f>
        <v>C152</v>
      </c>
      <c r="F43" s="250">
        <v>43996</v>
      </c>
      <c r="G43" s="250"/>
      <c r="H43" s="69" t="s">
        <v>534</v>
      </c>
      <c r="I43" s="54" t="s">
        <v>100</v>
      </c>
      <c r="J43" s="60">
        <v>27.57</v>
      </c>
      <c r="K43" s="60">
        <v>27.7</v>
      </c>
      <c r="L43" s="53">
        <f>IF(Table25781014[[#This Row],[End
(km)]]="","",Table25781014[[#This Row],[End
(km)]]-Table25781014[[#This Row],[Start
(km)]])</f>
        <v>0.12999999999999901</v>
      </c>
      <c r="M43" s="61" t="s">
        <v>189</v>
      </c>
      <c r="N43" s="59" t="s">
        <v>113</v>
      </c>
      <c r="O43" s="272" t="s">
        <v>113</v>
      </c>
      <c r="P43" s="64">
        <v>43230</v>
      </c>
      <c r="Q43" s="335">
        <v>43250</v>
      </c>
      <c r="R43" s="57" t="s">
        <v>121</v>
      </c>
      <c r="S43" s="55"/>
      <c r="T43" s="66" t="s">
        <v>122</v>
      </c>
      <c r="U43" s="308"/>
      <c r="V43" s="308"/>
      <c r="W43" s="58" t="s">
        <v>150</v>
      </c>
      <c r="X43" s="77" t="s">
        <v>578</v>
      </c>
      <c r="Y43" s="478" t="s">
        <v>271</v>
      </c>
      <c r="Z43" s="57" t="s">
        <v>573</v>
      </c>
      <c r="AA43" s="391">
        <v>43632</v>
      </c>
      <c r="AB43" s="96"/>
      <c r="AC43" s="96"/>
      <c r="AD43" s="314" t="str">
        <f>IF(Table25781014[[#This Row],[End Completed Section (km)]]="","",Table25781014[[#This Row],[End Completed Section (km)]]-Table25781014[[#This Row],[Start Completed Section (km)]])</f>
        <v/>
      </c>
      <c r="AE43" s="72"/>
      <c r="AF4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43" s="229" t="str">
        <f>IF(Table25781014[[#This Row],[Planned Date]]="","",TEXT(Table25781014[[#This Row],[Planned Date]],"mmm"))</f>
        <v>Jun</v>
      </c>
      <c r="AH43" s="252">
        <f>IF(Table25781014[[#This Row],[Month]]="","",VLOOKUP(Table25781014[[#This Row],[Month]],List!$B$2:$C$13,2,FALSE))</f>
        <v>12</v>
      </c>
    </row>
    <row r="44" spans="1:34" ht="25.5" x14ac:dyDescent="0.2">
      <c r="A44" s="67" t="s">
        <v>118</v>
      </c>
      <c r="B44" s="305"/>
      <c r="C44" s="67" t="s">
        <v>9</v>
      </c>
      <c r="D44" s="59" t="s">
        <v>142</v>
      </c>
      <c r="E44" s="104" t="str">
        <f>IF(Table25781014[[#This Row],[Line Section]]="","",VLOOKUP(Table25781014[[#This Row],[Line Section]],Reference!$A$2:$B$47,2,FALSE))</f>
        <v>C152</v>
      </c>
      <c r="F44" s="250"/>
      <c r="G44" s="250"/>
      <c r="H44" s="311"/>
      <c r="I44" s="54" t="s">
        <v>100</v>
      </c>
      <c r="J44" s="60">
        <v>28.38</v>
      </c>
      <c r="K44" s="60">
        <v>28.44</v>
      </c>
      <c r="L44" s="53">
        <f>IF(Table25781014[[#This Row],[End
(km)]]="","",Table25781014[[#This Row],[End
(km)]]-Table25781014[[#This Row],[Start
(km)]])</f>
        <v>6.0000000000002274E-2</v>
      </c>
      <c r="M44" s="61" t="s">
        <v>189</v>
      </c>
      <c r="N44" s="59" t="s">
        <v>113</v>
      </c>
      <c r="O44" s="295" t="s">
        <v>113</v>
      </c>
      <c r="P44" s="71">
        <v>43230</v>
      </c>
      <c r="Q44" s="307">
        <v>43472</v>
      </c>
      <c r="R44" s="57"/>
      <c r="S44" s="55"/>
      <c r="T44" s="66" t="s">
        <v>122</v>
      </c>
      <c r="U44" s="308"/>
      <c r="V44" s="308"/>
      <c r="W44" s="58"/>
      <c r="X44" s="77" t="s">
        <v>272</v>
      </c>
      <c r="Y44" s="330" t="s">
        <v>273</v>
      </c>
      <c r="Z44" s="57" t="s">
        <v>122</v>
      </c>
      <c r="AA44" s="323"/>
      <c r="AB44" s="97"/>
      <c r="AC44" s="97"/>
      <c r="AD44" s="310" t="str">
        <f>IF(Table25781014[[#This Row],[End Completed Section (km)]]="","",Table25781014[[#This Row],[End Completed Section (km)]]-Table25781014[[#This Row],[Start Completed Section (km)]])</f>
        <v/>
      </c>
      <c r="AE44" s="82"/>
      <c r="AF4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4" s="229" t="str">
        <f>IF(Table25781014[[#This Row],[Planned Date]]="","",TEXT(Table25781014[[#This Row],[Planned Date]],"mmm"))</f>
        <v/>
      </c>
      <c r="AH44" s="252" t="str">
        <f>IF(Table25781014[[#This Row],[Month]]="","",VLOOKUP(Table25781014[[#This Row],[Month]],List!$B$2:$C$13,2,FALSE))</f>
        <v/>
      </c>
    </row>
    <row r="45" spans="1:34" s="56" customFormat="1" ht="25.5" x14ac:dyDescent="0.2">
      <c r="A45" s="98" t="s">
        <v>116</v>
      </c>
      <c r="B45" s="293">
        <v>1</v>
      </c>
      <c r="C45" s="67" t="s">
        <v>169</v>
      </c>
      <c r="D45" s="59" t="s">
        <v>48</v>
      </c>
      <c r="E45" s="100" t="str">
        <f>IF(Table25781014[[#This Row],[Line Section]]="","",VLOOKUP(Table25781014[[#This Row],[Line Section]],Reference!$A$2:$B$47,2,FALSE))</f>
        <v>C061</v>
      </c>
      <c r="F45" s="157">
        <v>44185</v>
      </c>
      <c r="G45" s="440"/>
      <c r="H45" s="247" t="s">
        <v>533</v>
      </c>
      <c r="I45" s="54" t="s">
        <v>97</v>
      </c>
      <c r="J45" s="60">
        <v>5.68</v>
      </c>
      <c r="K45" s="60">
        <v>5.85</v>
      </c>
      <c r="L45" s="53">
        <f>IF(Table25781014[[#This Row],[End
(km)]]="","",Table25781014[[#This Row],[End
(km)]]-Table25781014[[#This Row],[Start
(km)]])</f>
        <v>0.16999999999999993</v>
      </c>
      <c r="M45" s="61" t="s">
        <v>179</v>
      </c>
      <c r="N45" s="59" t="s">
        <v>109</v>
      </c>
      <c r="O45" s="295" t="s">
        <v>110</v>
      </c>
      <c r="P45" s="64">
        <v>43467</v>
      </c>
      <c r="Q45" s="292">
        <v>43488</v>
      </c>
      <c r="R45" s="57" t="s">
        <v>121</v>
      </c>
      <c r="S45" s="55"/>
      <c r="T45" s="66"/>
      <c r="U45" s="294"/>
      <c r="V45" s="446"/>
      <c r="W45" s="67"/>
      <c r="X45" s="77" t="s">
        <v>590</v>
      </c>
      <c r="Y45" s="450"/>
      <c r="Z45" s="80" t="s">
        <v>122</v>
      </c>
      <c r="AA45" s="457"/>
      <c r="AB45" s="96"/>
      <c r="AC45" s="96"/>
      <c r="AD45" s="458" t="str">
        <f>IF(Table25781014[[#This Row],[End Completed Section (km)]]="","",Table25781014[[#This Row],[End Completed Section (km)]]-Table25781014[[#This Row],[Start Completed Section (km)]])</f>
        <v/>
      </c>
      <c r="AE45" s="161"/>
      <c r="AF45" s="253"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45" s="254" t="str">
        <f>IF(Table25781014[[#This Row],[Planned Date]]="","",TEXT(Table25781014[[#This Row],[Planned Date]],"mmm"))</f>
        <v>Dec</v>
      </c>
      <c r="AH45" s="255">
        <f>IF(Table25781014[[#This Row],[Month]]="","",VLOOKUP(Table25781014[[#This Row],[Month]],List!$B$2:$C$13,2,FALSE))</f>
        <v>6</v>
      </c>
    </row>
    <row r="46" spans="1:34" s="56" customFormat="1" x14ac:dyDescent="0.2">
      <c r="A46" s="98" t="s">
        <v>118</v>
      </c>
      <c r="B46" s="80"/>
      <c r="C46" s="68" t="s">
        <v>169</v>
      </c>
      <c r="D46" s="54" t="s">
        <v>48</v>
      </c>
      <c r="E46" s="100" t="str">
        <f>IF(Table25781014[[#This Row],[Line Section]]="","",VLOOKUP(Table25781014[[#This Row],[Line Section]],Reference!$A$2:$B$47,2,FALSE))</f>
        <v>C061</v>
      </c>
      <c r="F46" s="157">
        <v>44185</v>
      </c>
      <c r="G46" s="440"/>
      <c r="H46" s="248" t="s">
        <v>534</v>
      </c>
      <c r="I46" s="54" t="s">
        <v>97</v>
      </c>
      <c r="J46" s="60">
        <v>10.35</v>
      </c>
      <c r="K46" s="60">
        <v>10.42</v>
      </c>
      <c r="L46" s="53">
        <f>IF(Table25781014[[#This Row],[End
(km)]]="","",Table25781014[[#This Row],[End
(km)]]-Table25781014[[#This Row],[Start
(km)]])</f>
        <v>7.0000000000000284E-2</v>
      </c>
      <c r="M46" s="61" t="s">
        <v>126</v>
      </c>
      <c r="N46" s="59" t="s">
        <v>113</v>
      </c>
      <c r="O46" s="295" t="s">
        <v>108</v>
      </c>
      <c r="P46" s="64">
        <v>43231</v>
      </c>
      <c r="Q46" s="71">
        <v>43488</v>
      </c>
      <c r="R46" s="57"/>
      <c r="S46" s="55" t="s">
        <v>121</v>
      </c>
      <c r="T46" s="66" t="s">
        <v>122</v>
      </c>
      <c r="U46" s="66"/>
      <c r="V46" s="269"/>
      <c r="W46" s="67" t="s">
        <v>150</v>
      </c>
      <c r="X46" s="77"/>
      <c r="Y46" s="111" t="s">
        <v>306</v>
      </c>
      <c r="Z46" s="80" t="s">
        <v>139</v>
      </c>
      <c r="AA46" s="282"/>
      <c r="AB46" s="96"/>
      <c r="AC46" s="96"/>
      <c r="AD46" s="227" t="str">
        <f>IF(Table25781014[[#This Row],[End Completed Section (km)]]="","",Table25781014[[#This Row],[End Completed Section (km)]]-Table25781014[[#This Row],[Start Completed Section (km)]])</f>
        <v/>
      </c>
      <c r="AE46" s="72"/>
      <c r="AF4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46" s="229" t="str">
        <f>IF(Table25781014[[#This Row],[Planned Date]]="","",TEXT(Table25781014[[#This Row],[Planned Date]],"mmm"))</f>
        <v>Dec</v>
      </c>
      <c r="AH46" s="56">
        <f>IF(Table25781014[[#This Row],[Month]]="","",VLOOKUP(Table25781014[[#This Row],[Month]],List!$B$2:$C$13,2,FALSE))</f>
        <v>6</v>
      </c>
    </row>
    <row r="47" spans="1:34" ht="25.5" x14ac:dyDescent="0.2">
      <c r="A47" s="83" t="s">
        <v>116</v>
      </c>
      <c r="B47" s="81"/>
      <c r="C47" s="73" t="s">
        <v>169</v>
      </c>
      <c r="D47" s="74" t="s">
        <v>48</v>
      </c>
      <c r="E47" s="104" t="str">
        <f>IF(Table25781014[[#This Row],[Line Section]]="","",VLOOKUP(Table25781014[[#This Row],[Line Section]],Reference!$A$2:$B$47,2,FALSE))</f>
        <v>C061</v>
      </c>
      <c r="F47" s="250">
        <v>43387</v>
      </c>
      <c r="G47" s="440"/>
      <c r="H47" s="248" t="s">
        <v>534</v>
      </c>
      <c r="I47" s="86" t="s">
        <v>97</v>
      </c>
      <c r="J47" s="75">
        <v>10.5</v>
      </c>
      <c r="K47" s="75">
        <v>10.62</v>
      </c>
      <c r="L47" s="44">
        <f>IF(Table25781014[[#This Row],[End
(km)]]="","",Table25781014[[#This Row],[End
(km)]]-Table25781014[[#This Row],[Start
(km)]])</f>
        <v>0.11999999999999922</v>
      </c>
      <c r="M47" s="76" t="s">
        <v>126</v>
      </c>
      <c r="N47" s="74" t="s">
        <v>109</v>
      </c>
      <c r="O47" s="295"/>
      <c r="P47" s="71">
        <v>43231</v>
      </c>
      <c r="Q47" s="71"/>
      <c r="R47" s="89"/>
      <c r="S47" s="90" t="s">
        <v>121</v>
      </c>
      <c r="T47" s="91" t="s">
        <v>122</v>
      </c>
      <c r="U47" s="91"/>
      <c r="V47" s="269"/>
      <c r="W47" s="73"/>
      <c r="X47" s="78" t="s">
        <v>307</v>
      </c>
      <c r="Y47" s="158" t="s">
        <v>308</v>
      </c>
      <c r="Z47" s="81" t="s">
        <v>121</v>
      </c>
      <c r="AA47" s="282"/>
      <c r="AB47" s="97">
        <v>10.55</v>
      </c>
      <c r="AC47" s="97">
        <v>10.75</v>
      </c>
      <c r="AD47" s="227">
        <f>IF(Table25781014[[#This Row],[End Completed Section (km)]]="","",Table25781014[[#This Row],[End Completed Section (km)]]-Table25781014[[#This Row],[Start Completed Section (km)]])</f>
        <v>0.19999999999999929</v>
      </c>
      <c r="AE47" s="82"/>
      <c r="AF4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47" s="229" t="str">
        <f>IF(Table25781014[[#This Row],[Planned Date]]="","",TEXT(Table25781014[[#This Row],[Planned Date]],"mmm"))</f>
        <v>Oct</v>
      </c>
      <c r="AH47" s="56">
        <f>IF(Table25781014[[#This Row],[Month]]="","",VLOOKUP(Table25781014[[#This Row],[Month]],List!$B$2:$C$13,2,FALSE))</f>
        <v>4</v>
      </c>
    </row>
    <row r="48" spans="1:34" ht="25.5" x14ac:dyDescent="0.2">
      <c r="A48" s="83" t="s">
        <v>116</v>
      </c>
      <c r="B48" s="81"/>
      <c r="C48" s="73" t="s">
        <v>169</v>
      </c>
      <c r="D48" s="74" t="s">
        <v>48</v>
      </c>
      <c r="E48" s="104" t="str">
        <f>IF(Table25781014[[#This Row],[Line Section]]="","",VLOOKUP(Table25781014[[#This Row],[Line Section]],Reference!$A$2:$B$47,2,FALSE))</f>
        <v>C061</v>
      </c>
      <c r="F48" s="157">
        <v>44185</v>
      </c>
      <c r="G48" s="440"/>
      <c r="H48" s="248" t="s">
        <v>534</v>
      </c>
      <c r="I48" s="86" t="s">
        <v>97</v>
      </c>
      <c r="J48" s="75">
        <v>10.75</v>
      </c>
      <c r="K48" s="75">
        <v>10.88</v>
      </c>
      <c r="L48" s="44">
        <f>IF(Table25781014[[#This Row],[End
(km)]]="","",Table25781014[[#This Row],[End
(km)]]-Table25781014[[#This Row],[Start
(km)]])</f>
        <v>0.13000000000000078</v>
      </c>
      <c r="M48" s="76" t="s">
        <v>126</v>
      </c>
      <c r="N48" s="74" t="s">
        <v>111</v>
      </c>
      <c r="O48" s="295" t="s">
        <v>109</v>
      </c>
      <c r="P48" s="71">
        <v>43231</v>
      </c>
      <c r="Q48" s="71">
        <v>43671</v>
      </c>
      <c r="R48" s="89" t="s">
        <v>121</v>
      </c>
      <c r="S48" s="90"/>
      <c r="T48" s="91" t="s">
        <v>122</v>
      </c>
      <c r="U48" s="91"/>
      <c r="V48" s="269"/>
      <c r="W48" s="73"/>
      <c r="X48" s="78" t="s">
        <v>843</v>
      </c>
      <c r="Y48" s="113" t="s">
        <v>309</v>
      </c>
      <c r="Z48" s="81" t="s">
        <v>139</v>
      </c>
      <c r="AA48" s="282"/>
      <c r="AB48" s="97"/>
      <c r="AC48" s="97"/>
      <c r="AD48" s="227" t="str">
        <f>IF(Table25781014[[#This Row],[End Completed Section (km)]]="","",Table25781014[[#This Row],[End Completed Section (km)]]-Table25781014[[#This Row],[Start Completed Section (km)]])</f>
        <v/>
      </c>
      <c r="AE48" s="82"/>
      <c r="AF4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48" s="229" t="str">
        <f>IF(Table25781014[[#This Row],[Planned Date]]="","",TEXT(Table25781014[[#This Row],[Planned Date]],"mmm"))</f>
        <v>Dec</v>
      </c>
      <c r="AH48" s="56">
        <f>IF(Table25781014[[#This Row],[Month]]="","",VLOOKUP(Table25781014[[#This Row],[Month]],List!$B$2:$C$13,2,FALSE))</f>
        <v>6</v>
      </c>
    </row>
    <row r="49" spans="1:34" ht="25.5" x14ac:dyDescent="0.2">
      <c r="A49" s="83" t="s">
        <v>116</v>
      </c>
      <c r="B49" s="81"/>
      <c r="C49" s="73" t="s">
        <v>169</v>
      </c>
      <c r="D49" s="74" t="s">
        <v>48</v>
      </c>
      <c r="E49" s="104" t="str">
        <f>IF(Table25781014[[#This Row],[Line Section]]="","",VLOOKUP(Table25781014[[#This Row],[Line Section]],Reference!$A$2:$B$47,2,FALSE))</f>
        <v>C061</v>
      </c>
      <c r="F49" s="157"/>
      <c r="G49" s="440"/>
      <c r="H49" s="248"/>
      <c r="I49" s="86" t="s">
        <v>97</v>
      </c>
      <c r="J49" s="75">
        <v>11.2</v>
      </c>
      <c r="K49" s="75">
        <v>11.45</v>
      </c>
      <c r="L49" s="44">
        <f>IF(Table25781014[[#This Row],[End
(km)]]="","",Table25781014[[#This Row],[End
(km)]]-Table25781014[[#This Row],[Start
(km)]])</f>
        <v>0.25</v>
      </c>
      <c r="M49" s="76" t="s">
        <v>126</v>
      </c>
      <c r="N49" s="74" t="s">
        <v>111</v>
      </c>
      <c r="O49" s="295" t="s">
        <v>109</v>
      </c>
      <c r="P49" s="71">
        <v>43231</v>
      </c>
      <c r="Q49" s="71">
        <v>43488</v>
      </c>
      <c r="R49" s="89"/>
      <c r="S49" s="90" t="s">
        <v>121</v>
      </c>
      <c r="T49" s="91"/>
      <c r="U49" s="91"/>
      <c r="V49" s="269"/>
      <c r="W49" s="73"/>
      <c r="X49" s="78" t="s">
        <v>310</v>
      </c>
      <c r="Y49" s="158" t="s">
        <v>311</v>
      </c>
      <c r="Z49" s="81" t="s">
        <v>139</v>
      </c>
      <c r="AA49" s="282"/>
      <c r="AB49" s="97"/>
      <c r="AC49" s="97"/>
      <c r="AD49" s="227" t="str">
        <f>IF(Table25781014[[#This Row],[End Completed Section (km)]]="","",Table25781014[[#This Row],[End Completed Section (km)]]-Table25781014[[#This Row],[Start Completed Section (km)]])</f>
        <v/>
      </c>
      <c r="AE49" s="82"/>
      <c r="AF4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9" s="229" t="str">
        <f>IF(Table25781014[[#This Row],[Planned Date]]="","",TEXT(Table25781014[[#This Row],[Planned Date]],"mmm"))</f>
        <v/>
      </c>
      <c r="AH49" s="56" t="str">
        <f>IF(Table25781014[[#This Row],[Month]]="","",VLOOKUP(Table25781014[[#This Row],[Month]],List!$B$2:$C$13,2,FALSE))</f>
        <v/>
      </c>
    </row>
    <row r="50" spans="1:34" s="56" customFormat="1" x14ac:dyDescent="0.2">
      <c r="A50" s="83" t="s">
        <v>118</v>
      </c>
      <c r="B50" s="80"/>
      <c r="C50" s="73" t="s">
        <v>169</v>
      </c>
      <c r="D50" s="74" t="s">
        <v>48</v>
      </c>
      <c r="E50" s="100" t="str">
        <f>IF(Table25781014[[#This Row],[Line Section]]="","",VLOOKUP(Table25781014[[#This Row],[Line Section]],Reference!$A$2:$B$47,2,FALSE))</f>
        <v>C061</v>
      </c>
      <c r="F50" s="157"/>
      <c r="G50" s="440"/>
      <c r="H50" s="248"/>
      <c r="I50" s="86" t="s">
        <v>97</v>
      </c>
      <c r="J50" s="60">
        <v>11.8</v>
      </c>
      <c r="K50" s="60">
        <v>12</v>
      </c>
      <c r="L50" s="53">
        <f>IF(Table25781014[[#This Row],[End
(km)]]="","",Table25781014[[#This Row],[End
(km)]]-Table25781014[[#This Row],[Start
(km)]])</f>
        <v>0.19999999999999929</v>
      </c>
      <c r="M50" s="61" t="s">
        <v>126</v>
      </c>
      <c r="N50" s="74" t="s">
        <v>112</v>
      </c>
      <c r="O50" s="295" t="s">
        <v>113</v>
      </c>
      <c r="P50" s="64">
        <v>43231</v>
      </c>
      <c r="Q50" s="71">
        <v>43488</v>
      </c>
      <c r="R50" s="57"/>
      <c r="S50" s="55"/>
      <c r="T50" s="66"/>
      <c r="U50" s="66"/>
      <c r="V50" s="269"/>
      <c r="W50" s="67"/>
      <c r="X50" s="78"/>
      <c r="Y50" s="46"/>
      <c r="Z50" s="159" t="s">
        <v>122</v>
      </c>
      <c r="AA50" s="281"/>
      <c r="AB50" s="96"/>
      <c r="AC50" s="96"/>
      <c r="AD50" s="227" t="str">
        <f>IF(Table25781014[[#This Row],[End Completed Section (km)]]="","",Table25781014[[#This Row],[End Completed Section (km)]]-Table25781014[[#This Row],[Start Completed Section (km)]])</f>
        <v/>
      </c>
      <c r="AE50" s="72"/>
      <c r="AF5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50" s="229" t="str">
        <f>IF(Table25781014[[#This Row],[Planned Date]]="","",TEXT(Table25781014[[#This Row],[Planned Date]],"mmm"))</f>
        <v/>
      </c>
      <c r="AH50" s="56" t="str">
        <f>IF(Table25781014[[#This Row],[Month]]="","",VLOOKUP(Table25781014[[#This Row],[Month]],List!$B$2:$C$13,2,FALSE))</f>
        <v/>
      </c>
    </row>
    <row r="51" spans="1:34" ht="25.5" x14ac:dyDescent="0.2">
      <c r="A51" s="83" t="s">
        <v>117</v>
      </c>
      <c r="B51" s="328"/>
      <c r="C51" s="73" t="s">
        <v>169</v>
      </c>
      <c r="D51" s="74" t="s">
        <v>48</v>
      </c>
      <c r="E51" s="104" t="str">
        <f>IF(Table25781014[[#This Row],[Line Section]]="","",VLOOKUP(Table25781014[[#This Row],[Line Section]],Reference!$A$2:$B$47,2,FALSE))</f>
        <v>C061</v>
      </c>
      <c r="F51" s="157"/>
      <c r="G51" s="440"/>
      <c r="H51" s="306"/>
      <c r="I51" s="86" t="s">
        <v>97</v>
      </c>
      <c r="J51" s="75">
        <v>12.1</v>
      </c>
      <c r="K51" s="75">
        <v>12.5</v>
      </c>
      <c r="L51" s="44">
        <f>IF(Table25781014[[#This Row],[End
(km)]]="","",Table25781014[[#This Row],[End
(km)]]-Table25781014[[#This Row],[Start
(km)]])</f>
        <v>0.40000000000000036</v>
      </c>
      <c r="M51" s="76" t="s">
        <v>126</v>
      </c>
      <c r="N51" s="74" t="s">
        <v>207</v>
      </c>
      <c r="O51" s="295"/>
      <c r="P51" s="71">
        <v>43231</v>
      </c>
      <c r="Q51" s="307">
        <v>43252</v>
      </c>
      <c r="R51" s="89"/>
      <c r="S51" s="90"/>
      <c r="T51" s="91"/>
      <c r="U51" s="329"/>
      <c r="V51" s="309"/>
      <c r="W51" s="73"/>
      <c r="X51" s="78" t="s">
        <v>420</v>
      </c>
      <c r="Y51" s="330" t="s">
        <v>312</v>
      </c>
      <c r="Z51" s="81" t="s">
        <v>139</v>
      </c>
      <c r="AA51" s="323"/>
      <c r="AB51" s="97"/>
      <c r="AC51" s="97"/>
      <c r="AD51" s="310" t="str">
        <f>IF(Table25781014[[#This Row],[End Completed Section (km)]]="","",Table25781014[[#This Row],[End Completed Section (km)]]-Table25781014[[#This Row],[Start Completed Section (km)]])</f>
        <v/>
      </c>
      <c r="AE51" s="82"/>
      <c r="AF5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51" s="229" t="str">
        <f>IF(Table25781014[[#This Row],[Planned Date]]="","",TEXT(Table25781014[[#This Row],[Planned Date]],"mmm"))</f>
        <v/>
      </c>
      <c r="AH51" s="252" t="str">
        <f>IF(Table25781014[[#This Row],[Month]]="","",VLOOKUP(Table25781014[[#This Row],[Month]],List!$B$2:$C$13,2,FALSE))</f>
        <v/>
      </c>
    </row>
    <row r="52" spans="1:34" ht="89.25" x14ac:dyDescent="0.2">
      <c r="A52" s="83" t="s">
        <v>116</v>
      </c>
      <c r="B52" s="81"/>
      <c r="C52" s="73" t="s">
        <v>170</v>
      </c>
      <c r="D52" s="84" t="s">
        <v>210</v>
      </c>
      <c r="E52" s="104" t="str">
        <f>IF(Table25781014[[#This Row],[Line Section]]="","",VLOOKUP(Table25781014[[#This Row],[Line Section]],Reference!$A$2:$B$47,2,FALSE))</f>
        <v>C062</v>
      </c>
      <c r="F52" s="157"/>
      <c r="G52" s="440"/>
      <c r="H52" s="249"/>
      <c r="I52" s="86" t="s">
        <v>97</v>
      </c>
      <c r="J52" s="87">
        <v>0</v>
      </c>
      <c r="K52" s="75">
        <v>0.7</v>
      </c>
      <c r="L52" s="88">
        <f>IF(Table25781014[[#This Row],[End
(km)]]="","",Table25781014[[#This Row],[End
(km)]]-Table25781014[[#This Row],[Start
(km)]])</f>
        <v>0.7</v>
      </c>
      <c r="M52" s="76" t="s">
        <v>126</v>
      </c>
      <c r="N52" s="84" t="s">
        <v>113</v>
      </c>
      <c r="O52" s="71"/>
      <c r="P52" s="71">
        <v>43228</v>
      </c>
      <c r="Q52" s="71">
        <v>43229</v>
      </c>
      <c r="R52" s="89" t="s">
        <v>121</v>
      </c>
      <c r="S52" s="90" t="s">
        <v>121</v>
      </c>
      <c r="T52" s="91" t="s">
        <v>121</v>
      </c>
      <c r="U52" s="91"/>
      <c r="V52" s="269"/>
      <c r="W52" s="449" t="s">
        <v>208</v>
      </c>
      <c r="X52" s="92" t="s">
        <v>557</v>
      </c>
      <c r="Y52" s="468"/>
      <c r="Z52" s="93" t="s">
        <v>573</v>
      </c>
      <c r="AA52" s="280"/>
      <c r="AB52" s="97"/>
      <c r="AC52" s="97"/>
      <c r="AD52" s="227" t="str">
        <f>IF(Table25781014[[#This Row],[End Completed Section (km)]]="","",Table25781014[[#This Row],[End Completed Section (km)]]-Table25781014[[#This Row],[Start Completed Section (km)]])</f>
        <v/>
      </c>
      <c r="AE52" s="82"/>
      <c r="AF5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52" s="229" t="str">
        <f>IF(Table25781014[[#This Row],[Planned Date]]="","",TEXT(Table25781014[[#This Row],[Planned Date]],"mmm"))</f>
        <v/>
      </c>
      <c r="AH52" s="56" t="str">
        <f>IF(Table25781014[[#This Row],[Month]]="","",VLOOKUP(Table25781014[[#This Row],[Month]],List!$B$2:$C$13,2,FALSE))</f>
        <v/>
      </c>
    </row>
    <row r="53" spans="1:34" ht="38.25" x14ac:dyDescent="0.2">
      <c r="A53" s="83" t="s">
        <v>118</v>
      </c>
      <c r="B53" s="81"/>
      <c r="C53" s="73" t="s">
        <v>170</v>
      </c>
      <c r="D53" s="84" t="s">
        <v>209</v>
      </c>
      <c r="E53" s="104" t="str">
        <f>IF(Table25781014[[#This Row],[Line Section]]="","",VLOOKUP(Table25781014[[#This Row],[Line Section]],Reference!$A$2:$B$47,2,FALSE))</f>
        <v>C062</v>
      </c>
      <c r="F53" s="157"/>
      <c r="G53" s="440"/>
      <c r="H53" s="249"/>
      <c r="I53" s="86" t="s">
        <v>97</v>
      </c>
      <c r="J53" s="87">
        <v>0.155</v>
      </c>
      <c r="K53" s="75">
        <v>0.255</v>
      </c>
      <c r="L53" s="88">
        <f>IF(Table25781014[[#This Row],[End
(km)]]="","",Table25781014[[#This Row],[End
(km)]]-Table25781014[[#This Row],[Start
(km)]])</f>
        <v>0.1</v>
      </c>
      <c r="M53" s="76" t="s">
        <v>129</v>
      </c>
      <c r="N53" s="84" t="s">
        <v>207</v>
      </c>
      <c r="O53" s="71"/>
      <c r="P53" s="71">
        <v>43228</v>
      </c>
      <c r="Q53" s="71">
        <v>43229</v>
      </c>
      <c r="R53" s="89"/>
      <c r="S53" s="90" t="s">
        <v>121</v>
      </c>
      <c r="T53" s="91"/>
      <c r="U53" s="91"/>
      <c r="V53" s="91"/>
      <c r="W53" s="105"/>
      <c r="X53" s="92" t="s">
        <v>211</v>
      </c>
      <c r="Y53" s="468"/>
      <c r="Z53" s="93" t="s">
        <v>233</v>
      </c>
      <c r="AA53" s="280"/>
      <c r="AB53" s="97"/>
      <c r="AC53" s="97"/>
      <c r="AD53" s="227" t="str">
        <f>IF(Table25781014[[#This Row],[End Completed Section (km)]]="","",Table25781014[[#This Row],[End Completed Section (km)]]-Table25781014[[#This Row],[Start Completed Section (km)]])</f>
        <v/>
      </c>
      <c r="AE53" s="82"/>
      <c r="AF5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53" s="229" t="str">
        <f>IF(Table25781014[[#This Row],[Planned Date]]="","",TEXT(Table25781014[[#This Row],[Planned Date]],"mmm"))</f>
        <v/>
      </c>
      <c r="AH53" s="56" t="str">
        <f>IF(Table25781014[[#This Row],[Month]]="","",VLOOKUP(Table25781014[[#This Row],[Month]],List!$B$2:$C$13,2,FALSE))</f>
        <v/>
      </c>
    </row>
    <row r="54" spans="1:34" s="56" customFormat="1" ht="76.5" x14ac:dyDescent="0.2">
      <c r="A54" s="98" t="s">
        <v>117</v>
      </c>
      <c r="B54" s="305">
        <v>7</v>
      </c>
      <c r="C54" s="73" t="s">
        <v>170</v>
      </c>
      <c r="D54" s="84" t="s">
        <v>209</v>
      </c>
      <c r="E54" s="100" t="str">
        <f>IF(Table25781014[[#This Row],[Line Section]]="","",VLOOKUP(Table25781014[[#This Row],[Line Section]],Reference!$A$2:$B$47,2,FALSE))</f>
        <v>C062</v>
      </c>
      <c r="F54" s="157">
        <v>43793</v>
      </c>
      <c r="G54" s="440"/>
      <c r="H54" s="247" t="s">
        <v>534</v>
      </c>
      <c r="I54" s="86" t="s">
        <v>97</v>
      </c>
      <c r="J54" s="60">
        <v>1.4</v>
      </c>
      <c r="K54" s="60">
        <v>1.7</v>
      </c>
      <c r="L54" s="102">
        <f>IF(Table25781014[[#This Row],[End
(km)]]="","",Table25781014[[#This Row],[End
(km)]]-Table25781014[[#This Row],[Start
(km)]])</f>
        <v>0.30000000000000004</v>
      </c>
      <c r="M54" s="61" t="s">
        <v>189</v>
      </c>
      <c r="N54" s="74" t="s">
        <v>108</v>
      </c>
      <c r="O54" s="295" t="s">
        <v>110</v>
      </c>
      <c r="P54" s="64">
        <v>43483</v>
      </c>
      <c r="Q54" s="307">
        <v>43488</v>
      </c>
      <c r="R54" s="57" t="s">
        <v>121</v>
      </c>
      <c r="S54" s="55"/>
      <c r="T54" s="66"/>
      <c r="U54" s="308"/>
      <c r="V54" s="309"/>
      <c r="W54" s="67"/>
      <c r="X54" s="78" t="s">
        <v>853</v>
      </c>
      <c r="Y54" s="326"/>
      <c r="Z54" s="103" t="s">
        <v>122</v>
      </c>
      <c r="AA54" s="320"/>
      <c r="AB54" s="96"/>
      <c r="AC54" s="96"/>
      <c r="AD54" s="310" t="str">
        <f>IF(Table25781014[[#This Row],[End Completed Section (km)]]="","",Table25781014[[#This Row],[End Completed Section (km)]]-Table25781014[[#This Row],[Start Completed Section (km)]])</f>
        <v/>
      </c>
      <c r="AE54" s="72"/>
      <c r="AF5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54" s="229" t="str">
        <f>IF(Table25781014[[#This Row],[Planned Date]]="","",TEXT(Table25781014[[#This Row],[Planned Date]],"mmm"))</f>
        <v>Nov</v>
      </c>
      <c r="AH54" s="252">
        <f>IF(Table25781014[[#This Row],[Month]]="","",VLOOKUP(Table25781014[[#This Row],[Month]],List!$B$2:$C$13,2,FALSE))</f>
        <v>5</v>
      </c>
    </row>
    <row r="55" spans="1:34" ht="76.5" x14ac:dyDescent="0.2">
      <c r="A55" s="83" t="s">
        <v>117</v>
      </c>
      <c r="B55" s="81">
        <v>12</v>
      </c>
      <c r="C55" s="73" t="s">
        <v>170</v>
      </c>
      <c r="D55" s="74" t="s">
        <v>210</v>
      </c>
      <c r="E55" s="104" t="str">
        <f>IF(Table25781014[[#This Row],[Line Section]]="","",VLOOKUP(Table25781014[[#This Row],[Line Section]],Reference!$A$2:$B$47,2,FALSE))</f>
        <v>C062</v>
      </c>
      <c r="F55" s="157"/>
      <c r="G55" s="440"/>
      <c r="H55" s="247"/>
      <c r="I55" s="86" t="s">
        <v>97</v>
      </c>
      <c r="J55" s="75">
        <v>1.48</v>
      </c>
      <c r="K55" s="75">
        <v>1.8</v>
      </c>
      <c r="L55" s="44">
        <f>IF(Table25781014[[#This Row],[End
(km)]]="","",Table25781014[[#This Row],[End
(km)]]-Table25781014[[#This Row],[Start
(km)]])</f>
        <v>0.32000000000000006</v>
      </c>
      <c r="M55" s="76" t="s">
        <v>189</v>
      </c>
      <c r="N55" s="74" t="s">
        <v>111</v>
      </c>
      <c r="O55" s="295" t="s">
        <v>110</v>
      </c>
      <c r="P55" s="71">
        <v>43234</v>
      </c>
      <c r="Q55" s="71">
        <v>43488</v>
      </c>
      <c r="R55" s="89"/>
      <c r="S55" s="90" t="s">
        <v>121</v>
      </c>
      <c r="T55" s="91" t="s">
        <v>122</v>
      </c>
      <c r="U55" s="91"/>
      <c r="V55" s="269"/>
      <c r="W55" s="73"/>
      <c r="X55" s="78" t="s">
        <v>558</v>
      </c>
      <c r="Y55" s="158" t="s">
        <v>354</v>
      </c>
      <c r="Z55" s="81" t="s">
        <v>139</v>
      </c>
      <c r="AA55" s="392">
        <v>43528</v>
      </c>
      <c r="AB55" s="97"/>
      <c r="AC55" s="97"/>
      <c r="AD55" s="227" t="str">
        <f>IF(Table25781014[[#This Row],[End Completed Section (km)]]="","",Table25781014[[#This Row],[End Completed Section (km)]]-Table25781014[[#This Row],[Start Completed Section (km)]])</f>
        <v/>
      </c>
      <c r="AE55" s="82"/>
      <c r="AF5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55" s="229" t="str">
        <f>IF(Table25781014[[#This Row],[Planned Date]]="","",TEXT(Table25781014[[#This Row],[Planned Date]],"mmm"))</f>
        <v/>
      </c>
      <c r="AH55" s="56" t="str">
        <f>IF(Table25781014[[#This Row],[Month]]="","",VLOOKUP(Table25781014[[#This Row],[Month]],List!$B$2:$C$13,2,FALSE))</f>
        <v/>
      </c>
    </row>
    <row r="56" spans="1:34" ht="89.25" x14ac:dyDescent="0.2">
      <c r="A56" s="83" t="s">
        <v>116</v>
      </c>
      <c r="B56" s="81"/>
      <c r="C56" s="73" t="s">
        <v>170</v>
      </c>
      <c r="D56" s="74" t="s">
        <v>210</v>
      </c>
      <c r="E56" s="104" t="str">
        <f>IF(Table25781014[[#This Row],[Line Section]]="","",VLOOKUP(Table25781014[[#This Row],[Line Section]],Reference!$A$2:$B$47,2,FALSE))</f>
        <v>C062</v>
      </c>
      <c r="F56" s="250">
        <v>43528</v>
      </c>
      <c r="G56" s="440"/>
      <c r="H56" s="249" t="s">
        <v>533</v>
      </c>
      <c r="I56" s="86" t="s">
        <v>97</v>
      </c>
      <c r="J56" s="75">
        <v>1.81</v>
      </c>
      <c r="K56" s="75">
        <v>2.35</v>
      </c>
      <c r="L56" s="44">
        <f>IF(Table25781014[[#This Row],[End
(km)]]="","",Table25781014[[#This Row],[End
(km)]]-Table25781014[[#This Row],[Start
(km)]])</f>
        <v>0.54</v>
      </c>
      <c r="M56" s="76" t="s">
        <v>189</v>
      </c>
      <c r="N56" s="74" t="s">
        <v>111</v>
      </c>
      <c r="O56" s="295"/>
      <c r="P56" s="71">
        <v>43234</v>
      </c>
      <c r="Q56" s="71">
        <v>43250</v>
      </c>
      <c r="R56" s="89" t="s">
        <v>121</v>
      </c>
      <c r="S56" s="90" t="s">
        <v>121</v>
      </c>
      <c r="T56" s="91" t="s">
        <v>122</v>
      </c>
      <c r="U56" s="91"/>
      <c r="V56" s="269"/>
      <c r="W56" s="73"/>
      <c r="X56" s="78" t="s">
        <v>638</v>
      </c>
      <c r="Y56" s="158" t="s">
        <v>355</v>
      </c>
      <c r="Z56" s="81" t="s">
        <v>415</v>
      </c>
      <c r="AA56" s="282"/>
      <c r="AB56" s="97">
        <v>1.97</v>
      </c>
      <c r="AC56" s="97">
        <v>2.0099999999999998</v>
      </c>
      <c r="AD56" s="227">
        <f>IF(Table25781014[[#This Row],[End Completed Section (km)]]="","",Table25781014[[#This Row],[End Completed Section (km)]]-Table25781014[[#This Row],[Start Completed Section (km)]])</f>
        <v>3.9999999999999813E-2</v>
      </c>
      <c r="AE56" s="82">
        <v>43429</v>
      </c>
      <c r="AF5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56" s="229" t="str">
        <f>IF(Table25781014[[#This Row],[Planned Date]]="","",TEXT(Table25781014[[#This Row],[Planned Date]],"mmm"))</f>
        <v>Mar</v>
      </c>
      <c r="AH56" s="56">
        <f>IF(Table25781014[[#This Row],[Month]]="","",VLOOKUP(Table25781014[[#This Row],[Month]],List!$B$2:$C$13,2,FALSE))</f>
        <v>9</v>
      </c>
    </row>
    <row r="57" spans="1:34" ht="25.5" x14ac:dyDescent="0.2">
      <c r="A57" s="83" t="s">
        <v>117</v>
      </c>
      <c r="B57" s="360"/>
      <c r="C57" s="73" t="s">
        <v>170</v>
      </c>
      <c r="D57" s="84" t="s">
        <v>209</v>
      </c>
      <c r="E57" s="104" t="str">
        <f>IF(Table25781014[[#This Row],[Line Section]]="","",VLOOKUP(Table25781014[[#This Row],[Line Section]],Reference!$A$2:$B$47,2,FALSE))</f>
        <v>C062</v>
      </c>
      <c r="F57" s="157">
        <v>43429</v>
      </c>
      <c r="G57" s="440"/>
      <c r="H57" s="249" t="s">
        <v>534</v>
      </c>
      <c r="I57" s="86" t="s">
        <v>97</v>
      </c>
      <c r="J57" s="87">
        <v>1.98</v>
      </c>
      <c r="K57" s="75">
        <v>2.0299999999999998</v>
      </c>
      <c r="L57" s="88">
        <f>IF(Table25781014[[#This Row],[End
(km)]]="","",Table25781014[[#This Row],[End
(km)]]-Table25781014[[#This Row],[Start
(km)]])</f>
        <v>4.9999999999999822E-2</v>
      </c>
      <c r="M57" s="76" t="s">
        <v>189</v>
      </c>
      <c r="N57" s="84" t="s">
        <v>113</v>
      </c>
      <c r="O57" s="71"/>
      <c r="P57" s="71">
        <v>43228</v>
      </c>
      <c r="Q57" s="36">
        <v>43250</v>
      </c>
      <c r="R57" s="89" t="s">
        <v>121</v>
      </c>
      <c r="S57" s="108" t="s">
        <v>121</v>
      </c>
      <c r="T57" s="91" t="s">
        <v>122</v>
      </c>
      <c r="U57" s="361"/>
      <c r="V57" s="361"/>
      <c r="W57" s="105"/>
      <c r="X57" s="400" t="s">
        <v>409</v>
      </c>
      <c r="Y57" s="38"/>
      <c r="Z57" s="93" t="s">
        <v>121</v>
      </c>
      <c r="AA57" s="280"/>
      <c r="AB57" s="97">
        <v>1.97</v>
      </c>
      <c r="AC57" s="97">
        <v>2.0099999999999998</v>
      </c>
      <c r="AD57" s="227">
        <f>IF(Table25781014[[#This Row],[End Completed Section (km)]]="","",Table25781014[[#This Row],[End Completed Section (km)]]-Table25781014[[#This Row],[Start Completed Section (km)]])</f>
        <v>3.9999999999999813E-2</v>
      </c>
      <c r="AE57" s="82">
        <v>43429</v>
      </c>
      <c r="AF5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57" s="229" t="str">
        <f>IF(Table25781014[[#This Row],[Planned Date]]="","",TEXT(Table25781014[[#This Row],[Planned Date]],"mmm"))</f>
        <v>Nov</v>
      </c>
      <c r="AH57" s="56">
        <f>IF(Table25781014[[#This Row],[Month]]="","",VLOOKUP(Table25781014[[#This Row],[Month]],List!$B$2:$C$13,2,FALSE))</f>
        <v>5</v>
      </c>
    </row>
    <row r="58" spans="1:34" ht="38.25" x14ac:dyDescent="0.2">
      <c r="A58" s="98" t="s">
        <v>118</v>
      </c>
      <c r="B58" s="51">
        <v>11</v>
      </c>
      <c r="C58" s="73" t="s">
        <v>170</v>
      </c>
      <c r="D58" s="84" t="s">
        <v>209</v>
      </c>
      <c r="E58" s="104" t="str">
        <f>IF(Table25781014[[#This Row],[Line Section]]="","",VLOOKUP(Table25781014[[#This Row],[Line Section]],Reference!$A$2:$B$47,2,FALSE))</f>
        <v>C062</v>
      </c>
      <c r="F58" s="157">
        <v>44157</v>
      </c>
      <c r="G58" s="250"/>
      <c r="H58" s="42" t="s">
        <v>534</v>
      </c>
      <c r="I58" s="54" t="s">
        <v>97</v>
      </c>
      <c r="J58" s="101">
        <v>2.1</v>
      </c>
      <c r="K58" s="60">
        <v>2.2999999999999998</v>
      </c>
      <c r="L58" s="102">
        <f>IF(Table25781014[[#This Row],[End
(km)]]="","",Table25781014[[#This Row],[End
(km)]]-Table25781014[[#This Row],[Start
(km)]])</f>
        <v>0.19999999999999973</v>
      </c>
      <c r="M58" s="61" t="s">
        <v>189</v>
      </c>
      <c r="N58" s="99" t="s">
        <v>109</v>
      </c>
      <c r="O58" s="71" t="s">
        <v>110</v>
      </c>
      <c r="P58" s="71">
        <v>43228</v>
      </c>
      <c r="Q58" s="36">
        <v>43483</v>
      </c>
      <c r="R58" s="57" t="s">
        <v>121</v>
      </c>
      <c r="S58" s="106"/>
      <c r="T58" s="66" t="s">
        <v>121</v>
      </c>
      <c r="U58" s="48"/>
      <c r="V58" s="373"/>
      <c r="W58" s="67"/>
      <c r="X58" s="92" t="s">
        <v>720</v>
      </c>
      <c r="Y58" s="38"/>
      <c r="Z58" s="93" t="s">
        <v>122</v>
      </c>
      <c r="AA58" s="280"/>
      <c r="AB58" s="96"/>
      <c r="AC58" s="96"/>
      <c r="AD58" s="226" t="str">
        <f>IF(Table25781014[[#This Row],[End Completed Section (km)]]="","",Table25781014[[#This Row],[End Completed Section (km)]]-Table25781014[[#This Row],[Start Completed Section (km)]])</f>
        <v/>
      </c>
      <c r="AE58" s="72"/>
      <c r="AF5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58" s="229" t="str">
        <f>IF(Table25781014[[#This Row],[Planned Date]]="","",TEXT(Table25781014[[#This Row],[Planned Date]],"mmm"))</f>
        <v>Nov</v>
      </c>
      <c r="AH58" s="56">
        <f>IF(Table25781014[[#This Row],[Month]]="","",VLOOKUP(Table25781014[[#This Row],[Month]],List!$B$2:$C$13,2,FALSE))</f>
        <v>5</v>
      </c>
    </row>
    <row r="59" spans="1:34" ht="25.5" x14ac:dyDescent="0.2">
      <c r="A59" s="83" t="s">
        <v>117</v>
      </c>
      <c r="B59" s="360"/>
      <c r="C59" s="73" t="s">
        <v>170</v>
      </c>
      <c r="D59" s="84" t="s">
        <v>209</v>
      </c>
      <c r="E59" s="104" t="str">
        <f>IF(Table25781014[[#This Row],[Line Section]]="","",VLOOKUP(Table25781014[[#This Row],[Line Section]],Reference!$A$2:$B$47,2,FALSE))</f>
        <v>C062</v>
      </c>
      <c r="F59" s="157">
        <v>43430</v>
      </c>
      <c r="G59" s="250"/>
      <c r="H59" s="42" t="s">
        <v>534</v>
      </c>
      <c r="I59" s="54" t="s">
        <v>97</v>
      </c>
      <c r="J59" s="87">
        <v>2.1800000000000002</v>
      </c>
      <c r="K59" s="75">
        <v>2.2000000000000002</v>
      </c>
      <c r="L59" s="88">
        <f>IF(Table25781014[[#This Row],[End
(km)]]="","",Table25781014[[#This Row],[End
(km)]]-Table25781014[[#This Row],[Start
(km)]])</f>
        <v>2.0000000000000018E-2</v>
      </c>
      <c r="M59" s="76" t="s">
        <v>189</v>
      </c>
      <c r="N59" s="84" t="s">
        <v>113</v>
      </c>
      <c r="O59" s="71"/>
      <c r="P59" s="71">
        <v>43447</v>
      </c>
      <c r="Q59" s="285"/>
      <c r="R59" s="89" t="s">
        <v>121</v>
      </c>
      <c r="S59" s="108"/>
      <c r="T59" s="91"/>
      <c r="U59" s="368"/>
      <c r="V59" s="372"/>
      <c r="W59" s="73"/>
      <c r="X59" s="92"/>
      <c r="Y59" s="381"/>
      <c r="Z59" s="93" t="s">
        <v>121</v>
      </c>
      <c r="AA59" s="406"/>
      <c r="AB59" s="97">
        <v>2.1800000000000002</v>
      </c>
      <c r="AC59" s="97">
        <v>2.2000000000000002</v>
      </c>
      <c r="AD59" s="359">
        <f>IF(Table25781014[[#This Row],[End Completed Section (km)]]="","",Table25781014[[#This Row],[End Completed Section (km)]]-Table25781014[[#This Row],[Start Completed Section (km)]])</f>
        <v>2.0000000000000018E-2</v>
      </c>
      <c r="AE59" s="82">
        <v>43429</v>
      </c>
      <c r="AF5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59" s="229" t="str">
        <f>IF(Table25781014[[#This Row],[Planned Date]]="","",TEXT(Table25781014[[#This Row],[Planned Date]],"mmm"))</f>
        <v>Nov</v>
      </c>
      <c r="AH59" s="252">
        <f>IF(Table25781014[[#This Row],[Month]]="","",VLOOKUP(Table25781014[[#This Row],[Month]],List!$B$2:$C$13,2,FALSE))</f>
        <v>5</v>
      </c>
    </row>
    <row r="60" spans="1:34" ht="38.25" x14ac:dyDescent="0.2">
      <c r="A60" s="83" t="s">
        <v>118</v>
      </c>
      <c r="B60" s="81"/>
      <c r="C60" s="73" t="s">
        <v>170</v>
      </c>
      <c r="D60" s="74" t="s">
        <v>210</v>
      </c>
      <c r="E60" s="104" t="str">
        <f>IF(Table25781014[[#This Row],[Line Section]]="","",VLOOKUP(Table25781014[[#This Row],[Line Section]],Reference!$A$2:$B$47,2,FALSE))</f>
        <v>C062</v>
      </c>
      <c r="F60" s="274"/>
      <c r="G60" s="440"/>
      <c r="H60" s="248"/>
      <c r="I60" s="54" t="s">
        <v>97</v>
      </c>
      <c r="J60" s="75">
        <v>2.5</v>
      </c>
      <c r="K60" s="75">
        <v>2.7</v>
      </c>
      <c r="L60" s="44">
        <f>IF(Table25781014[[#This Row],[End
(km)]]="","",Table25781014[[#This Row],[End
(km)]]-Table25781014[[#This Row],[Start
(km)]])</f>
        <v>0.20000000000000018</v>
      </c>
      <c r="M60" s="76" t="s">
        <v>126</v>
      </c>
      <c r="N60" s="74" t="s">
        <v>112</v>
      </c>
      <c r="O60" s="295" t="s">
        <v>113</v>
      </c>
      <c r="P60" s="71">
        <v>43234</v>
      </c>
      <c r="Q60" s="71">
        <v>43488</v>
      </c>
      <c r="R60" s="89"/>
      <c r="S60" s="90" t="s">
        <v>121</v>
      </c>
      <c r="T60" s="91" t="s">
        <v>122</v>
      </c>
      <c r="U60" s="91"/>
      <c r="V60" s="269"/>
      <c r="W60" s="73" t="s">
        <v>287</v>
      </c>
      <c r="X60" s="78" t="s">
        <v>357</v>
      </c>
      <c r="Y60" s="158" t="s">
        <v>356</v>
      </c>
      <c r="Z60" s="81" t="s">
        <v>122</v>
      </c>
      <c r="AA60" s="282"/>
      <c r="AB60" s="97"/>
      <c r="AC60" s="97"/>
      <c r="AD60" s="227" t="str">
        <f>IF(Table25781014[[#This Row],[End Completed Section (km)]]="","",Table25781014[[#This Row],[End Completed Section (km)]]-Table25781014[[#This Row],[Start Completed Section (km)]])</f>
        <v/>
      </c>
      <c r="AE60" s="82"/>
      <c r="AF6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60" s="229" t="str">
        <f>IF(Table25781014[[#This Row],[Planned Date]]="","",TEXT(Table25781014[[#This Row],[Planned Date]],"mmm"))</f>
        <v/>
      </c>
      <c r="AH60" s="56" t="str">
        <f>IF(Table25781014[[#This Row],[Month]]="","",VLOOKUP(Table25781014[[#This Row],[Month]],List!$B$2:$C$13,2,FALSE))</f>
        <v/>
      </c>
    </row>
    <row r="61" spans="1:34" s="56" customFormat="1" ht="102" x14ac:dyDescent="0.2">
      <c r="A61" s="98" t="s">
        <v>116</v>
      </c>
      <c r="B61" s="51">
        <v>1</v>
      </c>
      <c r="C61" s="73" t="s">
        <v>170</v>
      </c>
      <c r="D61" s="84" t="s">
        <v>209</v>
      </c>
      <c r="E61" s="100" t="str">
        <f>IF(Table25781014[[#This Row],[Line Section]]="","",VLOOKUP(Table25781014[[#This Row],[Line Section]],Reference!$A$2:$B$47,2,FALSE))</f>
        <v>C062</v>
      </c>
      <c r="F61" s="157">
        <v>43793</v>
      </c>
      <c r="G61" s="440" t="s">
        <v>430</v>
      </c>
      <c r="H61" s="249" t="s">
        <v>533</v>
      </c>
      <c r="I61" s="54" t="s">
        <v>97</v>
      </c>
      <c r="J61" s="101">
        <v>3.25</v>
      </c>
      <c r="K61" s="60">
        <v>3.55</v>
      </c>
      <c r="L61" s="102">
        <f>IF(Table25781014[[#This Row],[End
(km)]]="","",Table25781014[[#This Row],[End
(km)]]-Table25781014[[#This Row],[Start
(km)]])</f>
        <v>0.29999999999999982</v>
      </c>
      <c r="M61" s="61" t="s">
        <v>189</v>
      </c>
      <c r="N61" s="99" t="s">
        <v>111</v>
      </c>
      <c r="O61" s="71" t="s">
        <v>111</v>
      </c>
      <c r="P61" s="64">
        <v>43228</v>
      </c>
      <c r="Q61" s="36">
        <v>43488</v>
      </c>
      <c r="R61" s="57" t="s">
        <v>121</v>
      </c>
      <c r="S61" s="106" t="s">
        <v>121</v>
      </c>
      <c r="T61" s="66" t="s">
        <v>121</v>
      </c>
      <c r="U61" s="48"/>
      <c r="V61" s="270"/>
      <c r="W61" s="67"/>
      <c r="X61" s="107" t="s">
        <v>854</v>
      </c>
      <c r="Y61" s="267"/>
      <c r="Z61" s="103" t="s">
        <v>122</v>
      </c>
      <c r="AA61" s="280"/>
      <c r="AB61" s="96"/>
      <c r="AC61" s="96"/>
      <c r="AD61" s="227" t="str">
        <f>IF(Table25781014[[#This Row],[End Completed Section (km)]]="","",Table25781014[[#This Row],[End Completed Section (km)]]-Table25781014[[#This Row],[Start Completed Section (km)]])</f>
        <v/>
      </c>
      <c r="AE61" s="72"/>
      <c r="AF6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61" s="229" t="str">
        <f>IF(Table25781014[[#This Row],[Planned Date]]="","",TEXT(Table25781014[[#This Row],[Planned Date]],"mmm"))</f>
        <v>Nov</v>
      </c>
      <c r="AH61" s="56">
        <f>IF(Table25781014[[#This Row],[Month]]="","",VLOOKUP(Table25781014[[#This Row],[Month]],List!$B$2:$C$13,2,FALSE))</f>
        <v>5</v>
      </c>
    </row>
    <row r="62" spans="1:34" ht="25.5" x14ac:dyDescent="0.2">
      <c r="A62" s="83" t="s">
        <v>117</v>
      </c>
      <c r="B62" s="328">
        <v>3</v>
      </c>
      <c r="C62" s="73" t="s">
        <v>170</v>
      </c>
      <c r="D62" s="84" t="s">
        <v>209</v>
      </c>
      <c r="E62" s="104" t="str">
        <f>IF(Table25781014[[#This Row],[Line Section]]="","",VLOOKUP(Table25781014[[#This Row],[Line Section]],Reference!$A$2:$B$47,2,FALSE))</f>
        <v>C062</v>
      </c>
      <c r="F62" s="274">
        <v>44157</v>
      </c>
      <c r="G62" s="440" t="s">
        <v>430</v>
      </c>
      <c r="H62" s="247" t="s">
        <v>533</v>
      </c>
      <c r="I62" s="86" t="s">
        <v>97</v>
      </c>
      <c r="J62" s="75">
        <v>4.25</v>
      </c>
      <c r="K62" s="75">
        <v>5.46</v>
      </c>
      <c r="L62" s="88">
        <f>IF(Table25781014[[#This Row],[End
(km)]]="","",Table25781014[[#This Row],[End
(km)]]-Table25781014[[#This Row],[Start
(km)]])</f>
        <v>1.21</v>
      </c>
      <c r="M62" s="76" t="s">
        <v>189</v>
      </c>
      <c r="N62" s="74" t="s">
        <v>111</v>
      </c>
      <c r="O62" s="295" t="s">
        <v>113</v>
      </c>
      <c r="P62" s="71">
        <v>43483</v>
      </c>
      <c r="Q62" s="307">
        <v>43488</v>
      </c>
      <c r="R62" s="89" t="s">
        <v>121</v>
      </c>
      <c r="S62" s="90"/>
      <c r="T62" s="91"/>
      <c r="U62" s="329"/>
      <c r="V62" s="309"/>
      <c r="W62" s="67"/>
      <c r="X62" s="78" t="s">
        <v>723</v>
      </c>
      <c r="Y62" s="332"/>
      <c r="Z62" s="93"/>
      <c r="AA62" s="320"/>
      <c r="AB62" s="97"/>
      <c r="AC62" s="97"/>
      <c r="AD62" s="310" t="str">
        <f>IF(Table25781014[[#This Row],[End Completed Section (km)]]="","",Table25781014[[#This Row],[End Completed Section (km)]]-Table25781014[[#This Row],[Start Completed Section (km)]])</f>
        <v/>
      </c>
      <c r="AE62" s="82"/>
      <c r="AF6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62" s="229" t="str">
        <f>IF(Table25781014[[#This Row],[Planned Date]]="","",TEXT(Table25781014[[#This Row],[Planned Date]],"mmm"))</f>
        <v>Nov</v>
      </c>
      <c r="AH62" s="252">
        <f>IF(Table25781014[[#This Row],[Month]]="","",VLOOKUP(Table25781014[[#This Row],[Month]],List!$B$2:$C$13,2,FALSE))</f>
        <v>5</v>
      </c>
    </row>
    <row r="63" spans="1:34" ht="38.25" x14ac:dyDescent="0.2">
      <c r="A63" s="83" t="s">
        <v>116</v>
      </c>
      <c r="B63" s="360"/>
      <c r="C63" s="73" t="s">
        <v>170</v>
      </c>
      <c r="D63" s="84" t="s">
        <v>209</v>
      </c>
      <c r="E63" s="104" t="str">
        <f>IF(Table25781014[[#This Row],[Line Section]]="","",VLOOKUP(Table25781014[[#This Row],[Line Section]],Reference!$A$2:$B$47,2,FALSE))</f>
        <v>C062</v>
      </c>
      <c r="F63" s="274" t="s">
        <v>651</v>
      </c>
      <c r="G63" s="440"/>
      <c r="H63" s="249"/>
      <c r="I63" s="86" t="s">
        <v>97</v>
      </c>
      <c r="J63" s="87">
        <v>5.46</v>
      </c>
      <c r="K63" s="75">
        <v>5.78</v>
      </c>
      <c r="L63" s="88">
        <f>IF(Table25781014[[#This Row],[End
(km)]]="","",Table25781014[[#This Row],[End
(km)]]-Table25781014[[#This Row],[Start
(km)]])</f>
        <v>0.32000000000000028</v>
      </c>
      <c r="M63" s="76" t="s">
        <v>189</v>
      </c>
      <c r="N63" s="84" t="s">
        <v>111</v>
      </c>
      <c r="O63" s="71"/>
      <c r="P63" s="71">
        <v>43228</v>
      </c>
      <c r="Q63" s="36">
        <v>43250</v>
      </c>
      <c r="R63" s="57" t="s">
        <v>121</v>
      </c>
      <c r="S63" s="108" t="s">
        <v>121</v>
      </c>
      <c r="T63" s="91" t="s">
        <v>121</v>
      </c>
      <c r="U63" s="361"/>
      <c r="V63" s="361"/>
      <c r="W63" s="105"/>
      <c r="X63" s="180" t="s">
        <v>586</v>
      </c>
      <c r="Y63" s="38"/>
      <c r="Z63" s="93" t="s">
        <v>188</v>
      </c>
      <c r="AA63" s="280"/>
      <c r="AB63" s="97">
        <v>5.46</v>
      </c>
      <c r="AC63" s="97">
        <v>5.78</v>
      </c>
      <c r="AD63" s="227">
        <f>IF(Table25781014[[#This Row],[End Completed Section (km)]]="","",Table25781014[[#This Row],[End Completed Section (km)]]-Table25781014[[#This Row],[Start Completed Section (km)]])</f>
        <v>0.32000000000000028</v>
      </c>
      <c r="AE63" s="82">
        <v>43429</v>
      </c>
      <c r="AF63"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63" s="229" t="str">
        <f>IF(Table25781014[[#This Row],[Planned Date]]="","",TEXT(Table25781014[[#This Row],[Planned Date]],"mmm"))</f>
        <v>21/22</v>
      </c>
      <c r="AH63" s="56" t="e">
        <f>IF(Table25781014[[#This Row],[Month]]="","",VLOOKUP(Table25781014[[#This Row],[Month]],List!$B$2:$C$13,2,FALSE))</f>
        <v>#N/A</v>
      </c>
    </row>
    <row r="64" spans="1:34" x14ac:dyDescent="0.2">
      <c r="A64" s="83" t="s">
        <v>117</v>
      </c>
      <c r="B64" s="328"/>
      <c r="C64" s="73" t="s">
        <v>170</v>
      </c>
      <c r="D64" s="74" t="s">
        <v>210</v>
      </c>
      <c r="E64" s="104" t="str">
        <f>IF(Table25781014[[#This Row],[Line Section]]="","",VLOOKUP(Table25781014[[#This Row],[Line Section]],Reference!$A$2:$B$47,2,FALSE))</f>
        <v>C062</v>
      </c>
      <c r="F64" s="274"/>
      <c r="G64" s="440"/>
      <c r="H64" s="306"/>
      <c r="I64" s="86" t="s">
        <v>106</v>
      </c>
      <c r="J64" s="75">
        <v>6.8</v>
      </c>
      <c r="K64" s="75">
        <v>7.2</v>
      </c>
      <c r="L64" s="44">
        <f>IF(Table25781014[[#This Row],[End
(km)]]="","",Table25781014[[#This Row],[End
(km)]]-Table25781014[[#This Row],[Start
(km)]])</f>
        <v>0.40000000000000036</v>
      </c>
      <c r="M64" s="76"/>
      <c r="N64" s="74"/>
      <c r="O64" s="295" t="s">
        <v>113</v>
      </c>
      <c r="P64" s="71">
        <v>43488</v>
      </c>
      <c r="Q64" s="307"/>
      <c r="R64" s="89"/>
      <c r="S64" s="90"/>
      <c r="T64" s="91"/>
      <c r="U64" s="329"/>
      <c r="V64" s="309"/>
      <c r="W64" s="73" t="s">
        <v>602</v>
      </c>
      <c r="X64" s="78"/>
      <c r="Y64" s="330"/>
      <c r="Z64" s="81"/>
      <c r="AA64" s="323"/>
      <c r="AB64" s="97"/>
      <c r="AC64" s="97"/>
      <c r="AD64" s="310" t="str">
        <f>IF(Table25781014[[#This Row],[End Completed Section (km)]]="","",Table25781014[[#This Row],[End Completed Section (km)]]-Table25781014[[#This Row],[Start Completed Section (km)]])</f>
        <v/>
      </c>
      <c r="AE64" s="162"/>
      <c r="AF64" s="253"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64" s="254" t="str">
        <f>IF(Table25781014[[#This Row],[Planned Date]]="","",TEXT(Table25781014[[#This Row],[Planned Date]],"mmm"))</f>
        <v/>
      </c>
      <c r="AH64" s="255" t="str">
        <f>IF(Table25781014[[#This Row],[Month]]="","",VLOOKUP(Table25781014[[#This Row],[Month]],List!$B$2:$C$13,2,FALSE))</f>
        <v/>
      </c>
    </row>
    <row r="65" spans="1:34" ht="25.5" x14ac:dyDescent="0.2">
      <c r="A65" s="83" t="s">
        <v>116</v>
      </c>
      <c r="B65" s="360"/>
      <c r="C65" s="73" t="s">
        <v>170</v>
      </c>
      <c r="D65" s="84" t="s">
        <v>209</v>
      </c>
      <c r="E65" s="104" t="str">
        <f>IF(Table25781014[[#This Row],[Line Section]]="","",VLOOKUP(Table25781014[[#This Row],[Line Section]],Reference!$A$2:$B$47,2,FALSE))</f>
        <v>C062</v>
      </c>
      <c r="F65" s="274">
        <v>43429</v>
      </c>
      <c r="G65" s="440"/>
      <c r="H65" s="247" t="s">
        <v>535</v>
      </c>
      <c r="I65" s="86" t="s">
        <v>97</v>
      </c>
      <c r="J65" s="87">
        <v>8.0399999999999991</v>
      </c>
      <c r="K65" s="75">
        <v>8.2899999999999991</v>
      </c>
      <c r="L65" s="88">
        <f>IF(Table25781014[[#This Row],[End
(km)]]="","",Table25781014[[#This Row],[End
(km)]]-Table25781014[[#This Row],[Start
(km)]])</f>
        <v>0.25</v>
      </c>
      <c r="M65" s="76" t="s">
        <v>189</v>
      </c>
      <c r="N65" s="84" t="s">
        <v>111</v>
      </c>
      <c r="O65" s="71"/>
      <c r="P65" s="71">
        <v>43228</v>
      </c>
      <c r="Q65" s="36">
        <v>43250</v>
      </c>
      <c r="R65" s="89" t="s">
        <v>121</v>
      </c>
      <c r="S65" s="108" t="s">
        <v>121</v>
      </c>
      <c r="T65" s="91" t="s">
        <v>121</v>
      </c>
      <c r="U65" s="361"/>
      <c r="V65" s="270"/>
      <c r="W65" s="73"/>
      <c r="X65" s="400" t="s">
        <v>405</v>
      </c>
      <c r="Y65" s="38"/>
      <c r="Z65" s="93" t="s">
        <v>121</v>
      </c>
      <c r="AA65" s="280"/>
      <c r="AB65" s="97">
        <v>8.0399999999999991</v>
      </c>
      <c r="AC65" s="97">
        <v>8.2899999999999991</v>
      </c>
      <c r="AD65" s="227">
        <f>IF(Table25781014[[#This Row],[End Completed Section (km)]]="","",Table25781014[[#This Row],[End Completed Section (km)]]-Table25781014[[#This Row],[Start Completed Section (km)]])</f>
        <v>0.25</v>
      </c>
      <c r="AE65" s="82">
        <v>43447</v>
      </c>
      <c r="AF6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65" s="229" t="str">
        <f>IF(Table25781014[[#This Row],[Planned Date]]="","",TEXT(Table25781014[[#This Row],[Planned Date]],"mmm"))</f>
        <v>Nov</v>
      </c>
      <c r="AH65" s="56">
        <f>IF(Table25781014[[#This Row],[Month]]="","",VLOOKUP(Table25781014[[#This Row],[Month]],List!$B$2:$C$13,2,FALSE))</f>
        <v>5</v>
      </c>
    </row>
    <row r="66" spans="1:34" ht="25.5" x14ac:dyDescent="0.2">
      <c r="A66" s="83" t="s">
        <v>117</v>
      </c>
      <c r="B66" s="360"/>
      <c r="C66" s="73" t="s">
        <v>170</v>
      </c>
      <c r="D66" s="84" t="s">
        <v>209</v>
      </c>
      <c r="E66" s="104" t="str">
        <f>IF(Table25781014[[#This Row],[Line Section]]="","",VLOOKUP(Table25781014[[#This Row],[Line Section]],Reference!$A$2:$B$47,2,FALSE))</f>
        <v>C062</v>
      </c>
      <c r="F66" s="157">
        <v>43429</v>
      </c>
      <c r="G66" s="250"/>
      <c r="H66" s="42" t="s">
        <v>534</v>
      </c>
      <c r="I66" s="54" t="s">
        <v>97</v>
      </c>
      <c r="J66" s="87">
        <v>8.48</v>
      </c>
      <c r="K66" s="75">
        <v>8.58</v>
      </c>
      <c r="L66" s="88">
        <f>IF(Table25781014[[#This Row],[End
(km)]]="","",Table25781014[[#This Row],[End
(km)]]-Table25781014[[#This Row],[Start
(km)]])</f>
        <v>9.9999999999999645E-2</v>
      </c>
      <c r="M66" s="76" t="s">
        <v>189</v>
      </c>
      <c r="N66" s="84" t="s">
        <v>112</v>
      </c>
      <c r="O66" s="71"/>
      <c r="P66" s="71">
        <v>43228</v>
      </c>
      <c r="Q66" s="36">
        <v>43250</v>
      </c>
      <c r="R66" s="89" t="s">
        <v>121</v>
      </c>
      <c r="S66" s="108"/>
      <c r="T66" s="91" t="s">
        <v>121</v>
      </c>
      <c r="U66" s="361"/>
      <c r="V66" s="270"/>
      <c r="W66" s="73"/>
      <c r="X66" s="400" t="s">
        <v>406</v>
      </c>
      <c r="Y66" s="267"/>
      <c r="Z66" s="93" t="s">
        <v>121</v>
      </c>
      <c r="AA66" s="280"/>
      <c r="AB66" s="97">
        <v>8.48</v>
      </c>
      <c r="AC66" s="97">
        <v>8.58</v>
      </c>
      <c r="AD66" s="227">
        <f>IF(Table25781014[[#This Row],[End Completed Section (km)]]="","",Table25781014[[#This Row],[End Completed Section (km)]]-Table25781014[[#This Row],[Start Completed Section (km)]])</f>
        <v>9.9999999999999645E-2</v>
      </c>
      <c r="AE66" s="82">
        <v>43429</v>
      </c>
      <c r="AF6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66" s="229" t="str">
        <f>IF(Table25781014[[#This Row],[Planned Date]]="","",TEXT(Table25781014[[#This Row],[Planned Date]],"mmm"))</f>
        <v>Nov</v>
      </c>
      <c r="AH66" s="56">
        <f>IF(Table25781014[[#This Row],[Month]]="","",VLOOKUP(Table25781014[[#This Row],[Month]],List!$B$2:$C$13,2,FALSE))</f>
        <v>5</v>
      </c>
    </row>
    <row r="67" spans="1:34" ht="25.5" x14ac:dyDescent="0.2">
      <c r="A67" s="83" t="s">
        <v>116</v>
      </c>
      <c r="B67" s="81"/>
      <c r="C67" s="73" t="s">
        <v>170</v>
      </c>
      <c r="D67" s="74" t="s">
        <v>210</v>
      </c>
      <c r="E67" s="104" t="str">
        <f>IF(Table25781014[[#This Row],[Line Section]]="","",VLOOKUP(Table25781014[[#This Row],[Line Section]],Reference!$A$2:$B$47,2,FALSE))</f>
        <v>C062</v>
      </c>
      <c r="F67" s="157"/>
      <c r="G67" s="250"/>
      <c r="H67" s="104"/>
      <c r="I67" s="54" t="s">
        <v>106</v>
      </c>
      <c r="J67" s="75">
        <v>8.5500000000000007</v>
      </c>
      <c r="K67" s="75">
        <v>9.0500000000000007</v>
      </c>
      <c r="L67" s="44">
        <f>IF(Table25781014[[#This Row],[End
(km)]]="","",Table25781014[[#This Row],[End
(km)]]-Table25781014[[#This Row],[Start
(km)]])</f>
        <v>0.5</v>
      </c>
      <c r="M67" s="76" t="s">
        <v>189</v>
      </c>
      <c r="N67" s="74" t="s">
        <v>109</v>
      </c>
      <c r="O67" s="295" t="s">
        <v>108</v>
      </c>
      <c r="P67" s="71">
        <v>43234</v>
      </c>
      <c r="Q67" s="71">
        <v>43488</v>
      </c>
      <c r="R67" s="89"/>
      <c r="S67" s="90"/>
      <c r="T67" s="91"/>
      <c r="U67" s="91"/>
      <c r="V67" s="269"/>
      <c r="W67" s="73"/>
      <c r="X67" s="78" t="s">
        <v>358</v>
      </c>
      <c r="Y67" s="111" t="s">
        <v>360</v>
      </c>
      <c r="Z67" s="81" t="s">
        <v>233</v>
      </c>
      <c r="AA67" s="282"/>
      <c r="AB67" s="97"/>
      <c r="AC67" s="97"/>
      <c r="AD67" s="227" t="str">
        <f>IF(Table25781014[[#This Row],[End Completed Section (km)]]="","",Table25781014[[#This Row],[End Completed Section (km)]]-Table25781014[[#This Row],[Start Completed Section (km)]])</f>
        <v/>
      </c>
      <c r="AE67" s="82"/>
      <c r="AF6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67" s="229" t="str">
        <f>IF(Table25781014[[#This Row],[Planned Date]]="","",TEXT(Table25781014[[#This Row],[Planned Date]],"mmm"))</f>
        <v/>
      </c>
      <c r="AH67" s="56" t="str">
        <f>IF(Table25781014[[#This Row],[Month]]="","",VLOOKUP(Table25781014[[#This Row],[Month]],List!$B$2:$C$13,2,FALSE))</f>
        <v/>
      </c>
    </row>
    <row r="68" spans="1:34" s="56" customFormat="1" x14ac:dyDescent="0.2">
      <c r="A68" s="98"/>
      <c r="B68" s="80"/>
      <c r="C68" s="73" t="s">
        <v>170</v>
      </c>
      <c r="D68" s="84" t="s">
        <v>209</v>
      </c>
      <c r="E68" s="100" t="str">
        <f>IF(Table25781014[[#This Row],[Line Section]]="","",VLOOKUP(Table25781014[[#This Row],[Line Section]],Reference!$A$2:$B$47,2,FALSE))</f>
        <v>C062</v>
      </c>
      <c r="F68" s="157"/>
      <c r="G68" s="250"/>
      <c r="H68" s="69"/>
      <c r="I68" s="54" t="s">
        <v>97</v>
      </c>
      <c r="J68" s="60">
        <v>8.66</v>
      </c>
      <c r="K68" s="60">
        <v>8.67</v>
      </c>
      <c r="L68" s="53">
        <f>IF(Table25781014[[#This Row],[End
(km)]]="","",Table25781014[[#This Row],[End
(km)]]-Table25781014[[#This Row],[Start
(km)]])</f>
        <v>9.9999999999997868E-3</v>
      </c>
      <c r="M68" s="61" t="s">
        <v>554</v>
      </c>
      <c r="N68" s="59"/>
      <c r="O68" s="272"/>
      <c r="P68" s="64">
        <v>43480</v>
      </c>
      <c r="Q68" s="71"/>
      <c r="R68" s="57"/>
      <c r="S68" s="55"/>
      <c r="T68" s="66"/>
      <c r="U68" s="66"/>
      <c r="V68" s="268"/>
      <c r="W68" s="67"/>
      <c r="X68" s="77" t="s">
        <v>675</v>
      </c>
      <c r="Y68" s="112"/>
      <c r="Z68" s="80" t="s">
        <v>556</v>
      </c>
      <c r="AA68" s="278"/>
      <c r="AB68" s="96"/>
      <c r="AC68" s="96"/>
      <c r="AD68" s="226" t="str">
        <f>IF(Table25781014[[#This Row],[End Completed Section (km)]]="","",Table25781014[[#This Row],[End Completed Section (km)]]-Table25781014[[#This Row],[Start Completed Section (km)]])</f>
        <v/>
      </c>
      <c r="AE68" s="72"/>
      <c r="AF6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68" s="229" t="str">
        <f>IF(Table25781014[[#This Row],[Planned Date]]="","",TEXT(Table25781014[[#This Row],[Planned Date]],"mmm"))</f>
        <v/>
      </c>
      <c r="AH68" s="252" t="str">
        <f>IF(Table25781014[[#This Row],[Month]]="","",VLOOKUP(Table25781014[[#This Row],[Month]],List!$B$2:$C$13,2,FALSE))</f>
        <v/>
      </c>
    </row>
    <row r="69" spans="1:34" ht="38.25" x14ac:dyDescent="0.2">
      <c r="A69" s="83" t="s">
        <v>117</v>
      </c>
      <c r="B69" s="360">
        <v>10</v>
      </c>
      <c r="C69" s="73" t="s">
        <v>170</v>
      </c>
      <c r="D69" s="84" t="s">
        <v>209</v>
      </c>
      <c r="E69" s="104" t="str">
        <f>IF(Table25781014[[#This Row],[Line Section]]="","",VLOOKUP(Table25781014[[#This Row],[Line Section]],Reference!$A$2:$B$47,2,FALSE))</f>
        <v>C062</v>
      </c>
      <c r="F69" s="157" t="s">
        <v>651</v>
      </c>
      <c r="G69" s="250"/>
      <c r="H69" s="42"/>
      <c r="I69" s="54" t="s">
        <v>97</v>
      </c>
      <c r="J69" s="87">
        <v>8.67</v>
      </c>
      <c r="K69" s="75">
        <v>9</v>
      </c>
      <c r="L69" s="88">
        <f>IF(Table25781014[[#This Row],[End
(km)]]="","",Table25781014[[#This Row],[End
(km)]]-Table25781014[[#This Row],[Start
(km)]])</f>
        <v>0.33000000000000007</v>
      </c>
      <c r="M69" s="76" t="s">
        <v>189</v>
      </c>
      <c r="N69" s="84" t="s">
        <v>110</v>
      </c>
      <c r="O69" s="71"/>
      <c r="P69" s="71">
        <v>43228</v>
      </c>
      <c r="Q69" s="36">
        <v>43229</v>
      </c>
      <c r="R69" s="89" t="s">
        <v>121</v>
      </c>
      <c r="S69" s="108"/>
      <c r="T69" s="91" t="s">
        <v>121</v>
      </c>
      <c r="U69" s="361"/>
      <c r="V69" s="270"/>
      <c r="W69" s="73"/>
      <c r="X69" s="92" t="s">
        <v>802</v>
      </c>
      <c r="Y69" s="267"/>
      <c r="Z69" s="93" t="s">
        <v>122</v>
      </c>
      <c r="AA69" s="280"/>
      <c r="AB69" s="97"/>
      <c r="AC69" s="97"/>
      <c r="AD69" s="227" t="str">
        <f>IF(Table25781014[[#This Row],[End Completed Section (km)]]="","",Table25781014[[#This Row],[End Completed Section (km)]]-Table25781014[[#This Row],[Start Completed Section (km)]])</f>
        <v/>
      </c>
      <c r="AE69" s="82"/>
      <c r="AF69"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69" s="229" t="str">
        <f>IF(Table25781014[[#This Row],[Planned Date]]="","",TEXT(Table25781014[[#This Row],[Planned Date]],"mmm"))</f>
        <v>21/22</v>
      </c>
      <c r="AH69" s="56" t="e">
        <f>IF(Table25781014[[#This Row],[Month]]="","",VLOOKUP(Table25781014[[#This Row],[Month]],List!$B$2:$C$13,2,FALSE))</f>
        <v>#N/A</v>
      </c>
    </row>
    <row r="70" spans="1:34" s="56" customFormat="1" ht="38.25" x14ac:dyDescent="0.2">
      <c r="A70" s="83" t="s">
        <v>116</v>
      </c>
      <c r="B70" s="81"/>
      <c r="C70" s="73" t="s">
        <v>170</v>
      </c>
      <c r="D70" s="74" t="s">
        <v>210</v>
      </c>
      <c r="E70" s="100" t="str">
        <f>IF(Table25781014[[#This Row],[Line Section]]="","",VLOOKUP(Table25781014[[#This Row],[Line Section]],Reference!$A$2:$B$47,2,FALSE))</f>
        <v>C062</v>
      </c>
      <c r="F70" s="157"/>
      <c r="G70" s="250"/>
      <c r="H70" s="104"/>
      <c r="I70" s="54" t="s">
        <v>106</v>
      </c>
      <c r="J70" s="60">
        <v>9.1</v>
      </c>
      <c r="K70" s="60">
        <v>9.5</v>
      </c>
      <c r="L70" s="53">
        <f>IF(Table25781014[[#This Row],[End
(km)]]="","",Table25781014[[#This Row],[End
(km)]]-Table25781014[[#This Row],[Start
(km)]])</f>
        <v>0.40000000000000036</v>
      </c>
      <c r="M70" s="61" t="s">
        <v>189</v>
      </c>
      <c r="N70" s="74" t="s">
        <v>113</v>
      </c>
      <c r="O70" s="295" t="s">
        <v>207</v>
      </c>
      <c r="P70" s="71">
        <v>43234</v>
      </c>
      <c r="Q70" s="71">
        <v>43488</v>
      </c>
      <c r="R70" s="57"/>
      <c r="S70" s="55"/>
      <c r="T70" s="66"/>
      <c r="U70" s="66"/>
      <c r="V70" s="268"/>
      <c r="W70" s="67" t="s">
        <v>131</v>
      </c>
      <c r="X70" s="77" t="s">
        <v>359</v>
      </c>
      <c r="Y70" s="111" t="s">
        <v>361</v>
      </c>
      <c r="Z70" s="81" t="s">
        <v>122</v>
      </c>
      <c r="AA70" s="282"/>
      <c r="AB70" s="96"/>
      <c r="AC70" s="96"/>
      <c r="AD70" s="226" t="str">
        <f>IF(Table25781014[[#This Row],[End Completed Section (km)]]="","",Table25781014[[#This Row],[End Completed Section (km)]]-Table25781014[[#This Row],[Start Completed Section (km)]])</f>
        <v/>
      </c>
      <c r="AE70" s="72"/>
      <c r="AF7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70" s="229" t="str">
        <f>IF(Table25781014[[#This Row],[Planned Date]]="","",TEXT(Table25781014[[#This Row],[Planned Date]],"mmm"))</f>
        <v/>
      </c>
      <c r="AH70" s="56" t="str">
        <f>IF(Table25781014[[#This Row],[Month]]="","",VLOOKUP(Table25781014[[#This Row],[Month]],List!$B$2:$C$13,2,FALSE))</f>
        <v/>
      </c>
    </row>
    <row r="71" spans="1:34" ht="25.5" x14ac:dyDescent="0.2">
      <c r="A71" s="83" t="s">
        <v>116</v>
      </c>
      <c r="B71" s="81"/>
      <c r="C71" s="73" t="s">
        <v>170</v>
      </c>
      <c r="D71" s="74" t="s">
        <v>210</v>
      </c>
      <c r="E71" s="104" t="str">
        <f>IF(Table25781014[[#This Row],[Line Section]]="","",VLOOKUP(Table25781014[[#This Row],[Line Section]],Reference!$A$2:$B$47,2,FALSE))</f>
        <v>C062</v>
      </c>
      <c r="F71" s="157"/>
      <c r="G71" s="250"/>
      <c r="H71" s="104"/>
      <c r="I71" s="54" t="s">
        <v>106</v>
      </c>
      <c r="J71" s="75">
        <v>9.9700000000000006</v>
      </c>
      <c r="K71" s="75">
        <v>10.1</v>
      </c>
      <c r="L71" s="44">
        <f>IF(Table25781014[[#This Row],[End
(km)]]="","",Table25781014[[#This Row],[End
(km)]]-Table25781014[[#This Row],[Start
(km)]])</f>
        <v>0.12999999999999901</v>
      </c>
      <c r="M71" s="76" t="s">
        <v>189</v>
      </c>
      <c r="N71" s="74" t="s">
        <v>207</v>
      </c>
      <c r="O71" s="295" t="s">
        <v>108</v>
      </c>
      <c r="P71" s="71">
        <v>43234</v>
      </c>
      <c r="Q71" s="71">
        <v>43488</v>
      </c>
      <c r="R71" s="89"/>
      <c r="S71" s="90"/>
      <c r="T71" s="91"/>
      <c r="U71" s="91"/>
      <c r="V71" s="269"/>
      <c r="W71" s="73"/>
      <c r="X71" s="78" t="s">
        <v>362</v>
      </c>
      <c r="Y71" s="111" t="s">
        <v>363</v>
      </c>
      <c r="Z71" s="81" t="s">
        <v>233</v>
      </c>
      <c r="AA71" s="282"/>
      <c r="AB71" s="97"/>
      <c r="AC71" s="97"/>
      <c r="AD71" s="227" t="str">
        <f>IF(Table25781014[[#This Row],[End Completed Section (km)]]="","",Table25781014[[#This Row],[End Completed Section (km)]]-Table25781014[[#This Row],[Start Completed Section (km)]])</f>
        <v/>
      </c>
      <c r="AE71" s="82"/>
      <c r="AF7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71" s="229" t="str">
        <f>IF(Table25781014[[#This Row],[Planned Date]]="","",TEXT(Table25781014[[#This Row],[Planned Date]],"mmm"))</f>
        <v/>
      </c>
      <c r="AH71" s="56" t="str">
        <f>IF(Table25781014[[#This Row],[Month]]="","",VLOOKUP(Table25781014[[#This Row],[Month]],List!$B$2:$C$13,2,FALSE))</f>
        <v/>
      </c>
    </row>
    <row r="72" spans="1:34" ht="25.5" x14ac:dyDescent="0.2">
      <c r="A72" s="83" t="s">
        <v>116</v>
      </c>
      <c r="B72" s="442">
        <v>1</v>
      </c>
      <c r="C72" s="73" t="s">
        <v>143</v>
      </c>
      <c r="D72" s="74" t="s">
        <v>25</v>
      </c>
      <c r="E72" s="104" t="str">
        <f>IF(Table25781014[[#This Row],[Line Section]]="","",VLOOKUP(Table25781014[[#This Row],[Line Section]],Reference!$A$2:$B$47,2,FALSE))</f>
        <v>C063</v>
      </c>
      <c r="F72" s="157" t="s">
        <v>651</v>
      </c>
      <c r="G72" s="250"/>
      <c r="H72" s="104"/>
      <c r="I72" s="54" t="s">
        <v>100</v>
      </c>
      <c r="J72" s="75">
        <v>0</v>
      </c>
      <c r="K72" s="75">
        <v>0.35</v>
      </c>
      <c r="L72" s="44">
        <f>IF(Table25781014[[#This Row],[End
(km)]]="","",Table25781014[[#This Row],[End
(km)]]-Table25781014[[#This Row],[Start
(km)]])</f>
        <v>0.35</v>
      </c>
      <c r="M72" s="76" t="s">
        <v>189</v>
      </c>
      <c r="N72" s="74" t="s">
        <v>113</v>
      </c>
      <c r="O72" s="295" t="s">
        <v>207</v>
      </c>
      <c r="P72" s="71">
        <v>43234</v>
      </c>
      <c r="Q72" s="40">
        <v>43488</v>
      </c>
      <c r="R72" s="89"/>
      <c r="S72" s="90"/>
      <c r="T72" s="91" t="s">
        <v>122</v>
      </c>
      <c r="U72" s="445"/>
      <c r="V72" s="396"/>
      <c r="W72" s="73" t="s">
        <v>736</v>
      </c>
      <c r="X72" s="78" t="s">
        <v>737</v>
      </c>
      <c r="Y72" s="111" t="s">
        <v>353</v>
      </c>
      <c r="Z72" s="81" t="s">
        <v>122</v>
      </c>
      <c r="AA72" s="282"/>
      <c r="AB72" s="97"/>
      <c r="AC72" s="97"/>
      <c r="AD72" s="227" t="str">
        <f>IF(Table25781014[[#This Row],[End Completed Section (km)]]="","",Table25781014[[#This Row],[End Completed Section (km)]]-Table25781014[[#This Row],[Start Completed Section (km)]])</f>
        <v/>
      </c>
      <c r="AE72" s="82"/>
      <c r="AF72"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72" s="229" t="str">
        <f>IF(Table25781014[[#This Row],[Planned Date]]="","",TEXT(Table25781014[[#This Row],[Planned Date]],"mmm"))</f>
        <v>21/22</v>
      </c>
      <c r="AH72" s="56" t="e">
        <f>IF(Table25781014[[#This Row],[Month]]="","",VLOOKUP(Table25781014[[#This Row],[Month]],List!$B$2:$C$13,2,FALSE))</f>
        <v>#N/A</v>
      </c>
    </row>
    <row r="73" spans="1:34" s="56" customFormat="1" ht="25.5" customHeight="1" x14ac:dyDescent="0.2">
      <c r="A73" s="98" t="s">
        <v>117</v>
      </c>
      <c r="B73" s="39">
        <v>3</v>
      </c>
      <c r="C73" s="67" t="s">
        <v>143</v>
      </c>
      <c r="D73" s="59" t="s">
        <v>25</v>
      </c>
      <c r="E73" s="100" t="str">
        <f>IF(Table25781014[[#This Row],[Line Section]]="","",VLOOKUP(Table25781014[[#This Row],[Line Section]],Reference!$A$2:$B$47,2,FALSE))</f>
        <v>C063</v>
      </c>
      <c r="F73" s="157" t="s">
        <v>651</v>
      </c>
      <c r="G73" s="440"/>
      <c r="H73" s="248"/>
      <c r="I73" s="54" t="s">
        <v>100</v>
      </c>
      <c r="J73" s="60">
        <v>0.65</v>
      </c>
      <c r="K73" s="60">
        <v>1.62</v>
      </c>
      <c r="L73" s="53">
        <f>IF(Table25781014[[#This Row],[End
(km)]]="","",Table25781014[[#This Row],[End
(km)]]-Table25781014[[#This Row],[Start
(km)]])</f>
        <v>0.97000000000000008</v>
      </c>
      <c r="M73" s="61" t="s">
        <v>189</v>
      </c>
      <c r="N73" s="59" t="s">
        <v>113</v>
      </c>
      <c r="O73" s="295" t="s">
        <v>113</v>
      </c>
      <c r="P73" s="64">
        <v>43234</v>
      </c>
      <c r="Q73" s="71">
        <v>43488</v>
      </c>
      <c r="R73" s="57" t="s">
        <v>121</v>
      </c>
      <c r="S73" s="55"/>
      <c r="T73" s="66" t="s">
        <v>122</v>
      </c>
      <c r="U73" s="41"/>
      <c r="V73" s="396"/>
      <c r="W73" s="67" t="s">
        <v>348</v>
      </c>
      <c r="X73" s="77" t="s">
        <v>733</v>
      </c>
      <c r="Y73" s="111" t="s">
        <v>349</v>
      </c>
      <c r="Z73" s="80" t="s">
        <v>122</v>
      </c>
      <c r="AA73" s="282"/>
      <c r="AB73" s="96"/>
      <c r="AC73" s="96"/>
      <c r="AD73" s="227" t="str">
        <f>IF(Table25781014[[#This Row],[End Completed Section (km)]]="","",Table25781014[[#This Row],[End Completed Section (km)]]-Table25781014[[#This Row],[Start Completed Section (km)]])</f>
        <v/>
      </c>
      <c r="AE73" s="72"/>
      <c r="AF73"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73" s="229" t="str">
        <f>IF(Table25781014[[#This Row],[Planned Date]]="","",TEXT(Table25781014[[#This Row],[Planned Date]],"mmm"))</f>
        <v>21/22</v>
      </c>
      <c r="AH73" s="56" t="e">
        <f>IF(Table25781014[[#This Row],[Month]]="","",VLOOKUP(Table25781014[[#This Row],[Month]],List!$B$2:$C$13,2,FALSE))</f>
        <v>#N/A</v>
      </c>
    </row>
    <row r="74" spans="1:34" s="56" customFormat="1" ht="25.5" x14ac:dyDescent="0.2">
      <c r="A74" s="98" t="s">
        <v>118</v>
      </c>
      <c r="B74" s="39">
        <v>5</v>
      </c>
      <c r="C74" s="67" t="s">
        <v>143</v>
      </c>
      <c r="D74" s="74" t="s">
        <v>25</v>
      </c>
      <c r="E74" s="100" t="str">
        <f>IF(Table25781014[[#This Row],[Line Section]]="","",VLOOKUP(Table25781014[[#This Row],[Line Section]],Reference!$A$2:$B$47,2,FALSE))</f>
        <v>C063</v>
      </c>
      <c r="F74" s="157"/>
      <c r="G74" s="440"/>
      <c r="H74" s="248"/>
      <c r="I74" s="54" t="s">
        <v>100</v>
      </c>
      <c r="J74" s="60">
        <v>2.0299999999999998</v>
      </c>
      <c r="K74" s="60">
        <v>2.1800000000000002</v>
      </c>
      <c r="L74" s="53">
        <f>IF(Table25781014[[#This Row],[End
(km)]]="","",Table25781014[[#This Row],[End
(km)]]-Table25781014[[#This Row],[Start
(km)]])</f>
        <v>0.15000000000000036</v>
      </c>
      <c r="M74" s="61" t="s">
        <v>189</v>
      </c>
      <c r="N74" s="59" t="s">
        <v>113</v>
      </c>
      <c r="O74" s="295" t="s">
        <v>113</v>
      </c>
      <c r="P74" s="64">
        <v>43234</v>
      </c>
      <c r="Q74" s="40">
        <v>43488</v>
      </c>
      <c r="R74" s="57"/>
      <c r="S74" s="55"/>
      <c r="T74" s="66" t="s">
        <v>122</v>
      </c>
      <c r="U74" s="41"/>
      <c r="V74" s="396"/>
      <c r="W74" s="67"/>
      <c r="X74" s="77"/>
      <c r="Y74" s="111" t="s">
        <v>350</v>
      </c>
      <c r="Z74" s="80" t="s">
        <v>188</v>
      </c>
      <c r="AA74" s="282"/>
      <c r="AB74" s="96"/>
      <c r="AC74" s="96"/>
      <c r="AD74" s="227" t="str">
        <f>IF(Table25781014[[#This Row],[End Completed Section (km)]]="","",Table25781014[[#This Row],[End Completed Section (km)]]-Table25781014[[#This Row],[Start Completed Section (km)]])</f>
        <v/>
      </c>
      <c r="AE74" s="72"/>
      <c r="AF7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74" s="229" t="str">
        <f>IF(Table25781014[[#This Row],[Planned Date]]="","",TEXT(Table25781014[[#This Row],[Planned Date]],"mmm"))</f>
        <v/>
      </c>
      <c r="AH74" s="56" t="str">
        <f>IF(Table25781014[[#This Row],[Month]]="","",VLOOKUP(Table25781014[[#This Row],[Month]],List!$B$2:$C$13,2,FALSE))</f>
        <v/>
      </c>
    </row>
    <row r="75" spans="1:34" ht="25.5" x14ac:dyDescent="0.2">
      <c r="A75" s="83" t="s">
        <v>116</v>
      </c>
      <c r="B75" s="328">
        <v>4</v>
      </c>
      <c r="C75" s="59" t="s">
        <v>143</v>
      </c>
      <c r="D75" s="74" t="s">
        <v>25</v>
      </c>
      <c r="E75" s="104" t="str">
        <f>IF(Table25781014[[#This Row],[Line Section]]="","",VLOOKUP(Table25781014[[#This Row],[Line Section]],Reference!$A$2:$B$47,2,FALSE))</f>
        <v>C063</v>
      </c>
      <c r="F75" s="157" t="s">
        <v>651</v>
      </c>
      <c r="G75" s="250"/>
      <c r="H75" s="311"/>
      <c r="I75" s="54" t="s">
        <v>100</v>
      </c>
      <c r="J75" s="75">
        <v>2.6</v>
      </c>
      <c r="K75" s="75">
        <v>2.6549999999999998</v>
      </c>
      <c r="L75" s="44">
        <f>IF(Table25781014[[#This Row],[End
(km)]]="","",Table25781014[[#This Row],[End
(km)]]-Table25781014[[#This Row],[Start
(km)]])</f>
        <v>5.4999999999999716E-2</v>
      </c>
      <c r="M75" s="76" t="s">
        <v>725</v>
      </c>
      <c r="N75" s="74"/>
      <c r="O75" s="295" t="s">
        <v>738</v>
      </c>
      <c r="P75" s="71">
        <v>43488</v>
      </c>
      <c r="Q75" s="307"/>
      <c r="R75" s="89" t="s">
        <v>121</v>
      </c>
      <c r="S75" s="90"/>
      <c r="T75" s="91"/>
      <c r="U75" s="329"/>
      <c r="V75" s="309"/>
      <c r="W75" s="73"/>
      <c r="X75" s="78" t="s">
        <v>739</v>
      </c>
      <c r="Y75" s="327"/>
      <c r="Z75" s="81" t="s">
        <v>740</v>
      </c>
      <c r="AA75" s="323"/>
      <c r="AB75" s="97"/>
      <c r="AC75" s="97"/>
      <c r="AD75" s="310" t="str">
        <f>IF(Table25781014[[#This Row],[End Completed Section (km)]]="","",Table25781014[[#This Row],[End Completed Section (km)]]-Table25781014[[#This Row],[Start Completed Section (km)]])</f>
        <v/>
      </c>
      <c r="AE75" s="82"/>
      <c r="AF75"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75" s="229" t="str">
        <f>IF(Table25781014[[#This Row],[Planned Date]]="","",TEXT(Table25781014[[#This Row],[Planned Date]],"mmm"))</f>
        <v>21/22</v>
      </c>
      <c r="AH75" s="252" t="e">
        <f>IF(Table25781014[[#This Row],[Month]]="","",VLOOKUP(Table25781014[[#This Row],[Month]],List!$B$2:$C$13,2,FALSE))</f>
        <v>#N/A</v>
      </c>
    </row>
    <row r="76" spans="1:34" s="56" customFormat="1" ht="25.5" x14ac:dyDescent="0.2">
      <c r="A76" s="98" t="s">
        <v>116</v>
      </c>
      <c r="B76" s="305">
        <v>2</v>
      </c>
      <c r="C76" s="73" t="s">
        <v>143</v>
      </c>
      <c r="D76" s="59" t="s">
        <v>25</v>
      </c>
      <c r="E76" s="100" t="str">
        <f>IF(Table25781014[[#This Row],[Line Section]]="","",VLOOKUP(Table25781014[[#This Row],[Line Section]],Reference!$A$2:$B$47,2,FALSE))</f>
        <v>C063</v>
      </c>
      <c r="F76" s="157" t="s">
        <v>651</v>
      </c>
      <c r="G76" s="440"/>
      <c r="H76" s="306"/>
      <c r="I76" s="54" t="s">
        <v>100</v>
      </c>
      <c r="J76" s="60">
        <v>2.8</v>
      </c>
      <c r="K76" s="60">
        <v>3.28</v>
      </c>
      <c r="L76" s="53">
        <f>IF(Table25781014[[#This Row],[End
(km)]]="","",Table25781014[[#This Row],[End
(km)]]-Table25781014[[#This Row],[Start
(km)]])</f>
        <v>0.48</v>
      </c>
      <c r="M76" s="61" t="s">
        <v>189</v>
      </c>
      <c r="N76" s="59" t="s">
        <v>113</v>
      </c>
      <c r="O76" s="295" t="s">
        <v>113</v>
      </c>
      <c r="P76" s="64">
        <v>43234</v>
      </c>
      <c r="Q76" s="307"/>
      <c r="R76" s="57" t="s">
        <v>121</v>
      </c>
      <c r="S76" s="55"/>
      <c r="T76" s="66" t="s">
        <v>122</v>
      </c>
      <c r="U76" s="308"/>
      <c r="V76" s="309"/>
      <c r="W76" s="67"/>
      <c r="X76" s="77" t="s">
        <v>351</v>
      </c>
      <c r="Y76" s="327" t="s">
        <v>352</v>
      </c>
      <c r="Z76" s="80" t="s">
        <v>122</v>
      </c>
      <c r="AA76" s="323"/>
      <c r="AB76" s="96"/>
      <c r="AC76" s="96"/>
      <c r="AD76" s="310" t="str">
        <f>IF(Table25781014[[#This Row],[End Completed Section (km)]]="","",Table25781014[[#This Row],[End Completed Section (km)]]-Table25781014[[#This Row],[Start Completed Section (km)]])</f>
        <v/>
      </c>
      <c r="AE76" s="72"/>
      <c r="AF76"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76" s="229" t="str">
        <f>IF(Table25781014[[#This Row],[Planned Date]]="","",TEXT(Table25781014[[#This Row],[Planned Date]],"mmm"))</f>
        <v>21/22</v>
      </c>
      <c r="AH76" s="252" t="e">
        <f>IF(Table25781014[[#This Row],[Month]]="","",VLOOKUP(Table25781014[[#This Row],[Month]],List!$B$2:$C$13,2,FALSE))</f>
        <v>#N/A</v>
      </c>
    </row>
    <row r="77" spans="1:34" ht="25.5" x14ac:dyDescent="0.2">
      <c r="A77" s="83" t="s">
        <v>118</v>
      </c>
      <c r="B77" s="328">
        <v>6</v>
      </c>
      <c r="C77" s="59" t="s">
        <v>143</v>
      </c>
      <c r="D77" s="74" t="s">
        <v>25</v>
      </c>
      <c r="E77" s="104" t="str">
        <f>IF(Table25781014[[#This Row],[Line Section]]="","",VLOOKUP(Table25781014[[#This Row],[Line Section]],Reference!$A$2:$B$47,2,FALSE))</f>
        <v>C063</v>
      </c>
      <c r="F77" s="157"/>
      <c r="G77" s="250"/>
      <c r="H77" s="311"/>
      <c r="I77" s="54" t="s">
        <v>100</v>
      </c>
      <c r="J77" s="75">
        <v>3.3149999999999999</v>
      </c>
      <c r="K77" s="75">
        <v>3.4</v>
      </c>
      <c r="L77" s="44">
        <f>IF(Table25781014[[#This Row],[End
(km)]]="","",Table25781014[[#This Row],[End
(km)]]-Table25781014[[#This Row],[Start
(km)]])</f>
        <v>8.4999999999999964E-2</v>
      </c>
      <c r="M77" s="76" t="s">
        <v>725</v>
      </c>
      <c r="N77" s="74"/>
      <c r="O77" s="295" t="s">
        <v>111</v>
      </c>
      <c r="P77" s="71">
        <v>43488</v>
      </c>
      <c r="Q77" s="307"/>
      <c r="R77" s="89" t="s">
        <v>121</v>
      </c>
      <c r="S77" s="90"/>
      <c r="T77" s="91"/>
      <c r="U77" s="329"/>
      <c r="V77" s="309"/>
      <c r="W77" s="73"/>
      <c r="X77" s="78" t="s">
        <v>746</v>
      </c>
      <c r="Y77" s="327"/>
      <c r="Z77" s="81" t="s">
        <v>122</v>
      </c>
      <c r="AA77" s="323"/>
      <c r="AB77" s="97"/>
      <c r="AC77" s="97"/>
      <c r="AD77" s="310" t="str">
        <f>IF(Table25781014[[#This Row],[End Completed Section (km)]]="","",Table25781014[[#This Row],[End Completed Section (km)]]-Table25781014[[#This Row],[Start Completed Section (km)]])</f>
        <v/>
      </c>
      <c r="AE77" s="82"/>
      <c r="AF7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77" s="229" t="str">
        <f>IF(Table25781014[[#This Row],[Planned Date]]="","",TEXT(Table25781014[[#This Row],[Planned Date]],"mmm"))</f>
        <v/>
      </c>
      <c r="AH77" s="252" t="str">
        <f>IF(Table25781014[[#This Row],[Month]]="","",VLOOKUP(Table25781014[[#This Row],[Month]],List!$B$2:$C$13,2,FALSE))</f>
        <v/>
      </c>
    </row>
    <row r="78" spans="1:34" s="56" customFormat="1" ht="25.5" x14ac:dyDescent="0.2">
      <c r="A78" s="98" t="s">
        <v>118</v>
      </c>
      <c r="B78" s="305">
        <v>7</v>
      </c>
      <c r="C78" s="59" t="s">
        <v>143</v>
      </c>
      <c r="D78" s="74" t="s">
        <v>25</v>
      </c>
      <c r="E78" s="100" t="str">
        <f>IF(Table25781014[[#This Row],[Line Section]]="","",VLOOKUP(Table25781014[[#This Row],[Line Section]],Reference!$A$2:$B$47,2,FALSE))</f>
        <v>C063</v>
      </c>
      <c r="F78" s="157"/>
      <c r="G78" s="250"/>
      <c r="H78" s="311"/>
      <c r="I78" s="54" t="s">
        <v>100</v>
      </c>
      <c r="J78" s="60">
        <v>3.45</v>
      </c>
      <c r="K78" s="60">
        <v>3.7</v>
      </c>
      <c r="L78" s="53">
        <f>IF(Table25781014[[#This Row],[End
(km)]]="","",Table25781014[[#This Row],[End
(km)]]-Table25781014[[#This Row],[Start
(km)]])</f>
        <v>0.25</v>
      </c>
      <c r="M78" s="61" t="s">
        <v>725</v>
      </c>
      <c r="N78" s="59"/>
      <c r="O78" s="272" t="s">
        <v>113</v>
      </c>
      <c r="P78" s="64">
        <v>43488</v>
      </c>
      <c r="Q78" s="307"/>
      <c r="R78" s="57" t="s">
        <v>121</v>
      </c>
      <c r="S78" s="55"/>
      <c r="T78" s="66"/>
      <c r="U78" s="308"/>
      <c r="V78" s="312"/>
      <c r="W78" s="67"/>
      <c r="X78" s="77" t="s">
        <v>747</v>
      </c>
      <c r="Y78" s="327"/>
      <c r="Z78" s="80" t="s">
        <v>122</v>
      </c>
      <c r="AA78" s="313"/>
      <c r="AB78" s="96"/>
      <c r="AC78" s="96"/>
      <c r="AD78" s="314" t="str">
        <f>IF(Table25781014[[#This Row],[End Completed Section (km)]]="","",Table25781014[[#This Row],[End Completed Section (km)]]-Table25781014[[#This Row],[Start Completed Section (km)]])</f>
        <v/>
      </c>
      <c r="AE78" s="72"/>
      <c r="AF7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78" s="229" t="str">
        <f>IF(Table25781014[[#This Row],[Planned Date]]="","",TEXT(Table25781014[[#This Row],[Planned Date]],"mmm"))</f>
        <v/>
      </c>
      <c r="AH78" s="252" t="str">
        <f>IF(Table25781014[[#This Row],[Month]]="","",VLOOKUP(Table25781014[[#This Row],[Month]],List!$B$2:$C$13,2,FALSE))</f>
        <v/>
      </c>
    </row>
    <row r="79" spans="1:34" ht="25.5" x14ac:dyDescent="0.2">
      <c r="A79" s="98" t="s">
        <v>118</v>
      </c>
      <c r="B79" s="305">
        <v>8</v>
      </c>
      <c r="C79" s="67" t="s">
        <v>143</v>
      </c>
      <c r="D79" s="59" t="s">
        <v>25</v>
      </c>
      <c r="E79" s="104" t="str">
        <f>IF(Table25781014[[#This Row],[Line Section]]="","",VLOOKUP(Table25781014[[#This Row],[Line Section]],Reference!$A$2:$B$47,2,FALSE))</f>
        <v>C063</v>
      </c>
      <c r="F79" s="157"/>
      <c r="G79" s="250"/>
      <c r="H79" s="311"/>
      <c r="I79" s="54" t="s">
        <v>100</v>
      </c>
      <c r="J79" s="60">
        <v>3.45</v>
      </c>
      <c r="K79" s="60">
        <v>3.7</v>
      </c>
      <c r="L79" s="44">
        <f>IF(Table25781014[[#This Row],[End
(km)]]="","",Table25781014[[#This Row],[End
(km)]]-Table25781014[[#This Row],[Start
(km)]])</f>
        <v>0.25</v>
      </c>
      <c r="M79" s="61" t="s">
        <v>725</v>
      </c>
      <c r="N79" s="59"/>
      <c r="O79" s="272" t="s">
        <v>113</v>
      </c>
      <c r="P79" s="64">
        <v>43488</v>
      </c>
      <c r="Q79" s="307"/>
      <c r="R79" s="57" t="s">
        <v>121</v>
      </c>
      <c r="S79" s="55"/>
      <c r="T79" s="66"/>
      <c r="U79" s="308"/>
      <c r="V79" s="312"/>
      <c r="W79" s="67"/>
      <c r="X79" s="77" t="s">
        <v>748</v>
      </c>
      <c r="Y79" s="330"/>
      <c r="Z79" s="80" t="s">
        <v>122</v>
      </c>
      <c r="AA79" s="313"/>
      <c r="AB79" s="96"/>
      <c r="AC79" s="96"/>
      <c r="AD79" s="314" t="str">
        <f>IF(Table25781014[[#This Row],[End Completed Section (km)]]="","",Table25781014[[#This Row],[End Completed Section (km)]]-Table25781014[[#This Row],[Start Completed Section (km)]])</f>
        <v/>
      </c>
      <c r="AE79" s="72"/>
      <c r="AF7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79" s="229" t="str">
        <f>IF(Table25781014[[#This Row],[Planned Date]]="","",TEXT(Table25781014[[#This Row],[Planned Date]],"mmm"))</f>
        <v/>
      </c>
      <c r="AH79" s="252" t="str">
        <f>IF(Table25781014[[#This Row],[Month]]="","",VLOOKUP(Table25781014[[#This Row],[Month]],List!$B$2:$C$13,2,FALSE))</f>
        <v/>
      </c>
    </row>
    <row r="80" spans="1:34" s="56" customFormat="1" ht="25.5" x14ac:dyDescent="0.2">
      <c r="A80" s="98" t="s">
        <v>116</v>
      </c>
      <c r="B80" s="80">
        <v>2</v>
      </c>
      <c r="C80" s="67" t="s">
        <v>6</v>
      </c>
      <c r="D80" s="59" t="s">
        <v>20</v>
      </c>
      <c r="E80" s="100" t="str">
        <f>IF(Table25781014[[#This Row],[Line Section]]="","",VLOOKUP(Table25781014[[#This Row],[Line Section]],Reference!$A$2:$B$47,2,FALSE))</f>
        <v>C018</v>
      </c>
      <c r="F80" s="157">
        <v>43765</v>
      </c>
      <c r="G80" s="440"/>
      <c r="H80" s="247" t="s">
        <v>533</v>
      </c>
      <c r="I80" s="54" t="s">
        <v>95</v>
      </c>
      <c r="J80" s="60">
        <v>0.2</v>
      </c>
      <c r="K80" s="60">
        <v>0.4</v>
      </c>
      <c r="L80" s="53">
        <f>IF(Table25781014[[#This Row],[End
(km)]]="","",Table25781014[[#This Row],[End
(km)]]-Table25781014[[#This Row],[Start
(km)]])</f>
        <v>0.2</v>
      </c>
      <c r="M80" s="61" t="s">
        <v>126</v>
      </c>
      <c r="N80" s="59" t="s">
        <v>113</v>
      </c>
      <c r="O80" s="295"/>
      <c r="P80" s="64">
        <v>43230</v>
      </c>
      <c r="Q80" s="71"/>
      <c r="R80" s="57" t="s">
        <v>121</v>
      </c>
      <c r="S80" s="55" t="s">
        <v>121</v>
      </c>
      <c r="T80" s="66"/>
      <c r="U80" s="66"/>
      <c r="V80" s="269"/>
      <c r="W80" s="67" t="s">
        <v>299</v>
      </c>
      <c r="X80" s="398" t="s">
        <v>572</v>
      </c>
      <c r="Y80" s="46"/>
      <c r="Z80" s="80" t="s">
        <v>122</v>
      </c>
      <c r="AA80" s="282"/>
      <c r="AB80" s="96"/>
      <c r="AC80" s="96"/>
      <c r="AD80" s="227" t="str">
        <f>IF(Table25781014[[#This Row],[End Completed Section (km)]]="","",Table25781014[[#This Row],[End Completed Section (km)]]-Table25781014[[#This Row],[Start Completed Section (km)]])</f>
        <v/>
      </c>
      <c r="AE80" s="72"/>
      <c r="AF8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80" s="229" t="str">
        <f>IF(Table25781014[[#This Row],[Planned Date]]="","",TEXT(Table25781014[[#This Row],[Planned Date]],"mmm"))</f>
        <v>Oct</v>
      </c>
      <c r="AH80" s="56">
        <f>IF(Table25781014[[#This Row],[Month]]="","",VLOOKUP(Table25781014[[#This Row],[Month]],List!$B$2:$C$13,2,FALSE))</f>
        <v>4</v>
      </c>
    </row>
    <row r="81" spans="1:34" s="56" customFormat="1" x14ac:dyDescent="0.2">
      <c r="A81" s="98" t="s">
        <v>116</v>
      </c>
      <c r="B81" s="80">
        <v>2</v>
      </c>
      <c r="C81" s="67" t="s">
        <v>6</v>
      </c>
      <c r="D81" s="59" t="s">
        <v>20</v>
      </c>
      <c r="E81" s="100" t="str">
        <f>IF(Table25781014[[#This Row],[Line Section]]="","",VLOOKUP(Table25781014[[#This Row],[Line Section]],Reference!$A$2:$B$47,2,FALSE))</f>
        <v>C018</v>
      </c>
      <c r="F81" s="157">
        <v>43765</v>
      </c>
      <c r="G81" s="440"/>
      <c r="H81" s="247" t="s">
        <v>533</v>
      </c>
      <c r="I81" s="54" t="s">
        <v>96</v>
      </c>
      <c r="J81" s="60">
        <v>0.2</v>
      </c>
      <c r="K81" s="60">
        <v>0.4</v>
      </c>
      <c r="L81" s="53">
        <f>IF(Table25781014[[#This Row],[End
(km)]]="","",Table25781014[[#This Row],[End
(km)]]-Table25781014[[#This Row],[Start
(km)]])</f>
        <v>0.2</v>
      </c>
      <c r="M81" s="61" t="s">
        <v>725</v>
      </c>
      <c r="N81" s="59"/>
      <c r="O81" s="272"/>
      <c r="P81" s="64">
        <v>43658</v>
      </c>
      <c r="Q81" s="355"/>
      <c r="R81" s="61" t="s">
        <v>121</v>
      </c>
      <c r="S81" s="55"/>
      <c r="T81" s="66"/>
      <c r="U81" s="356"/>
      <c r="V81" s="374"/>
      <c r="W81" s="67"/>
      <c r="X81" s="156" t="s">
        <v>829</v>
      </c>
      <c r="Y81" s="467"/>
      <c r="Z81" s="159" t="s">
        <v>122</v>
      </c>
      <c r="AA81" s="479"/>
      <c r="AB81" s="96"/>
      <c r="AC81" s="96"/>
      <c r="AD81" s="375" t="str">
        <f>IF(Table25781014[[#This Row],[End Completed Section (km)]]="","",Table25781014[[#This Row],[End Completed Section (km)]]-Table25781014[[#This Row],[Start Completed Section (km)]])</f>
        <v/>
      </c>
      <c r="AE81" s="72"/>
      <c r="AF8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81" s="229" t="str">
        <f>IF(Table25781014[[#This Row],[Planned Date]]="","",TEXT(Table25781014[[#This Row],[Planned Date]],"mmm"))</f>
        <v>Oct</v>
      </c>
      <c r="AH81" s="252">
        <f>IF(Table25781014[[#This Row],[Month]]="","",VLOOKUP(Table25781014[[#This Row],[Month]],List!$B$2:$C$13,2,FALSE))</f>
        <v>4</v>
      </c>
    </row>
    <row r="82" spans="1:34" x14ac:dyDescent="0.2">
      <c r="A82" s="98" t="s">
        <v>117</v>
      </c>
      <c r="B82" s="80">
        <v>3</v>
      </c>
      <c r="C82" s="67" t="s">
        <v>6</v>
      </c>
      <c r="D82" s="59" t="s">
        <v>20</v>
      </c>
      <c r="E82" s="104" t="str">
        <f>IF(Table25781014[[#This Row],[Line Section]]="","",VLOOKUP(Table25781014[[#This Row],[Line Section]],Reference!$A$2:$B$47,2,FALSE))</f>
        <v>C018</v>
      </c>
      <c r="F82" s="157"/>
      <c r="G82" s="250"/>
      <c r="H82" s="69"/>
      <c r="I82" s="54" t="s">
        <v>96</v>
      </c>
      <c r="J82" s="60">
        <v>0.25</v>
      </c>
      <c r="K82" s="60">
        <v>0.35</v>
      </c>
      <c r="L82" s="44">
        <f>IF(Table25781014[[#This Row],[End
(km)]]="","",Table25781014[[#This Row],[End
(km)]]-Table25781014[[#This Row],[Start
(km)]])</f>
        <v>9.9999999999999978E-2</v>
      </c>
      <c r="M82" s="61" t="s">
        <v>126</v>
      </c>
      <c r="N82" s="59" t="s">
        <v>113</v>
      </c>
      <c r="O82" s="272" t="s">
        <v>113</v>
      </c>
      <c r="P82" s="64">
        <v>43230</v>
      </c>
      <c r="Q82" s="71">
        <v>43472</v>
      </c>
      <c r="R82" s="57" t="s">
        <v>121</v>
      </c>
      <c r="S82" s="55"/>
      <c r="T82" s="91"/>
      <c r="U82" s="66"/>
      <c r="V82" s="66"/>
      <c r="W82" s="58" t="s">
        <v>289</v>
      </c>
      <c r="X82" s="77"/>
      <c r="Y82" s="47"/>
      <c r="Z82" s="80" t="s">
        <v>122</v>
      </c>
      <c r="AA82" s="278"/>
      <c r="AB82" s="96"/>
      <c r="AC82" s="96"/>
      <c r="AD82" s="226" t="str">
        <f>IF(Table25781014[[#This Row],[End Completed Section (km)]]="","",Table25781014[[#This Row],[End Completed Section (km)]]-Table25781014[[#This Row],[Start Completed Section (km)]])</f>
        <v/>
      </c>
      <c r="AE82" s="72"/>
      <c r="AF8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82" s="229" t="str">
        <f>IF(Table25781014[[#This Row],[Planned Date]]="","",TEXT(Table25781014[[#This Row],[Planned Date]],"mmm"))</f>
        <v/>
      </c>
      <c r="AH82" s="56" t="str">
        <f>IF(Table25781014[[#This Row],[Month]]="","",VLOOKUP(Table25781014[[#This Row],[Month]],List!$B$2:$C$13,2,FALSE))</f>
        <v/>
      </c>
    </row>
    <row r="83" spans="1:34" ht="25.5" x14ac:dyDescent="0.2">
      <c r="A83" s="98" t="s">
        <v>117</v>
      </c>
      <c r="B83" s="80"/>
      <c r="C83" s="67" t="s">
        <v>6</v>
      </c>
      <c r="D83" s="59" t="s">
        <v>20</v>
      </c>
      <c r="E83" s="104" t="str">
        <f>IF(Table25781014[[#This Row],[Line Section]]="","",VLOOKUP(Table25781014[[#This Row],[Line Section]],Reference!$A$2:$B$47,2,FALSE))</f>
        <v>C018</v>
      </c>
      <c r="F83" s="157"/>
      <c r="G83" s="250"/>
      <c r="H83" s="69"/>
      <c r="I83" s="54" t="s">
        <v>96</v>
      </c>
      <c r="J83" s="60">
        <v>0.9</v>
      </c>
      <c r="K83" s="60">
        <v>1.05</v>
      </c>
      <c r="L83" s="53">
        <f>IF(Table25781014[[#This Row],[End
(km)]]="","",Table25781014[[#This Row],[End
(km)]]-Table25781014[[#This Row],[Start
(km)]])</f>
        <v>0.15000000000000002</v>
      </c>
      <c r="M83" s="61" t="s">
        <v>126</v>
      </c>
      <c r="N83" s="59" t="s">
        <v>113</v>
      </c>
      <c r="O83" s="272"/>
      <c r="P83" s="64">
        <v>43230</v>
      </c>
      <c r="Q83" s="71">
        <v>43381</v>
      </c>
      <c r="R83" s="57" t="s">
        <v>121</v>
      </c>
      <c r="S83" s="55" t="s">
        <v>121</v>
      </c>
      <c r="T83" s="91"/>
      <c r="U83" s="66"/>
      <c r="V83" s="268"/>
      <c r="W83" s="67" t="s">
        <v>290</v>
      </c>
      <c r="X83" s="77" t="s">
        <v>562</v>
      </c>
      <c r="Y83" s="47"/>
      <c r="Z83" s="80" t="s">
        <v>139</v>
      </c>
      <c r="AA83" s="278"/>
      <c r="AB83" s="96"/>
      <c r="AC83" s="96"/>
      <c r="AD83" s="226" t="str">
        <f>IF(Table25781014[[#This Row],[End Completed Section (km)]]="","",Table25781014[[#This Row],[End Completed Section (km)]]-Table25781014[[#This Row],[Start Completed Section (km)]])</f>
        <v/>
      </c>
      <c r="AE83" s="72"/>
      <c r="AF8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83" s="229" t="str">
        <f>IF(Table25781014[[#This Row],[Planned Date]]="","",TEXT(Table25781014[[#This Row],[Planned Date]],"mmm"))</f>
        <v/>
      </c>
      <c r="AH83" s="56" t="str">
        <f>IF(Table25781014[[#This Row],[Month]]="","",VLOOKUP(Table25781014[[#This Row],[Month]],List!$B$2:$C$13,2,FALSE))</f>
        <v/>
      </c>
    </row>
    <row r="84" spans="1:34" s="56" customFormat="1" x14ac:dyDescent="0.2">
      <c r="A84" s="98" t="s">
        <v>116</v>
      </c>
      <c r="B84" s="80">
        <v>5</v>
      </c>
      <c r="C84" s="67" t="s">
        <v>6</v>
      </c>
      <c r="D84" s="59" t="s">
        <v>20</v>
      </c>
      <c r="E84" s="100" t="str">
        <f>IF(Table25781014[[#This Row],[Line Section]]="","",VLOOKUP(Table25781014[[#This Row],[Line Section]],Reference!$A$2:$B$47,2,FALSE))</f>
        <v>C018</v>
      </c>
      <c r="F84" s="157">
        <v>43940</v>
      </c>
      <c r="G84" s="440"/>
      <c r="H84" s="247" t="s">
        <v>534</v>
      </c>
      <c r="I84" s="54" t="s">
        <v>95</v>
      </c>
      <c r="J84" s="60">
        <v>1.2</v>
      </c>
      <c r="K84" s="60">
        <v>1.3</v>
      </c>
      <c r="L84" s="53">
        <f>IF(Table25781014[[#This Row],[End
(km)]]="","",Table25781014[[#This Row],[End
(km)]]-Table25781014[[#This Row],[Start
(km)]])</f>
        <v>0.10000000000000009</v>
      </c>
      <c r="M84" s="61" t="s">
        <v>126</v>
      </c>
      <c r="N84" s="59" t="s">
        <v>113</v>
      </c>
      <c r="O84" s="295" t="s">
        <v>113</v>
      </c>
      <c r="P84" s="64">
        <v>43230</v>
      </c>
      <c r="Q84" s="71">
        <v>43472</v>
      </c>
      <c r="R84" s="57" t="s">
        <v>121</v>
      </c>
      <c r="S84" s="55" t="s">
        <v>121</v>
      </c>
      <c r="T84" s="66"/>
      <c r="U84" s="66"/>
      <c r="V84" s="269"/>
      <c r="W84" s="67" t="s">
        <v>291</v>
      </c>
      <c r="X84" s="77" t="s">
        <v>561</v>
      </c>
      <c r="Y84" s="46"/>
      <c r="Z84" s="80" t="s">
        <v>122</v>
      </c>
      <c r="AA84" s="282"/>
      <c r="AB84" s="96"/>
      <c r="AC84" s="96"/>
      <c r="AD84" s="227" t="str">
        <f>IF(Table25781014[[#This Row],[End Completed Section (km)]]="","",Table25781014[[#This Row],[End Completed Section (km)]]-Table25781014[[#This Row],[Start Completed Section (km)]])</f>
        <v/>
      </c>
      <c r="AE84" s="72"/>
      <c r="AF8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84" s="229" t="str">
        <f>IF(Table25781014[[#This Row],[Planned Date]]="","",TEXT(Table25781014[[#This Row],[Planned Date]],"mmm"))</f>
        <v>Apr</v>
      </c>
      <c r="AH84" s="56">
        <f>IF(Table25781014[[#This Row],[Month]]="","",VLOOKUP(Table25781014[[#This Row],[Month]],List!$B$2:$C$13,2,FALSE))</f>
        <v>10</v>
      </c>
    </row>
    <row r="85" spans="1:34" x14ac:dyDescent="0.2">
      <c r="A85" s="98" t="s">
        <v>117</v>
      </c>
      <c r="B85" s="80">
        <v>6</v>
      </c>
      <c r="C85" s="67" t="s">
        <v>6</v>
      </c>
      <c r="D85" s="59" t="s">
        <v>20</v>
      </c>
      <c r="E85" s="104" t="str">
        <f>IF(Table25781014[[#This Row],[Line Section]]="","",VLOOKUP(Table25781014[[#This Row],[Line Section]],Reference!$A$2:$B$47,2,FALSE))</f>
        <v>C018</v>
      </c>
      <c r="F85" s="157">
        <v>44115</v>
      </c>
      <c r="G85" s="250"/>
      <c r="H85" s="69" t="s">
        <v>534</v>
      </c>
      <c r="I85" s="54" t="s">
        <v>96</v>
      </c>
      <c r="J85" s="60">
        <v>1.22</v>
      </c>
      <c r="K85" s="60">
        <v>1.32</v>
      </c>
      <c r="L85" s="44">
        <f>IF(Table25781014[[#This Row],[End
(km)]]="","",Table25781014[[#This Row],[End
(km)]]-Table25781014[[#This Row],[Start
(km)]])</f>
        <v>0.10000000000000009</v>
      </c>
      <c r="M85" s="61" t="s">
        <v>126</v>
      </c>
      <c r="N85" s="59" t="s">
        <v>113</v>
      </c>
      <c r="O85" s="272" t="s">
        <v>113</v>
      </c>
      <c r="P85" s="64">
        <v>43230</v>
      </c>
      <c r="Q85" s="71">
        <v>43381</v>
      </c>
      <c r="R85" s="57" t="s">
        <v>121</v>
      </c>
      <c r="S85" s="55"/>
      <c r="T85" s="91"/>
      <c r="U85" s="66"/>
      <c r="V85" s="268"/>
      <c r="W85" s="67" t="s">
        <v>291</v>
      </c>
      <c r="X85" s="77" t="s">
        <v>561</v>
      </c>
      <c r="Y85" s="47"/>
      <c r="Z85" s="80" t="s">
        <v>122</v>
      </c>
      <c r="AA85" s="278"/>
      <c r="AB85" s="96"/>
      <c r="AC85" s="96"/>
      <c r="AD85" s="226" t="str">
        <f>IF(Table25781014[[#This Row],[End Completed Section (km)]]="","",Table25781014[[#This Row],[End Completed Section (km)]]-Table25781014[[#This Row],[Start Completed Section (km)]])</f>
        <v/>
      </c>
      <c r="AE85" s="72"/>
      <c r="AF8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85" s="229" t="str">
        <f>IF(Table25781014[[#This Row],[Planned Date]]="","",TEXT(Table25781014[[#This Row],[Planned Date]],"mmm"))</f>
        <v>Oct</v>
      </c>
      <c r="AH85" s="56">
        <f>IF(Table25781014[[#This Row],[Month]]="","",VLOOKUP(Table25781014[[#This Row],[Month]],List!$B$2:$C$13,2,FALSE))</f>
        <v>4</v>
      </c>
    </row>
    <row r="86" spans="1:34" ht="89.25" x14ac:dyDescent="0.2">
      <c r="A86" s="98" t="s">
        <v>116</v>
      </c>
      <c r="B86" s="80"/>
      <c r="C86" s="67" t="s">
        <v>6</v>
      </c>
      <c r="D86" s="59" t="s">
        <v>20</v>
      </c>
      <c r="E86" s="104" t="str">
        <f>IF(Table25781014[[#This Row],[Line Section]]="","",VLOOKUP(Table25781014[[#This Row],[Line Section]],Reference!$A$2:$B$47,2,FALSE))</f>
        <v>C018</v>
      </c>
      <c r="F86" s="157"/>
      <c r="G86" s="250"/>
      <c r="H86" s="69"/>
      <c r="I86" s="54" t="s">
        <v>96</v>
      </c>
      <c r="J86" s="60">
        <v>1.77</v>
      </c>
      <c r="K86" s="60">
        <v>2.0299999999999998</v>
      </c>
      <c r="L86" s="44">
        <f>IF(Table25781014[[#This Row],[End
(km)]]="","",Table25781014[[#This Row],[End
(km)]]-Table25781014[[#This Row],[Start
(km)]])</f>
        <v>0.25999999999999979</v>
      </c>
      <c r="M86" s="61" t="s">
        <v>126</v>
      </c>
      <c r="N86" s="59" t="s">
        <v>113</v>
      </c>
      <c r="O86" s="272"/>
      <c r="P86" s="64">
        <v>43230</v>
      </c>
      <c r="Q86" s="71">
        <v>43381</v>
      </c>
      <c r="R86" s="57" t="s">
        <v>121</v>
      </c>
      <c r="S86" s="55" t="s">
        <v>121</v>
      </c>
      <c r="T86" s="91"/>
      <c r="U86" s="66"/>
      <c r="V86" s="268"/>
      <c r="W86" s="67" t="s">
        <v>292</v>
      </c>
      <c r="X86" s="77" t="s">
        <v>860</v>
      </c>
      <c r="Y86" s="47"/>
      <c r="Z86" s="57" t="s">
        <v>122</v>
      </c>
      <c r="AA86" s="278"/>
      <c r="AB86" s="96"/>
      <c r="AC86" s="96"/>
      <c r="AD86" s="226" t="str">
        <f>IF(Table25781014[[#This Row],[End Completed Section (km)]]="","",Table25781014[[#This Row],[End Completed Section (km)]]-Table25781014[[#This Row],[Start Completed Section (km)]])</f>
        <v/>
      </c>
      <c r="AE86" s="72"/>
      <c r="AF8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86" s="229" t="str">
        <f>IF(Table25781014[[#This Row],[Planned Date]]="","",TEXT(Table25781014[[#This Row],[Planned Date]],"mmm"))</f>
        <v/>
      </c>
      <c r="AH86" s="56" t="str">
        <f>IF(Table25781014[[#This Row],[Month]]="","",VLOOKUP(Table25781014[[#This Row],[Month]],List!$B$2:$C$13,2,FALSE))</f>
        <v/>
      </c>
    </row>
    <row r="87" spans="1:34" ht="89.25" x14ac:dyDescent="0.2">
      <c r="A87" s="98" t="s">
        <v>116</v>
      </c>
      <c r="B87" s="80"/>
      <c r="C87" s="67" t="s">
        <v>6</v>
      </c>
      <c r="D87" s="59" t="s">
        <v>20</v>
      </c>
      <c r="E87" s="104" t="str">
        <f>IF(Table25781014[[#This Row],[Line Section]]="","",VLOOKUP(Table25781014[[#This Row],[Line Section]],Reference!$A$2:$B$47,2,FALSE))</f>
        <v>C018</v>
      </c>
      <c r="F87" s="157"/>
      <c r="G87" s="250"/>
      <c r="H87" s="69"/>
      <c r="I87" s="54" t="s">
        <v>95</v>
      </c>
      <c r="J87" s="60">
        <v>2.76</v>
      </c>
      <c r="K87" s="60">
        <v>2.89</v>
      </c>
      <c r="L87" s="44">
        <f>IF(Table25781014[[#This Row],[End
(km)]]="","",Table25781014[[#This Row],[End
(km)]]-Table25781014[[#This Row],[Start
(km)]])</f>
        <v>0.13000000000000034</v>
      </c>
      <c r="M87" s="61" t="s">
        <v>126</v>
      </c>
      <c r="N87" s="59" t="s">
        <v>113</v>
      </c>
      <c r="O87" s="272"/>
      <c r="P87" s="64">
        <v>43230</v>
      </c>
      <c r="Q87" s="71">
        <v>43381</v>
      </c>
      <c r="R87" s="57" t="s">
        <v>121</v>
      </c>
      <c r="S87" s="55" t="s">
        <v>121</v>
      </c>
      <c r="T87" s="66"/>
      <c r="U87" s="66"/>
      <c r="V87" s="268"/>
      <c r="W87" s="67" t="s">
        <v>293</v>
      </c>
      <c r="X87" s="77" t="s">
        <v>570</v>
      </c>
      <c r="Y87" s="47"/>
      <c r="Z87" s="80" t="s">
        <v>139</v>
      </c>
      <c r="AA87" s="278"/>
      <c r="AB87" s="96"/>
      <c r="AC87" s="96"/>
      <c r="AD87" s="226" t="str">
        <f>IF(Table25781014[[#This Row],[End Completed Section (km)]]="","",Table25781014[[#This Row],[End Completed Section (km)]]-Table25781014[[#This Row],[Start Completed Section (km)]])</f>
        <v/>
      </c>
      <c r="AE87" s="72"/>
      <c r="AF8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87" s="229" t="str">
        <f>IF(Table25781014[[#This Row],[Planned Date]]="","",TEXT(Table25781014[[#This Row],[Planned Date]],"mmm"))</f>
        <v/>
      </c>
      <c r="AH87" s="56" t="str">
        <f>IF(Table25781014[[#This Row],[Month]]="","",VLOOKUP(Table25781014[[#This Row],[Month]],List!$B$2:$C$13,2,FALSE))</f>
        <v/>
      </c>
    </row>
    <row r="88" spans="1:34" s="56" customFormat="1" x14ac:dyDescent="0.2">
      <c r="A88" s="98" t="s">
        <v>118</v>
      </c>
      <c r="B88" s="80"/>
      <c r="C88" s="67" t="s">
        <v>6</v>
      </c>
      <c r="D88" s="59" t="s">
        <v>20</v>
      </c>
      <c r="E88" s="100" t="str">
        <f>IF(Table25781014[[#This Row],[Line Section]]="","",VLOOKUP(Table25781014[[#This Row],[Line Section]],Reference!$A$2:$B$47,2,FALSE))</f>
        <v>C018</v>
      </c>
      <c r="F88" s="157"/>
      <c r="G88" s="440"/>
      <c r="H88" s="247"/>
      <c r="I88" s="54" t="s">
        <v>96</v>
      </c>
      <c r="J88" s="60">
        <v>2.9</v>
      </c>
      <c r="K88" s="60">
        <v>3</v>
      </c>
      <c r="L88" s="53">
        <f>IF(Table25781014[[#This Row],[End
(km)]]="","",Table25781014[[#This Row],[End
(km)]]-Table25781014[[#This Row],[Start
(km)]])</f>
        <v>0.10000000000000009</v>
      </c>
      <c r="M88" s="61" t="s">
        <v>126</v>
      </c>
      <c r="N88" s="59" t="s">
        <v>113</v>
      </c>
      <c r="O88" s="295" t="s">
        <v>113</v>
      </c>
      <c r="P88" s="64">
        <v>43230</v>
      </c>
      <c r="Q88" s="71">
        <v>43472</v>
      </c>
      <c r="R88" s="57" t="s">
        <v>121</v>
      </c>
      <c r="S88" s="55"/>
      <c r="T88" s="66"/>
      <c r="U88" s="66"/>
      <c r="V88" s="269"/>
      <c r="W88" s="67" t="s">
        <v>293</v>
      </c>
      <c r="X88" s="77" t="s">
        <v>568</v>
      </c>
      <c r="Y88" s="46"/>
      <c r="Z88" s="80" t="s">
        <v>121</v>
      </c>
      <c r="AA88" s="282"/>
      <c r="AB88" s="96">
        <v>2.7</v>
      </c>
      <c r="AC88" s="96">
        <v>3.1</v>
      </c>
      <c r="AD88" s="227">
        <f>IF(Table25781014[[#This Row],[End Completed Section (km)]]="","",Table25781014[[#This Row],[End Completed Section (km)]]-Table25781014[[#This Row],[Start Completed Section (km)]])</f>
        <v>0.39999999999999991</v>
      </c>
      <c r="AE88" s="72">
        <v>42834</v>
      </c>
      <c r="AF8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2016-17</v>
      </c>
      <c r="AG88" s="229" t="str">
        <f>IF(Table25781014[[#This Row],[Planned Date]]="","",TEXT(Table25781014[[#This Row],[Planned Date]],"mmm"))</f>
        <v/>
      </c>
      <c r="AH88" s="56" t="str">
        <f>IF(Table25781014[[#This Row],[Month]]="","",VLOOKUP(Table25781014[[#This Row],[Month]],List!$B$2:$C$13,2,FALSE))</f>
        <v/>
      </c>
    </row>
    <row r="89" spans="1:34" s="56" customFormat="1" x14ac:dyDescent="0.2">
      <c r="A89" s="98"/>
      <c r="B89" s="80"/>
      <c r="C89" s="67" t="s">
        <v>6</v>
      </c>
      <c r="D89" s="59" t="s">
        <v>20</v>
      </c>
      <c r="E89" s="100" t="str">
        <f>IF(Table25781014[[#This Row],[Line Section]]="","",VLOOKUP(Table25781014[[#This Row],[Line Section]],Reference!$A$2:$B$47,2,FALSE))</f>
        <v>C018</v>
      </c>
      <c r="F89" s="157"/>
      <c r="G89" s="440"/>
      <c r="H89" s="247"/>
      <c r="I89" s="54" t="s">
        <v>95</v>
      </c>
      <c r="J89" s="60">
        <v>3</v>
      </c>
      <c r="K89" s="60">
        <v>3.35</v>
      </c>
      <c r="L89" s="53">
        <f>IF(Table25781014[[#This Row],[End
(km)]]="","",Table25781014[[#This Row],[End
(km)]]-Table25781014[[#This Row],[Start
(km)]])</f>
        <v>0.35000000000000009</v>
      </c>
      <c r="M89" s="61"/>
      <c r="N89" s="59"/>
      <c r="O89" s="295"/>
      <c r="P89" s="64">
        <v>43678</v>
      </c>
      <c r="Q89" s="71"/>
      <c r="R89" s="57"/>
      <c r="S89" s="55"/>
      <c r="T89" s="66"/>
      <c r="U89" s="66"/>
      <c r="V89" s="269"/>
      <c r="W89" s="67"/>
      <c r="X89" s="77"/>
      <c r="Y89" s="46"/>
      <c r="Z89" s="80" t="s">
        <v>121</v>
      </c>
      <c r="AA89" s="282"/>
      <c r="AB89" s="96">
        <v>3</v>
      </c>
      <c r="AC89" s="96">
        <v>3.35</v>
      </c>
      <c r="AD89" s="227">
        <f>IF(Table25781014[[#This Row],[End Completed Section (km)]]="","",Table25781014[[#This Row],[End Completed Section (km)]]-Table25781014[[#This Row],[Start Completed Section (km)]])</f>
        <v>0.35000000000000009</v>
      </c>
      <c r="AE89" s="72">
        <v>43177</v>
      </c>
      <c r="AF8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2017-18</v>
      </c>
      <c r="AG89" s="229" t="str">
        <f>IF(Table25781014[[#This Row],[Planned Date]]="","",TEXT(Table25781014[[#This Row],[Planned Date]],"mmm"))</f>
        <v/>
      </c>
      <c r="AH89" s="252" t="str">
        <f>IF(Table25781014[[#This Row],[Month]]="","",VLOOKUP(Table25781014[[#This Row],[Month]],List!$B$2:$C$13,2,FALSE))</f>
        <v/>
      </c>
    </row>
    <row r="90" spans="1:34" ht="38.25" x14ac:dyDescent="0.2">
      <c r="A90" s="98" t="s">
        <v>116</v>
      </c>
      <c r="B90" s="80">
        <v>6</v>
      </c>
      <c r="C90" s="67" t="s">
        <v>6</v>
      </c>
      <c r="D90" s="59" t="s">
        <v>20</v>
      </c>
      <c r="E90" s="104" t="str">
        <f>IF(Table25781014[[#This Row],[Line Section]]="","",VLOOKUP(Table25781014[[#This Row],[Line Section]],Reference!$A$2:$B$47,2,FALSE))</f>
        <v>C018</v>
      </c>
      <c r="F90" s="157">
        <v>44297</v>
      </c>
      <c r="G90" s="250"/>
      <c r="H90" s="69" t="s">
        <v>534</v>
      </c>
      <c r="I90" s="54" t="s">
        <v>96</v>
      </c>
      <c r="J90" s="60">
        <v>3.75</v>
      </c>
      <c r="K90" s="60">
        <v>3.85</v>
      </c>
      <c r="L90" s="53">
        <f>IF(Table25781014[[#This Row],[End
(km)]]="","",Table25781014[[#This Row],[End
(km)]]-Table25781014[[#This Row],[Start
(km)]])</f>
        <v>0.10000000000000009</v>
      </c>
      <c r="M90" s="61" t="s">
        <v>126</v>
      </c>
      <c r="N90" s="59" t="s">
        <v>113</v>
      </c>
      <c r="O90" s="272" t="s">
        <v>113</v>
      </c>
      <c r="P90" s="64">
        <v>43230</v>
      </c>
      <c r="Q90" s="71">
        <v>43472</v>
      </c>
      <c r="R90" s="57" t="s">
        <v>121</v>
      </c>
      <c r="S90" s="55"/>
      <c r="T90" s="66"/>
      <c r="U90" s="66"/>
      <c r="V90" s="66"/>
      <c r="W90" s="58" t="s">
        <v>294</v>
      </c>
      <c r="X90" s="77" t="s">
        <v>564</v>
      </c>
      <c r="Y90" s="47"/>
      <c r="Z90" s="80" t="s">
        <v>122</v>
      </c>
      <c r="AA90" s="278"/>
      <c r="AB90" s="96"/>
      <c r="AC90" s="96"/>
      <c r="AD90" s="226" t="str">
        <f>IF(Table25781014[[#This Row],[End Completed Section (km)]]="","",Table25781014[[#This Row],[End Completed Section (km)]]-Table25781014[[#This Row],[Start Completed Section (km)]])</f>
        <v/>
      </c>
      <c r="AE90" s="72"/>
      <c r="AF9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90" s="229" t="str">
        <f>IF(Table25781014[[#This Row],[Planned Date]]="","",TEXT(Table25781014[[#This Row],[Planned Date]],"mmm"))</f>
        <v>Apr</v>
      </c>
      <c r="AH90" s="56">
        <f>IF(Table25781014[[#This Row],[Month]]="","",VLOOKUP(Table25781014[[#This Row],[Month]],List!$B$2:$C$13,2,FALSE))</f>
        <v>10</v>
      </c>
    </row>
    <row r="91" spans="1:34" ht="51" x14ac:dyDescent="0.2">
      <c r="A91" s="98" t="s">
        <v>116</v>
      </c>
      <c r="B91" s="80"/>
      <c r="C91" s="67" t="s">
        <v>6</v>
      </c>
      <c r="D91" s="59" t="s">
        <v>20</v>
      </c>
      <c r="E91" s="104" t="str">
        <f>IF(Table25781014[[#This Row],[Line Section]]="","",VLOOKUP(Table25781014[[#This Row],[Line Section]],Reference!$A$2:$B$47,2,FALSE))</f>
        <v>C018</v>
      </c>
      <c r="F91" s="157"/>
      <c r="G91" s="250"/>
      <c r="H91" s="69"/>
      <c r="I91" s="54" t="s">
        <v>95</v>
      </c>
      <c r="J91" s="60">
        <v>3.77</v>
      </c>
      <c r="K91" s="60">
        <v>3.94</v>
      </c>
      <c r="L91" s="53">
        <f>IF(Table25781014[[#This Row],[End
(km)]]="","",Table25781014[[#This Row],[End
(km)]]-Table25781014[[#This Row],[Start
(km)]])</f>
        <v>0.16999999999999993</v>
      </c>
      <c r="M91" s="61" t="s">
        <v>126</v>
      </c>
      <c r="N91" s="59" t="s">
        <v>113</v>
      </c>
      <c r="O91" s="272"/>
      <c r="P91" s="64">
        <v>43230</v>
      </c>
      <c r="Q91" s="71">
        <v>43381</v>
      </c>
      <c r="R91" s="57" t="s">
        <v>121</v>
      </c>
      <c r="S91" s="55"/>
      <c r="T91" s="66" t="s">
        <v>121</v>
      </c>
      <c r="U91" s="66"/>
      <c r="V91" s="268"/>
      <c r="W91" s="67" t="s">
        <v>294</v>
      </c>
      <c r="X91" s="77" t="s">
        <v>563</v>
      </c>
      <c r="Y91" s="47"/>
      <c r="Z91" s="80" t="s">
        <v>139</v>
      </c>
      <c r="AA91" s="278"/>
      <c r="AB91" s="96"/>
      <c r="AC91" s="96"/>
      <c r="AD91" s="226" t="str">
        <f>IF(Table25781014[[#This Row],[End Completed Section (km)]]="","",Table25781014[[#This Row],[End Completed Section (km)]]-Table25781014[[#This Row],[Start Completed Section (km)]])</f>
        <v/>
      </c>
      <c r="AE91" s="72"/>
      <c r="AF9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91" s="229" t="str">
        <f>IF(Table25781014[[#This Row],[Planned Date]]="","",TEXT(Table25781014[[#This Row],[Planned Date]],"mmm"))</f>
        <v/>
      </c>
      <c r="AH91" s="56" t="str">
        <f>IF(Table25781014[[#This Row],[Month]]="","",VLOOKUP(Table25781014[[#This Row],[Month]],List!$B$2:$C$13,2,FALSE))</f>
        <v/>
      </c>
    </row>
    <row r="92" spans="1:34" s="56" customFormat="1" x14ac:dyDescent="0.2">
      <c r="A92" s="98" t="s">
        <v>117</v>
      </c>
      <c r="B92" s="80"/>
      <c r="C92" s="67" t="s">
        <v>6</v>
      </c>
      <c r="D92" s="59" t="s">
        <v>20</v>
      </c>
      <c r="E92" s="100" t="str">
        <f>IF(Table25781014[[#This Row],[Line Section]]="","",VLOOKUP(Table25781014[[#This Row],[Line Section]],Reference!$A$2:$B$47,2,FALSE))</f>
        <v>C018</v>
      </c>
      <c r="F92" s="157">
        <v>43380</v>
      </c>
      <c r="G92" s="250"/>
      <c r="H92" s="69" t="s">
        <v>534</v>
      </c>
      <c r="I92" s="203" t="s">
        <v>95</v>
      </c>
      <c r="J92" s="60">
        <v>4.3</v>
      </c>
      <c r="K92" s="60">
        <v>4.8499999999999996</v>
      </c>
      <c r="L92" s="53">
        <f>IF(Table25781014[[#This Row],[End
(km)]]="","",Table25781014[[#This Row],[End
(km)]]-Table25781014[[#This Row],[Start
(km)]])</f>
        <v>0.54999999999999982</v>
      </c>
      <c r="M92" s="61" t="s">
        <v>126</v>
      </c>
      <c r="N92" s="59" t="s">
        <v>113</v>
      </c>
      <c r="O92" s="272"/>
      <c r="P92" s="64">
        <v>43230</v>
      </c>
      <c r="Q92" s="71">
        <v>43381</v>
      </c>
      <c r="R92" s="57" t="s">
        <v>121</v>
      </c>
      <c r="S92" s="55"/>
      <c r="T92" s="66"/>
      <c r="U92" s="66" t="s">
        <v>121</v>
      </c>
      <c r="V92" s="268"/>
      <c r="W92" s="67"/>
      <c r="X92" s="77" t="s">
        <v>565</v>
      </c>
      <c r="Y92" s="46"/>
      <c r="Z92" s="80" t="s">
        <v>121</v>
      </c>
      <c r="AA92" s="278"/>
      <c r="AB92" s="96">
        <v>4.3</v>
      </c>
      <c r="AC92" s="96">
        <v>4.7249999999999996</v>
      </c>
      <c r="AD92" s="226">
        <f>IF(Table25781014[[#This Row],[End Completed Section (km)]]="","",Table25781014[[#This Row],[End Completed Section (km)]]-Table25781014[[#This Row],[Start Completed Section (km)]])</f>
        <v>0.42499999999999982</v>
      </c>
      <c r="AE92" s="72">
        <v>43380</v>
      </c>
      <c r="AF9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92" s="229" t="str">
        <f>IF(Table25781014[[#This Row],[Planned Date]]="","",TEXT(Table25781014[[#This Row],[Planned Date]],"mmm"))</f>
        <v>Oct</v>
      </c>
      <c r="AH92" s="56">
        <f>IF(Table25781014[[#This Row],[Month]]="","",VLOOKUP(Table25781014[[#This Row],[Month]],List!$B$2:$C$13,2,FALSE))</f>
        <v>4</v>
      </c>
    </row>
    <row r="93" spans="1:34" ht="38.25" x14ac:dyDescent="0.2">
      <c r="A93" s="98" t="s">
        <v>118</v>
      </c>
      <c r="B93" s="305"/>
      <c r="C93" s="67" t="s">
        <v>6</v>
      </c>
      <c r="D93" s="59" t="s">
        <v>20</v>
      </c>
      <c r="E93" s="104" t="str">
        <f>IF(Table25781014[[#This Row],[Line Section]]="","",VLOOKUP(Table25781014[[#This Row],[Line Section]],Reference!$A$2:$B$47,2,FALSE))</f>
        <v>C018</v>
      </c>
      <c r="F93" s="157"/>
      <c r="G93" s="250"/>
      <c r="H93" s="311"/>
      <c r="I93" s="54" t="s">
        <v>95</v>
      </c>
      <c r="J93" s="60">
        <v>5.05</v>
      </c>
      <c r="K93" s="60">
        <v>5.18</v>
      </c>
      <c r="L93" s="53">
        <f>IF(Table25781014[[#This Row],[End
(km)]]="","",Table25781014[[#This Row],[End
(km)]]-Table25781014[[#This Row],[Start
(km)]])</f>
        <v>0.12999999999999989</v>
      </c>
      <c r="M93" s="61" t="s">
        <v>126</v>
      </c>
      <c r="N93" s="59" t="s">
        <v>113</v>
      </c>
      <c r="O93" s="272" t="s">
        <v>113</v>
      </c>
      <c r="P93" s="64">
        <v>43230</v>
      </c>
      <c r="Q93" s="307">
        <v>43381</v>
      </c>
      <c r="R93" s="57" t="s">
        <v>121</v>
      </c>
      <c r="S93" s="55"/>
      <c r="T93" s="91"/>
      <c r="U93" s="308"/>
      <c r="V93" s="312"/>
      <c r="W93" s="67"/>
      <c r="X93" s="77" t="s">
        <v>628</v>
      </c>
      <c r="Y93" s="332"/>
      <c r="Z93" s="80" t="s">
        <v>122</v>
      </c>
      <c r="AA93" s="313"/>
      <c r="AB93" s="96"/>
      <c r="AC93" s="96"/>
      <c r="AD93" s="314" t="str">
        <f>IF(Table25781014[[#This Row],[End Completed Section (km)]]="","",Table25781014[[#This Row],[End Completed Section (km)]]-Table25781014[[#This Row],[Start Completed Section (km)]])</f>
        <v/>
      </c>
      <c r="AE93" s="72"/>
      <c r="AF9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93" s="229" t="str">
        <f>IF(Table25781014[[#This Row],[Planned Date]]="","",TEXT(Table25781014[[#This Row],[Planned Date]],"mmm"))</f>
        <v/>
      </c>
      <c r="AH93" s="252" t="str">
        <f>IF(Table25781014[[#This Row],[Month]]="","",VLOOKUP(Table25781014[[#This Row],[Month]],List!$B$2:$C$13,2,FALSE))</f>
        <v/>
      </c>
    </row>
    <row r="94" spans="1:34" s="56" customFormat="1" ht="51" x14ac:dyDescent="0.2">
      <c r="A94" s="98" t="s">
        <v>118</v>
      </c>
      <c r="B94" s="305"/>
      <c r="C94" s="67" t="s">
        <v>6</v>
      </c>
      <c r="D94" s="59" t="s">
        <v>20</v>
      </c>
      <c r="E94" s="100" t="str">
        <f>IF(Table25781014[[#This Row],[Line Section]]="","",VLOOKUP(Table25781014[[#This Row],[Line Section]],Reference!$A$2:$B$47,2,FALSE))</f>
        <v>C018</v>
      </c>
      <c r="F94" s="157"/>
      <c r="G94" s="440"/>
      <c r="H94" s="306"/>
      <c r="I94" s="54" t="s">
        <v>96</v>
      </c>
      <c r="J94" s="60">
        <v>5.2</v>
      </c>
      <c r="K94" s="60">
        <v>5.35</v>
      </c>
      <c r="L94" s="53">
        <f>IF(Table25781014[[#This Row],[End
(km)]]="","",Table25781014[[#This Row],[End
(km)]]-Table25781014[[#This Row],[Start
(km)]])</f>
        <v>0.14999999999999947</v>
      </c>
      <c r="M94" s="61" t="s">
        <v>126</v>
      </c>
      <c r="N94" s="59" t="s">
        <v>113</v>
      </c>
      <c r="O94" s="295" t="s">
        <v>109</v>
      </c>
      <c r="P94" s="64">
        <v>43230</v>
      </c>
      <c r="Q94" s="307">
        <v>43472</v>
      </c>
      <c r="R94" s="57" t="s">
        <v>121</v>
      </c>
      <c r="S94" s="55"/>
      <c r="T94" s="66"/>
      <c r="U94" s="308"/>
      <c r="V94" s="309"/>
      <c r="W94" s="67" t="s">
        <v>566</v>
      </c>
      <c r="X94" s="77" t="s">
        <v>625</v>
      </c>
      <c r="Y94" s="326"/>
      <c r="Z94" s="80" t="s">
        <v>122</v>
      </c>
      <c r="AA94" s="323"/>
      <c r="AB94" s="96"/>
      <c r="AC94" s="96"/>
      <c r="AD94" s="310" t="str">
        <f>IF(Table25781014[[#This Row],[End Completed Section (km)]]="","",Table25781014[[#This Row],[End Completed Section (km)]]-Table25781014[[#This Row],[Start Completed Section (km)]])</f>
        <v/>
      </c>
      <c r="AE94" s="72"/>
      <c r="AF9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94" s="229" t="str">
        <f>IF(Table25781014[[#This Row],[Planned Date]]="","",TEXT(Table25781014[[#This Row],[Planned Date]],"mmm"))</f>
        <v/>
      </c>
      <c r="AH94" s="252" t="str">
        <f>IF(Table25781014[[#This Row],[Month]]="","",VLOOKUP(Table25781014[[#This Row],[Month]],List!$B$2:$C$13,2,FALSE))</f>
        <v/>
      </c>
    </row>
    <row r="95" spans="1:34" x14ac:dyDescent="0.2">
      <c r="A95" s="98" t="s">
        <v>117</v>
      </c>
      <c r="B95" s="305"/>
      <c r="C95" s="67" t="s">
        <v>6</v>
      </c>
      <c r="D95" s="59" t="s">
        <v>20</v>
      </c>
      <c r="E95" s="104" t="str">
        <f>IF(Table25781014[[#This Row],[Line Section]]="","",VLOOKUP(Table25781014[[#This Row],[Line Section]],Reference!$A$2:$B$47,2,FALSE))</f>
        <v>C018</v>
      </c>
      <c r="F95" s="157"/>
      <c r="G95" s="250"/>
      <c r="H95" s="311"/>
      <c r="I95" s="54" t="s">
        <v>95</v>
      </c>
      <c r="J95" s="60">
        <v>5.3</v>
      </c>
      <c r="K95" s="60">
        <v>5.6</v>
      </c>
      <c r="L95" s="53">
        <f>IF(Table25781014[[#This Row],[End
(km)]]="","",Table25781014[[#This Row],[End
(km)]]-Table25781014[[#This Row],[Start
(km)]])</f>
        <v>0.29999999999999982</v>
      </c>
      <c r="M95" s="61" t="s">
        <v>126</v>
      </c>
      <c r="N95" s="59"/>
      <c r="O95" s="272" t="s">
        <v>113</v>
      </c>
      <c r="P95" s="64">
        <v>43472</v>
      </c>
      <c r="Q95" s="307"/>
      <c r="R95" s="57"/>
      <c r="S95" s="55"/>
      <c r="T95" s="66"/>
      <c r="U95" s="308"/>
      <c r="V95" s="312"/>
      <c r="W95" s="67" t="s">
        <v>629</v>
      </c>
      <c r="X95" s="77"/>
      <c r="Y95" s="330" t="s">
        <v>630</v>
      </c>
      <c r="Z95" s="80" t="s">
        <v>122</v>
      </c>
      <c r="AA95" s="313"/>
      <c r="AB95" s="96"/>
      <c r="AC95" s="96"/>
      <c r="AD95" s="314" t="str">
        <f>IF(Table25781014[[#This Row],[End Completed Section (km)]]="","",Table25781014[[#This Row],[End Completed Section (km)]]-Table25781014[[#This Row],[Start Completed Section (km)]])</f>
        <v/>
      </c>
      <c r="AE95" s="72"/>
      <c r="AF9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95" s="229" t="str">
        <f>IF(Table25781014[[#This Row],[Planned Date]]="","",TEXT(Table25781014[[#This Row],[Planned Date]],"mmm"))</f>
        <v/>
      </c>
      <c r="AH95" s="252" t="str">
        <f>IF(Table25781014[[#This Row],[Month]]="","",VLOOKUP(Table25781014[[#This Row],[Month]],List!$B$2:$C$13,2,FALSE))</f>
        <v/>
      </c>
    </row>
    <row r="96" spans="1:34" x14ac:dyDescent="0.2">
      <c r="A96" s="98" t="s">
        <v>116</v>
      </c>
      <c r="B96" s="305"/>
      <c r="C96" s="67" t="s">
        <v>6</v>
      </c>
      <c r="D96" s="59" t="s">
        <v>20</v>
      </c>
      <c r="E96" s="104" t="str">
        <f>IF(Table25781014[[#This Row],[Line Section]]="","",VLOOKUP(Table25781014[[#This Row],[Line Section]],Reference!$A$2:$B$47,2,FALSE))</f>
        <v>C018</v>
      </c>
      <c r="F96" s="157"/>
      <c r="G96" s="250"/>
      <c r="H96" s="311"/>
      <c r="I96" s="54" t="s">
        <v>95</v>
      </c>
      <c r="J96" s="60">
        <v>5.78</v>
      </c>
      <c r="K96" s="60">
        <v>5.88</v>
      </c>
      <c r="L96" s="53">
        <f>IF(Table25781014[[#This Row],[End
(km)]]="","",Table25781014[[#This Row],[End
(km)]]-Table25781014[[#This Row],[Start
(km)]])</f>
        <v>9.9999999999999645E-2</v>
      </c>
      <c r="M96" s="61" t="s">
        <v>126</v>
      </c>
      <c r="N96" s="59" t="s">
        <v>112</v>
      </c>
      <c r="O96" s="272"/>
      <c r="P96" s="64">
        <v>43230</v>
      </c>
      <c r="Q96" s="307">
        <v>43381</v>
      </c>
      <c r="R96" s="57" t="s">
        <v>121</v>
      </c>
      <c r="S96" s="55"/>
      <c r="T96" s="66"/>
      <c r="U96" s="308"/>
      <c r="V96" s="312"/>
      <c r="W96" s="321"/>
      <c r="X96" s="77" t="s">
        <v>567</v>
      </c>
      <c r="Y96" s="341"/>
      <c r="Z96" s="80" t="s">
        <v>121</v>
      </c>
      <c r="AA96" s="313"/>
      <c r="AB96" s="96">
        <v>5.7</v>
      </c>
      <c r="AC96" s="96">
        <v>5.8250000000000002</v>
      </c>
      <c r="AD96" s="314">
        <f>IF(Table25781014[[#This Row],[End Completed Section (km)]]="","",Table25781014[[#This Row],[End Completed Section (km)]]-Table25781014[[#This Row],[Start Completed Section (km)]])</f>
        <v>0.125</v>
      </c>
      <c r="AE96" s="72">
        <v>43177</v>
      </c>
      <c r="AF9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2017-18</v>
      </c>
      <c r="AG96" s="229" t="str">
        <f>IF(Table25781014[[#This Row],[Planned Date]]="","",TEXT(Table25781014[[#This Row],[Planned Date]],"mmm"))</f>
        <v/>
      </c>
      <c r="AH96" s="252" t="str">
        <f>IF(Table25781014[[#This Row],[Month]]="","",VLOOKUP(Table25781014[[#This Row],[Month]],List!$B$2:$C$13,2,FALSE))</f>
        <v/>
      </c>
    </row>
    <row r="97" spans="1:34" ht="63.75" x14ac:dyDescent="0.2">
      <c r="A97" s="98" t="s">
        <v>118</v>
      </c>
      <c r="B97" s="305"/>
      <c r="C97" s="67" t="s">
        <v>6</v>
      </c>
      <c r="D97" s="59" t="s">
        <v>20</v>
      </c>
      <c r="E97" s="104" t="str">
        <f>IF(Table25781014[[#This Row],[Line Section]]="","",VLOOKUP(Table25781014[[#This Row],[Line Section]],Reference!$A$2:$B$47,2,FALSE))</f>
        <v>C018</v>
      </c>
      <c r="F97" s="157"/>
      <c r="G97" s="250"/>
      <c r="H97" s="311"/>
      <c r="I97" s="54" t="s">
        <v>96</v>
      </c>
      <c r="J97" s="60">
        <v>6.125</v>
      </c>
      <c r="K97" s="60">
        <v>6.3150000000000004</v>
      </c>
      <c r="L97" s="44">
        <f>IF(Table25781014[[#This Row],[End
(km)]]="","",Table25781014[[#This Row],[End
(km)]]-Table25781014[[#This Row],[Start
(km)]])</f>
        <v>0.19000000000000039</v>
      </c>
      <c r="M97" s="61" t="s">
        <v>126</v>
      </c>
      <c r="N97" s="59" t="s">
        <v>113</v>
      </c>
      <c r="O97" s="272" t="s">
        <v>113</v>
      </c>
      <c r="P97" s="64">
        <v>43230</v>
      </c>
      <c r="Q97" s="307">
        <v>43472</v>
      </c>
      <c r="R97" s="57" t="s">
        <v>121</v>
      </c>
      <c r="S97" s="55"/>
      <c r="T97" s="91"/>
      <c r="U97" s="308"/>
      <c r="V97" s="312"/>
      <c r="W97" s="67" t="s">
        <v>295</v>
      </c>
      <c r="X97" s="77" t="s">
        <v>626</v>
      </c>
      <c r="Y97" s="332"/>
      <c r="Z97" s="80" t="s">
        <v>122</v>
      </c>
      <c r="AA97" s="313"/>
      <c r="AB97" s="96"/>
      <c r="AC97" s="96"/>
      <c r="AD97" s="314" t="str">
        <f>IF(Table25781014[[#This Row],[End Completed Section (km)]]="","",Table25781014[[#This Row],[End Completed Section (km)]]-Table25781014[[#This Row],[Start Completed Section (km)]])</f>
        <v/>
      </c>
      <c r="AE97" s="72"/>
      <c r="AF9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97" s="229" t="str">
        <f>IF(Table25781014[[#This Row],[Planned Date]]="","",TEXT(Table25781014[[#This Row],[Planned Date]],"mmm"))</f>
        <v/>
      </c>
      <c r="AH97" s="252" t="str">
        <f>IF(Table25781014[[#This Row],[Month]]="","",VLOOKUP(Table25781014[[#This Row],[Month]],List!$B$2:$C$13,2,FALSE))</f>
        <v/>
      </c>
    </row>
    <row r="98" spans="1:34" x14ac:dyDescent="0.2">
      <c r="A98" s="98" t="s">
        <v>118</v>
      </c>
      <c r="B98" s="305"/>
      <c r="C98" s="67" t="s">
        <v>6</v>
      </c>
      <c r="D98" s="59" t="s">
        <v>20</v>
      </c>
      <c r="E98" s="104" t="str">
        <f>IF(Table25781014[[#This Row],[Line Section]]="","",VLOOKUP(Table25781014[[#This Row],[Line Section]],Reference!$A$2:$B$47,2,FALSE))</f>
        <v>C018</v>
      </c>
      <c r="F98" s="157"/>
      <c r="G98" s="250"/>
      <c r="H98" s="311"/>
      <c r="I98" s="54" t="s">
        <v>95</v>
      </c>
      <c r="J98" s="60">
        <v>6.15</v>
      </c>
      <c r="K98" s="60">
        <v>6.37</v>
      </c>
      <c r="L98" s="44">
        <f>IF(Table25781014[[#This Row],[End
(km)]]="","",Table25781014[[#This Row],[End
(km)]]-Table25781014[[#This Row],[Start
(km)]])</f>
        <v>0.21999999999999975</v>
      </c>
      <c r="M98" s="61" t="s">
        <v>126</v>
      </c>
      <c r="N98" s="59" t="s">
        <v>113</v>
      </c>
      <c r="O98" s="272" t="s">
        <v>207</v>
      </c>
      <c r="P98" s="64">
        <v>43230</v>
      </c>
      <c r="Q98" s="307">
        <v>43472</v>
      </c>
      <c r="R98" s="57" t="s">
        <v>121</v>
      </c>
      <c r="S98" s="55"/>
      <c r="T98" s="66"/>
      <c r="U98" s="308"/>
      <c r="V98" s="312"/>
      <c r="W98" s="67" t="s">
        <v>295</v>
      </c>
      <c r="X98" s="77"/>
      <c r="Y98" s="341"/>
      <c r="Z98" s="80" t="s">
        <v>122</v>
      </c>
      <c r="AA98" s="313"/>
      <c r="AB98" s="96"/>
      <c r="AC98" s="96"/>
      <c r="AD98" s="314" t="str">
        <f>IF(Table25781014[[#This Row],[End Completed Section (km)]]="","",Table25781014[[#This Row],[End Completed Section (km)]]-Table25781014[[#This Row],[Start Completed Section (km)]])</f>
        <v/>
      </c>
      <c r="AE98" s="72"/>
      <c r="AF9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98" s="229" t="str">
        <f>IF(Table25781014[[#This Row],[Planned Date]]="","",TEXT(Table25781014[[#This Row],[Planned Date]],"mmm"))</f>
        <v/>
      </c>
      <c r="AH98" s="252" t="str">
        <f>IF(Table25781014[[#This Row],[Month]]="","",VLOOKUP(Table25781014[[#This Row],[Month]],List!$B$2:$C$13,2,FALSE))</f>
        <v/>
      </c>
    </row>
    <row r="99" spans="1:34" s="56" customFormat="1" ht="38.25" x14ac:dyDescent="0.2">
      <c r="A99" s="98" t="s">
        <v>117</v>
      </c>
      <c r="B99" s="305">
        <v>7</v>
      </c>
      <c r="C99" s="67" t="s">
        <v>6</v>
      </c>
      <c r="D99" s="59" t="s">
        <v>20</v>
      </c>
      <c r="E99" s="100" t="str">
        <f>IF(Table25781014[[#This Row],[Line Section]]="","",VLOOKUP(Table25781014[[#This Row],[Line Section]],Reference!$A$2:$B$47,2,FALSE))</f>
        <v>C018</v>
      </c>
      <c r="F99" s="157">
        <v>44297</v>
      </c>
      <c r="G99" s="440"/>
      <c r="H99" s="247" t="s">
        <v>533</v>
      </c>
      <c r="I99" s="54" t="s">
        <v>96</v>
      </c>
      <c r="J99" s="60">
        <v>7.75</v>
      </c>
      <c r="K99" s="60">
        <v>8.125</v>
      </c>
      <c r="L99" s="53">
        <f>IF(Table25781014[[#This Row],[End
(km)]]="","",Table25781014[[#This Row],[End
(km)]]-Table25781014[[#This Row],[Start
(km)]])</f>
        <v>0.375</v>
      </c>
      <c r="M99" s="61" t="s">
        <v>126</v>
      </c>
      <c r="N99" s="59" t="s">
        <v>113</v>
      </c>
      <c r="O99" s="295" t="s">
        <v>113</v>
      </c>
      <c r="P99" s="64">
        <v>43230</v>
      </c>
      <c r="Q99" s="307">
        <v>43472</v>
      </c>
      <c r="R99" s="57" t="s">
        <v>121</v>
      </c>
      <c r="S99" s="55" t="s">
        <v>121</v>
      </c>
      <c r="T99" s="66"/>
      <c r="U99" s="308"/>
      <c r="V99" s="309"/>
      <c r="W99" s="321" t="s">
        <v>296</v>
      </c>
      <c r="X99" s="77" t="s">
        <v>569</v>
      </c>
      <c r="Y99" s="326"/>
      <c r="Z99" s="80" t="s">
        <v>122</v>
      </c>
      <c r="AA99" s="323"/>
      <c r="AB99" s="96"/>
      <c r="AC99" s="96"/>
      <c r="AD99" s="310" t="str">
        <f>IF(Table25781014[[#This Row],[End Completed Section (km)]]="","",Table25781014[[#This Row],[End Completed Section (km)]]-Table25781014[[#This Row],[Start Completed Section (km)]])</f>
        <v/>
      </c>
      <c r="AE99" s="72"/>
      <c r="AF9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99" s="229" t="str">
        <f>IF(Table25781014[[#This Row],[Planned Date]]="","",TEXT(Table25781014[[#This Row],[Planned Date]],"mmm"))</f>
        <v>Apr</v>
      </c>
      <c r="AH99" s="252">
        <f>IF(Table25781014[[#This Row],[Month]]="","",VLOOKUP(Table25781014[[#This Row],[Month]],List!$B$2:$C$13,2,FALSE))</f>
        <v>10</v>
      </c>
    </row>
    <row r="100" spans="1:34" ht="25.5" x14ac:dyDescent="0.2">
      <c r="A100" s="98" t="s">
        <v>118</v>
      </c>
      <c r="B100" s="305"/>
      <c r="C100" s="67" t="s">
        <v>6</v>
      </c>
      <c r="D100" s="59" t="s">
        <v>20</v>
      </c>
      <c r="E100" s="104" t="str">
        <f>IF(Table25781014[[#This Row],[Line Section]]="","",VLOOKUP(Table25781014[[#This Row],[Line Section]],Reference!$A$2:$B$47,2,FALSE))</f>
        <v>C018</v>
      </c>
      <c r="F100" s="157">
        <v>44297</v>
      </c>
      <c r="G100" s="250"/>
      <c r="H100" s="69" t="s">
        <v>533</v>
      </c>
      <c r="I100" s="54" t="s">
        <v>95</v>
      </c>
      <c r="J100" s="60">
        <v>7.82</v>
      </c>
      <c r="K100" s="60">
        <v>8.1199999999999992</v>
      </c>
      <c r="L100" s="53">
        <f>IF(Table25781014[[#This Row],[End
(km)]]="","",Table25781014[[#This Row],[End
(km)]]-Table25781014[[#This Row],[Start
(km)]])</f>
        <v>0.29999999999999893</v>
      </c>
      <c r="M100" s="61" t="s">
        <v>126</v>
      </c>
      <c r="N100" s="59" t="s">
        <v>113</v>
      </c>
      <c r="O100" s="272"/>
      <c r="P100" s="64">
        <v>43230</v>
      </c>
      <c r="Q100" s="307">
        <v>43671</v>
      </c>
      <c r="R100" s="57"/>
      <c r="S100" s="55"/>
      <c r="T100" s="66"/>
      <c r="U100" s="308"/>
      <c r="V100" s="312"/>
      <c r="W100" s="67" t="s">
        <v>300</v>
      </c>
      <c r="X100" s="77" t="s">
        <v>848</v>
      </c>
      <c r="Y100" s="341"/>
      <c r="Z100" s="80" t="s">
        <v>139</v>
      </c>
      <c r="AA100" s="313"/>
      <c r="AB100" s="96"/>
      <c r="AC100" s="96"/>
      <c r="AD100" s="314" t="str">
        <f>IF(Table25781014[[#This Row],[End Completed Section (km)]]="","",Table25781014[[#This Row],[End Completed Section (km)]]-Table25781014[[#This Row],[Start Completed Section (km)]])</f>
        <v/>
      </c>
      <c r="AE100" s="72"/>
      <c r="AF10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100" s="229" t="str">
        <f>IF(Table25781014[[#This Row],[Planned Date]]="","",TEXT(Table25781014[[#This Row],[Planned Date]],"mmm"))</f>
        <v>Apr</v>
      </c>
      <c r="AH100" s="252">
        <f>IF(Table25781014[[#This Row],[Month]]="","",VLOOKUP(Table25781014[[#This Row],[Month]],List!$B$2:$C$13,2,FALSE))</f>
        <v>10</v>
      </c>
    </row>
    <row r="101" spans="1:34" ht="25.5" x14ac:dyDescent="0.2">
      <c r="A101" s="98" t="s">
        <v>116</v>
      </c>
      <c r="B101" s="305">
        <v>1</v>
      </c>
      <c r="C101" s="67" t="s">
        <v>6</v>
      </c>
      <c r="D101" s="59" t="s">
        <v>20</v>
      </c>
      <c r="E101" s="104" t="str">
        <f>IF(Table25781014[[#This Row],[Line Section]]="","",VLOOKUP(Table25781014[[#This Row],[Line Section]],Reference!$A$2:$B$47,2,FALSE))</f>
        <v>C018</v>
      </c>
      <c r="F101" s="157">
        <v>43765</v>
      </c>
      <c r="G101" s="250"/>
      <c r="H101" s="69" t="s">
        <v>534</v>
      </c>
      <c r="I101" s="203" t="s">
        <v>95</v>
      </c>
      <c r="J101" s="60">
        <v>8.14</v>
      </c>
      <c r="K101" s="60">
        <v>8.17</v>
      </c>
      <c r="L101" s="53">
        <f>IF(Table25781014[[#This Row],[End
(km)]]="","",Table25781014[[#This Row],[End
(km)]]-Table25781014[[#This Row],[Start
(km)]])</f>
        <v>2.9999999999999361E-2</v>
      </c>
      <c r="M101" s="61" t="s">
        <v>126</v>
      </c>
      <c r="N101" s="59" t="s">
        <v>113</v>
      </c>
      <c r="O101" s="272" t="s">
        <v>113</v>
      </c>
      <c r="P101" s="64">
        <v>43483</v>
      </c>
      <c r="Q101" s="307"/>
      <c r="R101" s="57" t="s">
        <v>121</v>
      </c>
      <c r="S101" s="55" t="s">
        <v>121</v>
      </c>
      <c r="T101" s="91"/>
      <c r="U101" s="308"/>
      <c r="V101" s="312"/>
      <c r="W101" s="67" t="s">
        <v>718</v>
      </c>
      <c r="X101" s="77" t="s">
        <v>719</v>
      </c>
      <c r="Y101" s="341"/>
      <c r="Z101" s="80" t="s">
        <v>188</v>
      </c>
      <c r="AA101" s="313"/>
      <c r="AB101" s="96"/>
      <c r="AC101" s="96"/>
      <c r="AD101" s="314" t="str">
        <f>IF(Table25781014[[#This Row],[End Completed Section (km)]]="","",Table25781014[[#This Row],[End Completed Section (km)]]-Table25781014[[#This Row],[Start Completed Section (km)]])</f>
        <v/>
      </c>
      <c r="AE101" s="72"/>
      <c r="AF10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101" s="229" t="str">
        <f>IF(Table25781014[[#This Row],[Planned Date]]="","",TEXT(Table25781014[[#This Row],[Planned Date]],"mmm"))</f>
        <v>Oct</v>
      </c>
      <c r="AH101" s="252">
        <f>IF(Table25781014[[#This Row],[Month]]="","",VLOOKUP(Table25781014[[#This Row],[Month]],List!$B$2:$C$13,2,FALSE))</f>
        <v>4</v>
      </c>
    </row>
    <row r="102" spans="1:34" ht="51" x14ac:dyDescent="0.2">
      <c r="A102" s="98" t="s">
        <v>116</v>
      </c>
      <c r="B102" s="305"/>
      <c r="C102" s="67" t="s">
        <v>6</v>
      </c>
      <c r="D102" s="59" t="s">
        <v>20</v>
      </c>
      <c r="E102" s="104" t="str">
        <f>IF(Table25781014[[#This Row],[Line Section]]="","",VLOOKUP(Table25781014[[#This Row],[Line Section]],Reference!$A$2:$B$47,2,FALSE))</f>
        <v>C018</v>
      </c>
      <c r="F102" s="157"/>
      <c r="G102" s="250"/>
      <c r="H102" s="311"/>
      <c r="I102" s="203" t="s">
        <v>95</v>
      </c>
      <c r="J102" s="60">
        <v>8.14</v>
      </c>
      <c r="K102" s="60">
        <v>8.34</v>
      </c>
      <c r="L102" s="53">
        <f>IF(Table25781014[[#This Row],[End
(km)]]="","",Table25781014[[#This Row],[End
(km)]]-Table25781014[[#This Row],[Start
(km)]])</f>
        <v>0.19999999999999929</v>
      </c>
      <c r="M102" s="61" t="s">
        <v>126</v>
      </c>
      <c r="N102" s="59" t="s">
        <v>113</v>
      </c>
      <c r="O102" s="272"/>
      <c r="P102" s="64">
        <v>43230</v>
      </c>
      <c r="Q102" s="307">
        <v>43311</v>
      </c>
      <c r="R102" s="57" t="s">
        <v>121</v>
      </c>
      <c r="S102" s="55"/>
      <c r="T102" s="66"/>
      <c r="U102" s="308"/>
      <c r="V102" s="312"/>
      <c r="W102" s="67" t="s">
        <v>301</v>
      </c>
      <c r="X102" s="77" t="s">
        <v>571</v>
      </c>
      <c r="Y102" s="341"/>
      <c r="Z102" s="80" t="s">
        <v>139</v>
      </c>
      <c r="AA102" s="313"/>
      <c r="AB102" s="96"/>
      <c r="AC102" s="96"/>
      <c r="AD102" s="314" t="str">
        <f>IF(Table25781014[[#This Row],[End Completed Section (km)]]="","",Table25781014[[#This Row],[End Completed Section (km)]]-Table25781014[[#This Row],[Start Completed Section (km)]])</f>
        <v/>
      </c>
      <c r="AE102" s="72"/>
      <c r="AF10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02" s="229" t="str">
        <f>IF(Table25781014[[#This Row],[Planned Date]]="","",TEXT(Table25781014[[#This Row],[Planned Date]],"mmm"))</f>
        <v/>
      </c>
      <c r="AH102" s="252" t="str">
        <f>IF(Table25781014[[#This Row],[Month]]="","",VLOOKUP(Table25781014[[#This Row],[Month]],List!$B$2:$C$13,2,FALSE))</f>
        <v/>
      </c>
    </row>
    <row r="103" spans="1:34" s="56" customFormat="1" ht="14.45" customHeight="1" x14ac:dyDescent="0.2">
      <c r="A103" s="98" t="s">
        <v>117</v>
      </c>
      <c r="B103" s="305"/>
      <c r="C103" s="67" t="s">
        <v>6</v>
      </c>
      <c r="D103" s="59" t="s">
        <v>20</v>
      </c>
      <c r="E103" s="100" t="str">
        <f>IF(Table25781014[[#This Row],[Line Section]]="","",VLOOKUP(Table25781014[[#This Row],[Line Section]],Reference!$A$2:$B$47,2,FALSE))</f>
        <v>C018</v>
      </c>
      <c r="F103" s="157"/>
      <c r="G103" s="250"/>
      <c r="H103" s="311"/>
      <c r="I103" s="54" t="s">
        <v>96</v>
      </c>
      <c r="J103" s="60">
        <v>8.15</v>
      </c>
      <c r="K103" s="60">
        <v>8.43</v>
      </c>
      <c r="L103" s="53">
        <f>IF(Table25781014[[#This Row],[End
(km)]]="","",Table25781014[[#This Row],[End
(km)]]-Table25781014[[#This Row],[Start
(km)]])</f>
        <v>0.27999999999999936</v>
      </c>
      <c r="M103" s="61" t="s">
        <v>126</v>
      </c>
      <c r="N103" s="59" t="s">
        <v>113</v>
      </c>
      <c r="O103" s="272"/>
      <c r="P103" s="64">
        <v>43230</v>
      </c>
      <c r="Q103" s="307">
        <v>43381</v>
      </c>
      <c r="R103" s="57" t="s">
        <v>121</v>
      </c>
      <c r="S103" s="55"/>
      <c r="T103" s="66"/>
      <c r="U103" s="308"/>
      <c r="V103" s="312"/>
      <c r="W103" s="67" t="s">
        <v>297</v>
      </c>
      <c r="X103" s="77"/>
      <c r="Y103" s="326"/>
      <c r="Z103" s="80" t="s">
        <v>139</v>
      </c>
      <c r="AA103" s="313"/>
      <c r="AB103" s="96"/>
      <c r="AC103" s="96"/>
      <c r="AD103" s="314" t="str">
        <f>IF(Table25781014[[#This Row],[End Completed Section (km)]]="","",Table25781014[[#This Row],[End Completed Section (km)]]-Table25781014[[#This Row],[Start Completed Section (km)]])</f>
        <v/>
      </c>
      <c r="AE103" s="72"/>
      <c r="AF10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03" s="229" t="str">
        <f>IF(Table25781014[[#This Row],[Planned Date]]="","",TEXT(Table25781014[[#This Row],[Planned Date]],"mmm"))</f>
        <v/>
      </c>
      <c r="AH103" s="252" t="str">
        <f>IF(Table25781014[[#This Row],[Month]]="","",VLOOKUP(Table25781014[[#This Row],[Month]],List!$B$2:$C$13,2,FALSE))</f>
        <v/>
      </c>
    </row>
    <row r="104" spans="1:34" ht="12.6" customHeight="1" x14ac:dyDescent="0.2">
      <c r="A104" s="98" t="s">
        <v>118</v>
      </c>
      <c r="B104" s="305"/>
      <c r="C104" s="67" t="s">
        <v>6</v>
      </c>
      <c r="D104" s="59" t="s">
        <v>20</v>
      </c>
      <c r="E104" s="104" t="str">
        <f>IF(Table25781014[[#This Row],[Line Section]]="","",VLOOKUP(Table25781014[[#This Row],[Line Section]],Reference!$A$2:$B$47,2,FALSE))</f>
        <v>C018</v>
      </c>
      <c r="F104" s="157"/>
      <c r="G104" s="250"/>
      <c r="H104" s="311"/>
      <c r="I104" s="54" t="s">
        <v>95</v>
      </c>
      <c r="J104" s="60">
        <v>8.4499999999999993</v>
      </c>
      <c r="K104" s="60">
        <v>8.75</v>
      </c>
      <c r="L104" s="44">
        <f>IF(Table25781014[[#This Row],[End
(km)]]="","",Table25781014[[#This Row],[End
(km)]]-Table25781014[[#This Row],[Start
(km)]])</f>
        <v>0.30000000000000071</v>
      </c>
      <c r="M104" s="61" t="s">
        <v>126</v>
      </c>
      <c r="N104" s="59"/>
      <c r="O104" s="272" t="s">
        <v>113</v>
      </c>
      <c r="P104" s="64">
        <v>43472</v>
      </c>
      <c r="Q104" s="307"/>
      <c r="R104" s="57"/>
      <c r="S104" s="55"/>
      <c r="T104" s="66"/>
      <c r="U104" s="308"/>
      <c r="V104" s="312"/>
      <c r="W104" s="67" t="s">
        <v>287</v>
      </c>
      <c r="X104" s="77"/>
      <c r="Y104" s="389" t="s">
        <v>631</v>
      </c>
      <c r="Z104" s="80" t="s">
        <v>122</v>
      </c>
      <c r="AA104" s="313"/>
      <c r="AB104" s="96"/>
      <c r="AC104" s="96"/>
      <c r="AD104" s="314" t="str">
        <f>IF(Table25781014[[#This Row],[End Completed Section (km)]]="","",Table25781014[[#This Row],[End Completed Section (km)]]-Table25781014[[#This Row],[Start Completed Section (km)]])</f>
        <v/>
      </c>
      <c r="AE104" s="72"/>
      <c r="AF10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04" s="229" t="str">
        <f>IF(Table25781014[[#This Row],[Planned Date]]="","",TEXT(Table25781014[[#This Row],[Planned Date]],"mmm"))</f>
        <v/>
      </c>
      <c r="AH104" s="252" t="str">
        <f>IF(Table25781014[[#This Row],[Month]]="","",VLOOKUP(Table25781014[[#This Row],[Month]],List!$B$2:$C$13,2,FALSE))</f>
        <v/>
      </c>
    </row>
    <row r="105" spans="1:34" ht="38.25" x14ac:dyDescent="0.2">
      <c r="A105" s="83" t="s">
        <v>116</v>
      </c>
      <c r="B105" s="328"/>
      <c r="C105" s="59" t="s">
        <v>6</v>
      </c>
      <c r="D105" s="74" t="s">
        <v>20</v>
      </c>
      <c r="E105" s="104" t="str">
        <f>IF(Table25781014[[#This Row],[Line Section]]="","",VLOOKUP(Table25781014[[#This Row],[Line Section]],Reference!$A$2:$B$47,2,FALSE))</f>
        <v>C018</v>
      </c>
      <c r="F105" s="157"/>
      <c r="G105" s="250"/>
      <c r="H105" s="69"/>
      <c r="I105" s="54" t="s">
        <v>96</v>
      </c>
      <c r="J105" s="75">
        <v>8.69</v>
      </c>
      <c r="K105" s="75">
        <v>8.7899999999999991</v>
      </c>
      <c r="L105" s="44">
        <f>IF(Table25781014[[#This Row],[End
(km)]]="","",Table25781014[[#This Row],[End
(km)]]-Table25781014[[#This Row],[Start
(km)]])</f>
        <v>9.9999999999999645E-2</v>
      </c>
      <c r="M105" s="76" t="s">
        <v>126</v>
      </c>
      <c r="N105" s="74" t="s">
        <v>113</v>
      </c>
      <c r="O105" s="295" t="s">
        <v>113</v>
      </c>
      <c r="P105" s="71">
        <v>43230</v>
      </c>
      <c r="Q105" s="307">
        <v>43472</v>
      </c>
      <c r="R105" s="89" t="s">
        <v>121</v>
      </c>
      <c r="S105" s="90" t="s">
        <v>121</v>
      </c>
      <c r="T105" s="91"/>
      <c r="U105" s="329"/>
      <c r="V105" s="309"/>
      <c r="W105" s="73"/>
      <c r="X105" s="78" t="s">
        <v>801</v>
      </c>
      <c r="Y105" s="326"/>
      <c r="Z105" s="81" t="s">
        <v>556</v>
      </c>
      <c r="AA105" s="323"/>
      <c r="AB105" s="97">
        <v>8.7200000000000006</v>
      </c>
      <c r="AC105" s="97">
        <v>8.76</v>
      </c>
      <c r="AD105" s="310">
        <f>IF(Table25781014[[#This Row],[End Completed Section (km)]]="","",Table25781014[[#This Row],[End Completed Section (km)]]-Table25781014[[#This Row],[Start Completed Section (km)]])</f>
        <v>3.9999999999999147E-2</v>
      </c>
      <c r="AE105" s="82">
        <v>43583</v>
      </c>
      <c r="AF10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105" s="229" t="str">
        <f>IF(Table25781014[[#This Row],[Planned Date]]="","",TEXT(Table25781014[[#This Row],[Planned Date]],"mmm"))</f>
        <v/>
      </c>
      <c r="AH105" s="252" t="str">
        <f>IF(Table25781014[[#This Row],[Month]]="","",VLOOKUP(Table25781014[[#This Row],[Month]],List!$B$2:$C$13,2,FALSE))</f>
        <v/>
      </c>
    </row>
    <row r="106" spans="1:34" x14ac:dyDescent="0.2">
      <c r="A106" s="83" t="s">
        <v>117</v>
      </c>
      <c r="B106" s="328"/>
      <c r="C106" s="59" t="s">
        <v>6</v>
      </c>
      <c r="D106" s="74" t="s">
        <v>20</v>
      </c>
      <c r="E106" s="104" t="str">
        <f>IF(Table25781014[[#This Row],[Line Section]]="","",VLOOKUP(Table25781014[[#This Row],[Line Section]],Reference!$A$2:$B$47,2,FALSE))</f>
        <v>C018</v>
      </c>
      <c r="F106" s="157"/>
      <c r="G106" s="250"/>
      <c r="H106" s="311"/>
      <c r="I106" s="54" t="s">
        <v>95</v>
      </c>
      <c r="J106" s="75">
        <v>9.9</v>
      </c>
      <c r="K106" s="75">
        <v>10</v>
      </c>
      <c r="L106" s="44">
        <f>IF(Table25781014[[#This Row],[End
(km)]]="","",Table25781014[[#This Row],[End
(km)]]-Table25781014[[#This Row],[Start
(km)]])</f>
        <v>9.9999999999999645E-2</v>
      </c>
      <c r="M106" s="76" t="s">
        <v>126</v>
      </c>
      <c r="N106" s="74" t="s">
        <v>112</v>
      </c>
      <c r="O106" s="295"/>
      <c r="P106" s="71">
        <v>43230</v>
      </c>
      <c r="Q106" s="307">
        <v>43381</v>
      </c>
      <c r="R106" s="89" t="s">
        <v>121</v>
      </c>
      <c r="S106" s="90"/>
      <c r="T106" s="91"/>
      <c r="U106" s="329"/>
      <c r="V106" s="309"/>
      <c r="W106" s="73" t="s">
        <v>298</v>
      </c>
      <c r="X106" s="78"/>
      <c r="Y106" s="326"/>
      <c r="Z106" s="81" t="s">
        <v>139</v>
      </c>
      <c r="AA106" s="323"/>
      <c r="AB106" s="97"/>
      <c r="AC106" s="97"/>
      <c r="AD106" s="310" t="str">
        <f>IF(Table25781014[[#This Row],[End Completed Section (km)]]="","",Table25781014[[#This Row],[End Completed Section (km)]]-Table25781014[[#This Row],[Start Completed Section (km)]])</f>
        <v/>
      </c>
      <c r="AE106" s="82"/>
      <c r="AF10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06" s="229" t="str">
        <f>IF(Table25781014[[#This Row],[Planned Date]]="","",TEXT(Table25781014[[#This Row],[Planned Date]],"mmm"))</f>
        <v/>
      </c>
      <c r="AH106" s="252" t="str">
        <f>IF(Table25781014[[#This Row],[Month]]="","",VLOOKUP(Table25781014[[#This Row],[Month]],List!$B$2:$C$13,2,FALSE))</f>
        <v/>
      </c>
    </row>
    <row r="107" spans="1:34" x14ac:dyDescent="0.2">
      <c r="A107" s="83" t="s">
        <v>118</v>
      </c>
      <c r="B107" s="328"/>
      <c r="C107" s="73" t="s">
        <v>6</v>
      </c>
      <c r="D107" s="74" t="s">
        <v>20</v>
      </c>
      <c r="E107" s="104" t="str">
        <f>IF(Table25781014[[#This Row],[Line Section]]="","",VLOOKUP(Table25781014[[#This Row],[Line Section]],Reference!$A$2:$B$47,2,FALSE))</f>
        <v>C018</v>
      </c>
      <c r="F107" s="157"/>
      <c r="G107" s="250"/>
      <c r="H107" s="311"/>
      <c r="I107" s="54" t="s">
        <v>95</v>
      </c>
      <c r="J107" s="75">
        <v>10.199999999999999</v>
      </c>
      <c r="K107" s="75">
        <v>10.45</v>
      </c>
      <c r="L107" s="44">
        <f>IF(Table25781014[[#This Row],[End
(km)]]="","",Table25781014[[#This Row],[End
(km)]]-Table25781014[[#This Row],[Start
(km)]])</f>
        <v>0.25</v>
      </c>
      <c r="M107" s="76" t="s">
        <v>126</v>
      </c>
      <c r="N107" s="74" t="s">
        <v>111</v>
      </c>
      <c r="O107" s="295"/>
      <c r="P107" s="71">
        <v>43230</v>
      </c>
      <c r="Q107" s="307">
        <v>43381</v>
      </c>
      <c r="R107" s="89" t="s">
        <v>121</v>
      </c>
      <c r="S107" s="90"/>
      <c r="T107" s="91"/>
      <c r="U107" s="329"/>
      <c r="V107" s="309"/>
      <c r="W107" s="73" t="s">
        <v>302</v>
      </c>
      <c r="X107" s="78"/>
      <c r="Y107" s="326"/>
      <c r="Z107" s="81" t="s">
        <v>139</v>
      </c>
      <c r="AA107" s="323"/>
      <c r="AB107" s="97"/>
      <c r="AC107" s="97"/>
      <c r="AD107" s="310" t="str">
        <f>IF(Table25781014[[#This Row],[End Completed Section (km)]]="","",Table25781014[[#This Row],[End Completed Section (km)]]-Table25781014[[#This Row],[Start Completed Section (km)]])</f>
        <v/>
      </c>
      <c r="AE107" s="82"/>
      <c r="AF10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07" s="229" t="str">
        <f>IF(Table25781014[[#This Row],[Planned Date]]="","",TEXT(Table25781014[[#This Row],[Planned Date]],"mmm"))</f>
        <v/>
      </c>
      <c r="AH107" s="252" t="str">
        <f>IF(Table25781014[[#This Row],[Month]]="","",VLOOKUP(Table25781014[[#This Row],[Month]],List!$B$2:$C$13,2,FALSE))</f>
        <v/>
      </c>
    </row>
    <row r="108" spans="1:34" ht="12.75" customHeight="1" x14ac:dyDescent="0.2">
      <c r="A108" s="83" t="s">
        <v>117</v>
      </c>
      <c r="B108" s="328"/>
      <c r="C108" s="73" t="s">
        <v>6</v>
      </c>
      <c r="D108" s="74" t="s">
        <v>20</v>
      </c>
      <c r="E108" s="104" t="str">
        <f>IF(Table25781014[[#This Row],[Line Section]]="","",VLOOKUP(Table25781014[[#This Row],[Line Section]],Reference!$A$2:$B$47,2,FALSE))</f>
        <v>C018</v>
      </c>
      <c r="F108" s="157"/>
      <c r="G108" s="250"/>
      <c r="H108" s="311"/>
      <c r="I108" s="54" t="s">
        <v>95</v>
      </c>
      <c r="J108" s="75">
        <v>10.5</v>
      </c>
      <c r="K108" s="75">
        <v>10.6</v>
      </c>
      <c r="L108" s="44">
        <f>IF(Table25781014[[#This Row],[End
(km)]]="","",Table25781014[[#This Row],[End
(km)]]-Table25781014[[#This Row],[Start
(km)]])</f>
        <v>9.9999999999999645E-2</v>
      </c>
      <c r="M108" s="76" t="s">
        <v>126</v>
      </c>
      <c r="N108" s="74" t="s">
        <v>113</v>
      </c>
      <c r="O108" s="295"/>
      <c r="P108" s="71">
        <v>43230</v>
      </c>
      <c r="Q108" s="307">
        <v>43381</v>
      </c>
      <c r="R108" s="89" t="s">
        <v>121</v>
      </c>
      <c r="S108" s="90"/>
      <c r="T108" s="91"/>
      <c r="U108" s="329"/>
      <c r="V108" s="309"/>
      <c r="W108" s="73"/>
      <c r="X108" s="398"/>
      <c r="Y108" s="326"/>
      <c r="Z108" s="81" t="s">
        <v>139</v>
      </c>
      <c r="AA108" s="323"/>
      <c r="AB108" s="97"/>
      <c r="AC108" s="97"/>
      <c r="AD108" s="310" t="str">
        <f>IF(Table25781014[[#This Row],[End Completed Section (km)]]="","",Table25781014[[#This Row],[End Completed Section (km)]]-Table25781014[[#This Row],[Start Completed Section (km)]])</f>
        <v/>
      </c>
      <c r="AE108" s="82"/>
      <c r="AF10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08" s="229" t="str">
        <f>IF(Table25781014[[#This Row],[Planned Date]]="","",TEXT(Table25781014[[#This Row],[Planned Date]],"mmm"))</f>
        <v/>
      </c>
      <c r="AH108" s="252" t="str">
        <f>IF(Table25781014[[#This Row],[Month]]="","",VLOOKUP(Table25781014[[#This Row],[Month]],List!$B$2:$C$13,2,FALSE))</f>
        <v/>
      </c>
    </row>
    <row r="109" spans="1:34" ht="12.75" customHeight="1" x14ac:dyDescent="0.2">
      <c r="A109" s="83" t="s">
        <v>118</v>
      </c>
      <c r="B109" s="328"/>
      <c r="C109" s="73" t="s">
        <v>6</v>
      </c>
      <c r="D109" s="74" t="s">
        <v>20</v>
      </c>
      <c r="E109" s="104" t="str">
        <f>IF(Table25781014[[#This Row],[Line Section]]="","",VLOOKUP(Table25781014[[#This Row],[Line Section]],Reference!$A$2:$B$47,2,FALSE))</f>
        <v>C018</v>
      </c>
      <c r="F109" s="157"/>
      <c r="G109" s="250"/>
      <c r="H109" s="311"/>
      <c r="I109" s="54" t="s">
        <v>95</v>
      </c>
      <c r="J109" s="75">
        <v>10.68</v>
      </c>
      <c r="K109" s="75">
        <v>10.9</v>
      </c>
      <c r="L109" s="44">
        <f>IF(Table25781014[[#This Row],[End
(km)]]="","",Table25781014[[#This Row],[End
(km)]]-Table25781014[[#This Row],[Start
(km)]])</f>
        <v>0.22000000000000064</v>
      </c>
      <c r="M109" s="76" t="s">
        <v>725</v>
      </c>
      <c r="N109" s="74"/>
      <c r="O109" s="295" t="s">
        <v>111</v>
      </c>
      <c r="P109" s="71">
        <v>43488</v>
      </c>
      <c r="Q109" s="307"/>
      <c r="R109" s="89" t="s">
        <v>121</v>
      </c>
      <c r="S109" s="90"/>
      <c r="T109" s="91"/>
      <c r="U109" s="329"/>
      <c r="V109" s="309"/>
      <c r="W109" s="73" t="s">
        <v>735</v>
      </c>
      <c r="X109" s="398" t="s">
        <v>734</v>
      </c>
      <c r="Y109" s="326"/>
      <c r="Z109" s="81" t="s">
        <v>122</v>
      </c>
      <c r="AA109" s="323"/>
      <c r="AB109" s="97"/>
      <c r="AC109" s="97"/>
      <c r="AD109" s="310" t="str">
        <f>IF(Table25781014[[#This Row],[End Completed Section (km)]]="","",Table25781014[[#This Row],[End Completed Section (km)]]-Table25781014[[#This Row],[Start Completed Section (km)]])</f>
        <v/>
      </c>
      <c r="AE109" s="82"/>
      <c r="AF10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09" s="229" t="str">
        <f>IF(Table25781014[[#This Row],[Planned Date]]="","",TEXT(Table25781014[[#This Row],[Planned Date]],"mmm"))</f>
        <v/>
      </c>
      <c r="AH109" s="252" t="str">
        <f>IF(Table25781014[[#This Row],[Month]]="","",VLOOKUP(Table25781014[[#This Row],[Month]],List!$B$2:$C$13,2,FALSE))</f>
        <v/>
      </c>
    </row>
    <row r="110" spans="1:34" s="56" customFormat="1" ht="25.5" customHeight="1" x14ac:dyDescent="0.2">
      <c r="A110" s="98" t="s">
        <v>118</v>
      </c>
      <c r="B110" s="305"/>
      <c r="C110" s="67" t="s">
        <v>6</v>
      </c>
      <c r="D110" s="59" t="s">
        <v>20</v>
      </c>
      <c r="E110" s="100" t="str">
        <f>IF(Table25781014[[#This Row],[Line Section]]="","",VLOOKUP(Table25781014[[#This Row],[Line Section]],Reference!$A$2:$B$47,2,FALSE))</f>
        <v>C018</v>
      </c>
      <c r="F110" s="157"/>
      <c r="G110" s="440"/>
      <c r="H110" s="306"/>
      <c r="I110" s="54" t="s">
        <v>96</v>
      </c>
      <c r="J110" s="60">
        <v>11.1</v>
      </c>
      <c r="K110" s="60">
        <v>11.35</v>
      </c>
      <c r="L110" s="53">
        <f>IF(Table25781014[[#This Row],[End
(km)]]="","",Table25781014[[#This Row],[End
(km)]]-Table25781014[[#This Row],[Start
(km)]])</f>
        <v>0.25</v>
      </c>
      <c r="M110" s="61" t="s">
        <v>126</v>
      </c>
      <c r="N110" s="59" t="s">
        <v>113</v>
      </c>
      <c r="O110" s="272"/>
      <c r="P110" s="64">
        <v>43230</v>
      </c>
      <c r="Q110" s="307">
        <v>43381</v>
      </c>
      <c r="R110" s="57" t="s">
        <v>121</v>
      </c>
      <c r="S110" s="55"/>
      <c r="T110" s="66"/>
      <c r="U110" s="308"/>
      <c r="V110" s="309"/>
      <c r="W110" s="67"/>
      <c r="X110" s="398"/>
      <c r="Y110" s="326"/>
      <c r="Z110" s="80" t="s">
        <v>139</v>
      </c>
      <c r="AA110" s="313"/>
      <c r="AB110" s="96"/>
      <c r="AC110" s="96"/>
      <c r="AD110" s="310" t="str">
        <f>IF(Table25781014[[#This Row],[End Completed Section (km)]]="","",Table25781014[[#This Row],[End Completed Section (km)]]-Table25781014[[#This Row],[Start Completed Section (km)]])</f>
        <v/>
      </c>
      <c r="AE110" s="72"/>
      <c r="AF11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10" s="229" t="str">
        <f>IF(Table25781014[[#This Row],[Planned Date]]="","",TEXT(Table25781014[[#This Row],[Planned Date]],"mmm"))</f>
        <v/>
      </c>
      <c r="AH110" s="252" t="str">
        <f>IF(Table25781014[[#This Row],[Month]]="","",VLOOKUP(Table25781014[[#This Row],[Month]],List!$B$2:$C$13,2,FALSE))</f>
        <v/>
      </c>
    </row>
    <row r="111" spans="1:34" ht="25.5" customHeight="1" x14ac:dyDescent="0.2">
      <c r="A111" s="83" t="s">
        <v>118</v>
      </c>
      <c r="B111" s="328"/>
      <c r="C111" s="73" t="s">
        <v>6</v>
      </c>
      <c r="D111" s="74" t="s">
        <v>20</v>
      </c>
      <c r="E111" s="104" t="str">
        <f>IF(Table25781014[[#This Row],[Line Section]]="","",VLOOKUP(Table25781014[[#This Row],[Line Section]],Reference!$A$2:$B$47,2,FALSE))</f>
        <v>C018</v>
      </c>
      <c r="F111" s="157"/>
      <c r="G111" s="250"/>
      <c r="H111" s="311"/>
      <c r="I111" s="54" t="s">
        <v>96</v>
      </c>
      <c r="J111" s="75">
        <v>11.3</v>
      </c>
      <c r="K111" s="75">
        <v>11.55</v>
      </c>
      <c r="L111" s="44">
        <f>IF(Table25781014[[#This Row],[End
(km)]]="","",Table25781014[[#This Row],[End
(km)]]-Table25781014[[#This Row],[Start
(km)]])</f>
        <v>0.25</v>
      </c>
      <c r="M111" s="76" t="s">
        <v>126</v>
      </c>
      <c r="N111" s="74"/>
      <c r="O111" s="295" t="s">
        <v>113</v>
      </c>
      <c r="P111" s="71">
        <v>43472</v>
      </c>
      <c r="Q111" s="307"/>
      <c r="R111" s="89"/>
      <c r="S111" s="90"/>
      <c r="T111" s="91"/>
      <c r="U111" s="329"/>
      <c r="V111" s="309"/>
      <c r="W111" s="73"/>
      <c r="X111" s="78" t="s">
        <v>627</v>
      </c>
      <c r="Y111" s="326"/>
      <c r="Z111" s="81" t="s">
        <v>122</v>
      </c>
      <c r="AA111" s="323"/>
      <c r="AB111" s="97"/>
      <c r="AC111" s="97"/>
      <c r="AD111" s="310" t="str">
        <f>IF(Table25781014[[#This Row],[End Completed Section (km)]]="","",Table25781014[[#This Row],[End Completed Section (km)]]-Table25781014[[#This Row],[Start Completed Section (km)]])</f>
        <v/>
      </c>
      <c r="AE111" s="82"/>
      <c r="AF11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11" s="229" t="str">
        <f>IF(Table25781014[[#This Row],[Planned Date]]="","",TEXT(Table25781014[[#This Row],[Planned Date]],"mmm"))</f>
        <v/>
      </c>
      <c r="AH111" s="252" t="str">
        <f>IF(Table25781014[[#This Row],[Month]]="","",VLOOKUP(Table25781014[[#This Row],[Month]],List!$B$2:$C$13,2,FALSE))</f>
        <v/>
      </c>
    </row>
    <row r="112" spans="1:34" s="56" customFormat="1" ht="25.5" customHeight="1" x14ac:dyDescent="0.2">
      <c r="A112" s="98" t="s">
        <v>116</v>
      </c>
      <c r="B112" s="305"/>
      <c r="C112" s="67" t="s">
        <v>6</v>
      </c>
      <c r="D112" s="59" t="s">
        <v>20</v>
      </c>
      <c r="E112" s="100" t="str">
        <f>IF(Table25781014[[#This Row],[Line Section]]="","",VLOOKUP(Table25781014[[#This Row],[Line Section]],Reference!$A$2:$B$47,2,FALSE))</f>
        <v>C018</v>
      </c>
      <c r="F112" s="157">
        <v>43940</v>
      </c>
      <c r="G112" s="440"/>
      <c r="H112" s="306" t="s">
        <v>535</v>
      </c>
      <c r="I112" s="203" t="s">
        <v>96</v>
      </c>
      <c r="J112" s="60">
        <v>11.55</v>
      </c>
      <c r="K112" s="60">
        <v>11.75</v>
      </c>
      <c r="L112" s="53">
        <f>IF(Table25781014[[#This Row],[End
(km)]]="","",Table25781014[[#This Row],[End
(km)]]-Table25781014[[#This Row],[Start
(km)]])</f>
        <v>0.19999999999999929</v>
      </c>
      <c r="M112" s="61" t="s">
        <v>126</v>
      </c>
      <c r="N112" s="59" t="s">
        <v>113</v>
      </c>
      <c r="O112" s="272" t="s">
        <v>113</v>
      </c>
      <c r="P112" s="64">
        <v>43230</v>
      </c>
      <c r="Q112" s="307">
        <v>43472</v>
      </c>
      <c r="R112" s="57" t="s">
        <v>121</v>
      </c>
      <c r="S112" s="55"/>
      <c r="T112" s="66"/>
      <c r="U112" s="308"/>
      <c r="V112" s="309"/>
      <c r="W112" s="67" t="s">
        <v>377</v>
      </c>
      <c r="X112" s="77" t="s">
        <v>469</v>
      </c>
      <c r="Y112" s="326"/>
      <c r="Z112" s="80" t="s">
        <v>415</v>
      </c>
      <c r="AA112" s="313"/>
      <c r="AB112" s="96">
        <v>11.65</v>
      </c>
      <c r="AC112" s="96">
        <v>12.05</v>
      </c>
      <c r="AD112" s="310">
        <f>IF(Table25781014[[#This Row],[End Completed Section (km)]]="","",Table25781014[[#This Row],[End Completed Section (km)]]-Table25781014[[#This Row],[Start Completed Section (km)]])</f>
        <v>0.40000000000000036</v>
      </c>
      <c r="AE112" s="72">
        <v>43583</v>
      </c>
      <c r="AF11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112" s="229" t="str">
        <f>IF(Table25781014[[#This Row],[Planned Date]]="","",TEXT(Table25781014[[#This Row],[Planned Date]],"mmm"))</f>
        <v>Apr</v>
      </c>
      <c r="AH112" s="252">
        <f>IF(Table25781014[[#This Row],[Month]]="","",VLOOKUP(Table25781014[[#This Row],[Month]],List!$B$2:$C$13,2,FALSE))</f>
        <v>10</v>
      </c>
    </row>
    <row r="113" spans="1:34" ht="38.25" x14ac:dyDescent="0.2">
      <c r="A113" s="83" t="s">
        <v>118</v>
      </c>
      <c r="B113" s="328"/>
      <c r="C113" s="73" t="s">
        <v>6</v>
      </c>
      <c r="D113" s="74" t="s">
        <v>20</v>
      </c>
      <c r="E113" s="104" t="str">
        <f>IF(Table25781014[[#This Row],[Line Section]]="","",VLOOKUP(Table25781014[[#This Row],[Line Section]],Reference!$A$2:$B$47,2,FALSE))</f>
        <v>C018</v>
      </c>
      <c r="F113" s="157"/>
      <c r="G113" s="440"/>
      <c r="H113" s="306"/>
      <c r="I113" s="86" t="s">
        <v>95</v>
      </c>
      <c r="J113" s="75">
        <v>12.49</v>
      </c>
      <c r="K113" s="75">
        <v>12.83</v>
      </c>
      <c r="L113" s="44">
        <f>IF(Table25781014[[#This Row],[End
(km)]]="","",Table25781014[[#This Row],[End
(km)]]-Table25781014[[#This Row],[Start
(km)]])</f>
        <v>0.33999999999999986</v>
      </c>
      <c r="M113" s="76" t="s">
        <v>146</v>
      </c>
      <c r="N113" s="74" t="s">
        <v>113</v>
      </c>
      <c r="O113" s="295" t="s">
        <v>113</v>
      </c>
      <c r="P113" s="71">
        <v>43230</v>
      </c>
      <c r="Q113" s="307">
        <v>43472</v>
      </c>
      <c r="R113" s="89" t="s">
        <v>121</v>
      </c>
      <c r="S113" s="90"/>
      <c r="T113" s="91"/>
      <c r="U113" s="329"/>
      <c r="V113" s="309"/>
      <c r="W113" s="73"/>
      <c r="X113" s="78" t="s">
        <v>734</v>
      </c>
      <c r="Y113" s="326"/>
      <c r="Z113" s="81" t="s">
        <v>122</v>
      </c>
      <c r="AA113" s="323"/>
      <c r="AB113" s="97"/>
      <c r="AC113" s="97"/>
      <c r="AD113" s="310" t="str">
        <f>IF(Table25781014[[#This Row],[End Completed Section (km)]]="","",Table25781014[[#This Row],[End Completed Section (km)]]-Table25781014[[#This Row],[Start Completed Section (km)]])</f>
        <v/>
      </c>
      <c r="AE113" s="82"/>
      <c r="AF11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13" s="229" t="str">
        <f>IF(Table25781014[[#This Row],[Planned Date]]="","",TEXT(Table25781014[[#This Row],[Planned Date]],"mmm"))</f>
        <v/>
      </c>
      <c r="AH113" s="252" t="str">
        <f>IF(Table25781014[[#This Row],[Month]]="","",VLOOKUP(Table25781014[[#This Row],[Month]],List!$B$2:$C$13,2,FALSE))</f>
        <v/>
      </c>
    </row>
    <row r="114" spans="1:34" x14ac:dyDescent="0.2">
      <c r="A114" s="83" t="s">
        <v>118</v>
      </c>
      <c r="B114" s="328"/>
      <c r="C114" s="73" t="s">
        <v>6</v>
      </c>
      <c r="D114" s="74" t="s">
        <v>20</v>
      </c>
      <c r="E114" s="104" t="str">
        <f>IF(Table25781014[[#This Row],[Line Section]]="","",VLOOKUP(Table25781014[[#This Row],[Line Section]],Reference!$A$2:$B$47,2,FALSE))</f>
        <v>C018</v>
      </c>
      <c r="F114" s="157"/>
      <c r="G114" s="440"/>
      <c r="H114" s="306"/>
      <c r="I114" s="86" t="s">
        <v>96</v>
      </c>
      <c r="J114" s="75">
        <v>13.28</v>
      </c>
      <c r="K114" s="75">
        <v>13.35</v>
      </c>
      <c r="L114" s="44">
        <f>IF(Table25781014[[#This Row],[End
(km)]]="","",Table25781014[[#This Row],[End
(km)]]-Table25781014[[#This Row],[Start
(km)]])</f>
        <v>7.0000000000000284E-2</v>
      </c>
      <c r="M114" s="76" t="s">
        <v>126</v>
      </c>
      <c r="N114" s="74" t="s">
        <v>110</v>
      </c>
      <c r="O114" s="295"/>
      <c r="P114" s="71">
        <v>43230</v>
      </c>
      <c r="Q114" s="307">
        <v>43381</v>
      </c>
      <c r="R114" s="89" t="s">
        <v>121</v>
      </c>
      <c r="S114" s="90"/>
      <c r="T114" s="91"/>
      <c r="U114" s="329"/>
      <c r="V114" s="309"/>
      <c r="W114" s="73" t="s">
        <v>298</v>
      </c>
      <c r="X114" s="78"/>
      <c r="Y114" s="326"/>
      <c r="Z114" s="81" t="s">
        <v>139</v>
      </c>
      <c r="AA114" s="323"/>
      <c r="AB114" s="97"/>
      <c r="AC114" s="97"/>
      <c r="AD114" s="310" t="str">
        <f>IF(Table25781014[[#This Row],[End Completed Section (km)]]="","",Table25781014[[#This Row],[End Completed Section (km)]]-Table25781014[[#This Row],[Start Completed Section (km)]])</f>
        <v/>
      </c>
      <c r="AE114" s="82"/>
      <c r="AF11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14" s="229" t="str">
        <f>IF(Table25781014[[#This Row],[Planned Date]]="","",TEXT(Table25781014[[#This Row],[Planned Date]],"mmm"))</f>
        <v/>
      </c>
      <c r="AH114" s="252" t="str">
        <f>IF(Table25781014[[#This Row],[Month]]="","",VLOOKUP(Table25781014[[#This Row],[Month]],List!$B$2:$C$13,2,FALSE))</f>
        <v/>
      </c>
    </row>
    <row r="115" spans="1:34" ht="63.75" x14ac:dyDescent="0.2">
      <c r="A115" s="98" t="s">
        <v>116</v>
      </c>
      <c r="B115" s="200">
        <v>5</v>
      </c>
      <c r="C115" s="67" t="s">
        <v>166</v>
      </c>
      <c r="D115" s="99" t="s">
        <v>36</v>
      </c>
      <c r="E115" s="104" t="str">
        <f>IF(Table25781014[[#This Row],[Line Section]]="","",VLOOKUP(Table25781014[[#This Row],[Line Section]],Reference!$A$2:$B$47,2,FALSE))</f>
        <v>C184</v>
      </c>
      <c r="F115" s="157">
        <v>43877</v>
      </c>
      <c r="G115" s="250"/>
      <c r="H115" s="104" t="s">
        <v>534</v>
      </c>
      <c r="I115" s="54" t="s">
        <v>93</v>
      </c>
      <c r="J115" s="101">
        <v>1.8</v>
      </c>
      <c r="K115" s="60">
        <v>1.95</v>
      </c>
      <c r="L115" s="88">
        <f>IF(Table25781014[[#This Row],[End
(km)]]="","",Table25781014[[#This Row],[End
(km)]]-Table25781014[[#This Row],[Start
(km)]])</f>
        <v>0.14999999999999991</v>
      </c>
      <c r="M115" s="76" t="s">
        <v>179</v>
      </c>
      <c r="N115" s="99" t="s">
        <v>207</v>
      </c>
      <c r="O115" s="64" t="s">
        <v>113</v>
      </c>
      <c r="P115" s="64">
        <v>43304</v>
      </c>
      <c r="Q115" s="201">
        <v>43469</v>
      </c>
      <c r="R115" s="57" t="s">
        <v>121</v>
      </c>
      <c r="S115" s="106"/>
      <c r="T115" s="66"/>
      <c r="U115" s="202" t="s">
        <v>121</v>
      </c>
      <c r="V115" s="448"/>
      <c r="W115" s="67" t="s">
        <v>461</v>
      </c>
      <c r="X115" s="107" t="s">
        <v>462</v>
      </c>
      <c r="Y115" s="470"/>
      <c r="Z115" s="103" t="s">
        <v>122</v>
      </c>
      <c r="AA115" s="279"/>
      <c r="AB115" s="96"/>
      <c r="AC115" s="96"/>
      <c r="AD115" s="226" t="str">
        <f>IF(Table25781014[[#This Row],[End Completed Section (km)]]="","",Table25781014[[#This Row],[End Completed Section (km)]]-Table25781014[[#This Row],[Start Completed Section (km)]])</f>
        <v/>
      </c>
      <c r="AE115" s="72"/>
      <c r="AF11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115" s="229" t="str">
        <f>IF(Table25781014[[#This Row],[Planned Date]]="","",TEXT(Table25781014[[#This Row],[Planned Date]],"mmm"))</f>
        <v>Feb</v>
      </c>
      <c r="AH115" s="56">
        <f>IF(Table25781014[[#This Row],[Month]]="","",VLOOKUP(Table25781014[[#This Row],[Month]],List!$B$2:$C$13,2,FALSE))</f>
        <v>8</v>
      </c>
    </row>
    <row r="116" spans="1:34" ht="89.25" x14ac:dyDescent="0.2">
      <c r="A116" s="98" t="s">
        <v>117</v>
      </c>
      <c r="B116" s="80"/>
      <c r="C116" s="67" t="s">
        <v>166</v>
      </c>
      <c r="D116" s="99" t="s">
        <v>36</v>
      </c>
      <c r="E116" s="104" t="str">
        <f>IF(Table25781014[[#This Row],[Line Section]]="","",VLOOKUP(Table25781014[[#This Row],[Line Section]],Reference!$A$2:$B$47,2,FALSE))</f>
        <v>C184</v>
      </c>
      <c r="F116" s="157">
        <v>44031</v>
      </c>
      <c r="G116" s="250"/>
      <c r="H116" s="69" t="s">
        <v>534</v>
      </c>
      <c r="I116" s="54" t="s">
        <v>94</v>
      </c>
      <c r="J116" s="60">
        <v>3.617</v>
      </c>
      <c r="K116" s="60">
        <v>3.85</v>
      </c>
      <c r="L116" s="88">
        <f>IF(Table25781014[[#This Row],[End
(km)]]="","",Table25781014[[#This Row],[End
(km)]]-Table25781014[[#This Row],[Start
(km)]])</f>
        <v>0.2330000000000001</v>
      </c>
      <c r="M116" s="76" t="s">
        <v>126</v>
      </c>
      <c r="N116" s="59" t="s">
        <v>113</v>
      </c>
      <c r="O116" s="272" t="s">
        <v>113</v>
      </c>
      <c r="P116" s="64">
        <v>43230</v>
      </c>
      <c r="Q116" s="71">
        <v>43304</v>
      </c>
      <c r="R116" s="57" t="s">
        <v>121</v>
      </c>
      <c r="S116" s="55"/>
      <c r="T116" s="66"/>
      <c r="U116" s="66"/>
      <c r="V116" s="268"/>
      <c r="W116" s="67"/>
      <c r="X116" s="77" t="s">
        <v>597</v>
      </c>
      <c r="Y116" s="47"/>
      <c r="Z116" s="103" t="s">
        <v>122</v>
      </c>
      <c r="AA116" s="279"/>
      <c r="AB116" s="96"/>
      <c r="AC116" s="96"/>
      <c r="AD116" s="226" t="str">
        <f>IF(Table25781014[[#This Row],[End Completed Section (km)]]="","",Table25781014[[#This Row],[End Completed Section (km)]]-Table25781014[[#This Row],[Start Completed Section (km)]])</f>
        <v/>
      </c>
      <c r="AE116" s="72"/>
      <c r="AF11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116" s="229" t="str">
        <f>IF(Table25781014[[#This Row],[Planned Date]]="","",TEXT(Table25781014[[#This Row],[Planned Date]],"mmm"))</f>
        <v>Jul</v>
      </c>
      <c r="AH116" s="56">
        <f>IF(Table25781014[[#This Row],[Month]]="","",VLOOKUP(Table25781014[[#This Row],[Month]],List!$B$2:$C$13,2,FALSE))</f>
        <v>1</v>
      </c>
    </row>
    <row r="117" spans="1:34" ht="63.75" x14ac:dyDescent="0.2">
      <c r="A117" s="98" t="s">
        <v>118</v>
      </c>
      <c r="B117" s="51"/>
      <c r="C117" s="67" t="s">
        <v>166</v>
      </c>
      <c r="D117" s="99" t="s">
        <v>36</v>
      </c>
      <c r="E117" s="104" t="str">
        <f>IF(Table25781014[[#This Row],[Line Section]]="","",VLOOKUP(Table25781014[[#This Row],[Line Section]],Reference!$A$2:$B$47,2,FALSE))</f>
        <v>C184</v>
      </c>
      <c r="F117" s="157"/>
      <c r="G117" s="250"/>
      <c r="H117" s="69"/>
      <c r="I117" s="54" t="s">
        <v>93</v>
      </c>
      <c r="J117" s="101">
        <v>3.78</v>
      </c>
      <c r="K117" s="60">
        <v>3.9</v>
      </c>
      <c r="L117" s="88">
        <f>IF(Table25781014[[#This Row],[End
(km)]]="","",Table25781014[[#This Row],[End
(km)]]-Table25781014[[#This Row],[Start
(km)]])</f>
        <v>0.12000000000000011</v>
      </c>
      <c r="M117" s="76" t="s">
        <v>126</v>
      </c>
      <c r="N117" s="99" t="s">
        <v>113</v>
      </c>
      <c r="O117" s="64" t="s">
        <v>113</v>
      </c>
      <c r="P117" s="64">
        <v>43229</v>
      </c>
      <c r="Q117" s="36">
        <v>43507</v>
      </c>
      <c r="R117" s="57" t="s">
        <v>121</v>
      </c>
      <c r="S117" s="106"/>
      <c r="T117" s="91"/>
      <c r="U117" s="48"/>
      <c r="V117" s="373"/>
      <c r="W117" s="67"/>
      <c r="X117" s="107" t="s">
        <v>785</v>
      </c>
      <c r="Y117" s="38" t="str">
        <f>TEXT(Table25781014[[#This Row],[Start
(km)]],"0.000")&amp;" - "&amp;TEXT(Table25781014[[#This Row],[End
(km)]],"0.000")</f>
        <v>3.780 - 3.900</v>
      </c>
      <c r="Z117" s="103" t="s">
        <v>122</v>
      </c>
      <c r="AA117" s="279"/>
      <c r="AB117" s="96"/>
      <c r="AC117" s="96"/>
      <c r="AD117" s="226" t="str">
        <f>IF(Table25781014[[#This Row],[End Completed Section (km)]]="","",Table25781014[[#This Row],[End Completed Section (km)]]-Table25781014[[#This Row],[Start Completed Section (km)]])</f>
        <v/>
      </c>
      <c r="AE117" s="72"/>
      <c r="AF11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17" s="229" t="str">
        <f>IF(Table25781014[[#This Row],[Planned Date]]="","",TEXT(Table25781014[[#This Row],[Planned Date]],"mmm"))</f>
        <v/>
      </c>
      <c r="AH117" s="56" t="str">
        <f>IF(Table25781014[[#This Row],[Month]]="","",VLOOKUP(Table25781014[[#This Row],[Month]],List!$B$2:$C$13,2,FALSE))</f>
        <v/>
      </c>
    </row>
    <row r="118" spans="1:34" ht="25.5" x14ac:dyDescent="0.2">
      <c r="A118" s="98" t="s">
        <v>116</v>
      </c>
      <c r="B118" s="80"/>
      <c r="C118" s="67" t="s">
        <v>166</v>
      </c>
      <c r="D118" s="99" t="s">
        <v>36</v>
      </c>
      <c r="E118" s="104" t="str">
        <f>IF(Table25781014[[#This Row],[Line Section]]="","",VLOOKUP(Table25781014[[#This Row],[Line Section]],Reference!$A$2:$B$47,2,FALSE))</f>
        <v>C184</v>
      </c>
      <c r="F118" s="157"/>
      <c r="G118" s="250"/>
      <c r="H118" s="69"/>
      <c r="I118" s="54" t="s">
        <v>93</v>
      </c>
      <c r="J118" s="60">
        <v>4.17</v>
      </c>
      <c r="K118" s="60">
        <v>4.24</v>
      </c>
      <c r="L118" s="88">
        <f>IF(Table25781014[[#This Row],[End
(km)]]="","",Table25781014[[#This Row],[End
(km)]]-Table25781014[[#This Row],[Start
(km)]])</f>
        <v>7.0000000000000284E-2</v>
      </c>
      <c r="M118" s="76" t="s">
        <v>126</v>
      </c>
      <c r="N118" s="59" t="s">
        <v>113</v>
      </c>
      <c r="O118" s="272"/>
      <c r="P118" s="64">
        <v>43230</v>
      </c>
      <c r="Q118" s="71">
        <v>43304</v>
      </c>
      <c r="R118" s="57" t="s">
        <v>121</v>
      </c>
      <c r="S118" s="55"/>
      <c r="T118" s="91"/>
      <c r="U118" s="66"/>
      <c r="V118" s="268"/>
      <c r="W118" s="67"/>
      <c r="X118" s="77" t="s">
        <v>463</v>
      </c>
      <c r="Y118" s="47"/>
      <c r="Z118" s="103" t="s">
        <v>139</v>
      </c>
      <c r="AA118" s="279"/>
      <c r="AB118" s="96"/>
      <c r="AC118" s="96"/>
      <c r="AD118" s="226" t="str">
        <f>IF(Table25781014[[#This Row],[End Completed Section (km)]]="","",Table25781014[[#This Row],[End Completed Section (km)]]-Table25781014[[#This Row],[Start Completed Section (km)]])</f>
        <v/>
      </c>
      <c r="AE118" s="72"/>
      <c r="AF11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18" s="229" t="str">
        <f>IF(Table25781014[[#This Row],[Planned Date]]="","",TEXT(Table25781014[[#This Row],[Planned Date]],"mmm"))</f>
        <v/>
      </c>
      <c r="AH118" s="56" t="str">
        <f>IF(Table25781014[[#This Row],[Month]]="","",VLOOKUP(Table25781014[[#This Row],[Month]],List!$B$2:$C$13,2,FALSE))</f>
        <v/>
      </c>
    </row>
    <row r="119" spans="1:34" ht="25.5" x14ac:dyDescent="0.2">
      <c r="A119" s="98" t="s">
        <v>116</v>
      </c>
      <c r="B119" s="80"/>
      <c r="C119" s="67" t="s">
        <v>166</v>
      </c>
      <c r="D119" s="99" t="s">
        <v>36</v>
      </c>
      <c r="E119" s="104" t="str">
        <f>IF(Table25781014[[#This Row],[Line Section]]="","",VLOOKUP(Table25781014[[#This Row],[Line Section]],Reference!$A$2:$B$47,2,FALSE))</f>
        <v>C184</v>
      </c>
      <c r="F119" s="157"/>
      <c r="G119" s="250"/>
      <c r="H119" s="69"/>
      <c r="I119" s="54" t="s">
        <v>93</v>
      </c>
      <c r="J119" s="60">
        <v>4.38</v>
      </c>
      <c r="K119" s="60">
        <v>4.4800000000000004</v>
      </c>
      <c r="L119" s="88">
        <f>IF(Table25781014[[#This Row],[End
(km)]]="","",Table25781014[[#This Row],[End
(km)]]-Table25781014[[#This Row],[Start
(km)]])</f>
        <v>0.10000000000000053</v>
      </c>
      <c r="M119" s="76" t="s">
        <v>126</v>
      </c>
      <c r="N119" s="59" t="s">
        <v>112</v>
      </c>
      <c r="O119" s="272"/>
      <c r="P119" s="64">
        <v>43230</v>
      </c>
      <c r="Q119" s="71">
        <v>43252</v>
      </c>
      <c r="R119" s="57"/>
      <c r="S119" s="55"/>
      <c r="T119" s="66" t="s">
        <v>121</v>
      </c>
      <c r="U119" s="66"/>
      <c r="V119" s="268"/>
      <c r="W119" s="67" t="s">
        <v>256</v>
      </c>
      <c r="X119" s="155" t="s">
        <v>417</v>
      </c>
      <c r="Y119" s="47"/>
      <c r="Z119" s="103" t="s">
        <v>139</v>
      </c>
      <c r="AA119" s="279"/>
      <c r="AB119" s="96"/>
      <c r="AC119" s="96"/>
      <c r="AD119" s="226" t="str">
        <f>IF(Table25781014[[#This Row],[End Completed Section (km)]]="","",Table25781014[[#This Row],[End Completed Section (km)]]-Table25781014[[#This Row],[Start Completed Section (km)]])</f>
        <v/>
      </c>
      <c r="AE119" s="72"/>
      <c r="AF11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19" s="229" t="str">
        <f>IF(Table25781014[[#This Row],[Planned Date]]="","",TEXT(Table25781014[[#This Row],[Planned Date]],"mmm"))</f>
        <v/>
      </c>
      <c r="AH119" s="56" t="str">
        <f>IF(Table25781014[[#This Row],[Month]]="","",VLOOKUP(Table25781014[[#This Row],[Month]],List!$B$2:$C$13,2,FALSE))</f>
        <v/>
      </c>
    </row>
    <row r="120" spans="1:34" x14ac:dyDescent="0.2">
      <c r="A120" s="98" t="s">
        <v>117</v>
      </c>
      <c r="B120" s="80"/>
      <c r="C120" s="67" t="s">
        <v>166</v>
      </c>
      <c r="D120" s="99" t="s">
        <v>36</v>
      </c>
      <c r="E120" s="104" t="str">
        <f>IF(Table25781014[[#This Row],[Line Section]]="","",VLOOKUP(Table25781014[[#This Row],[Line Section]],Reference!$A$2:$B$47,2,FALSE))</f>
        <v>C184</v>
      </c>
      <c r="F120" s="157"/>
      <c r="G120" s="250"/>
      <c r="H120" s="69"/>
      <c r="I120" s="54" t="s">
        <v>94</v>
      </c>
      <c r="J120" s="60">
        <v>4.4000000000000004</v>
      </c>
      <c r="K120" s="60">
        <v>4.45</v>
      </c>
      <c r="L120" s="88">
        <f>IF(Table25781014[[#This Row],[End
(km)]]="","",Table25781014[[#This Row],[End
(km)]]-Table25781014[[#This Row],[Start
(km)]])</f>
        <v>4.9999999999999822E-2</v>
      </c>
      <c r="M120" s="76" t="s">
        <v>126</v>
      </c>
      <c r="N120" s="59" t="s">
        <v>113</v>
      </c>
      <c r="O120" s="272" t="s">
        <v>109</v>
      </c>
      <c r="P120" s="64">
        <v>43230</v>
      </c>
      <c r="Q120" s="71">
        <v>43304</v>
      </c>
      <c r="R120" s="57" t="s">
        <v>121</v>
      </c>
      <c r="S120" s="55"/>
      <c r="T120" s="91"/>
      <c r="U120" s="66"/>
      <c r="V120" s="268"/>
      <c r="W120" s="67" t="s">
        <v>257</v>
      </c>
      <c r="X120" s="77" t="s">
        <v>464</v>
      </c>
      <c r="Y120" s="47"/>
      <c r="Z120" s="103" t="s">
        <v>139</v>
      </c>
      <c r="AA120" s="279"/>
      <c r="AB120" s="96"/>
      <c r="AC120" s="96"/>
      <c r="AD120" s="226" t="str">
        <f>IF(Table25781014[[#This Row],[End Completed Section (km)]]="","",Table25781014[[#This Row],[End Completed Section (km)]]-Table25781014[[#This Row],[Start Completed Section (km)]])</f>
        <v/>
      </c>
      <c r="AE120" s="72"/>
      <c r="AF12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20" s="229" t="str">
        <f>IF(Table25781014[[#This Row],[Planned Date]]="","",TEXT(Table25781014[[#This Row],[Planned Date]],"mmm"))</f>
        <v/>
      </c>
      <c r="AH120" s="56" t="str">
        <f>IF(Table25781014[[#This Row],[Month]]="","",VLOOKUP(Table25781014[[#This Row],[Month]],List!$B$2:$C$13,2,FALSE))</f>
        <v/>
      </c>
    </row>
    <row r="121" spans="1:34" ht="76.5" x14ac:dyDescent="0.2">
      <c r="A121" s="98" t="s">
        <v>116</v>
      </c>
      <c r="B121" s="200">
        <v>3</v>
      </c>
      <c r="C121" s="67" t="s">
        <v>166</v>
      </c>
      <c r="D121" s="99" t="s">
        <v>261</v>
      </c>
      <c r="E121" s="104" t="str">
        <f>IF(Table25781014[[#This Row],[Line Section]]="","",VLOOKUP(Table25781014[[#This Row],[Line Section]],Reference!$A$2:$B$47,2,FALSE))</f>
        <v>C151</v>
      </c>
      <c r="F121" s="157"/>
      <c r="G121" s="250"/>
      <c r="H121" s="104" t="s">
        <v>533</v>
      </c>
      <c r="I121" s="54" t="s">
        <v>93</v>
      </c>
      <c r="J121" s="101">
        <v>4.7</v>
      </c>
      <c r="K121" s="60">
        <v>4.87</v>
      </c>
      <c r="L121" s="88">
        <f>IF(Table25781014[[#This Row],[End
(km)]]="","",Table25781014[[#This Row],[End
(km)]]-Table25781014[[#This Row],[Start
(km)]])</f>
        <v>0.16999999999999993</v>
      </c>
      <c r="M121" s="76" t="s">
        <v>129</v>
      </c>
      <c r="N121" s="59" t="s">
        <v>113</v>
      </c>
      <c r="O121" s="272" t="s">
        <v>113</v>
      </c>
      <c r="P121" s="64">
        <v>43304</v>
      </c>
      <c r="Q121" s="201">
        <v>43469</v>
      </c>
      <c r="R121" s="57" t="s">
        <v>121</v>
      </c>
      <c r="S121" s="55"/>
      <c r="T121" s="91"/>
      <c r="U121" s="202"/>
      <c r="V121" s="448"/>
      <c r="W121" s="67"/>
      <c r="X121" s="107" t="s">
        <v>821</v>
      </c>
      <c r="Y121" s="158" t="s">
        <v>433</v>
      </c>
      <c r="Z121" s="103" t="s">
        <v>859</v>
      </c>
      <c r="AA121" s="279">
        <v>43652</v>
      </c>
      <c r="AB121" s="96"/>
      <c r="AC121" s="96"/>
      <c r="AD121" s="226" t="str">
        <f>IF(Table25781014[[#This Row],[End Completed Section (km)]]="","",Table25781014[[#This Row],[End Completed Section (km)]]-Table25781014[[#This Row],[Start Completed Section (km)]])</f>
        <v/>
      </c>
      <c r="AE121" s="161"/>
      <c r="AF12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21" s="229" t="str">
        <f>IF(Table25781014[[#This Row],[Planned Date]]="","",TEXT(Table25781014[[#This Row],[Planned Date]],"mmm"))</f>
        <v/>
      </c>
      <c r="AH121" s="56" t="str">
        <f>IF(Table25781014[[#This Row],[Month]]="","",VLOOKUP(Table25781014[[#This Row],[Month]],List!$B$2:$C$13,2,FALSE))</f>
        <v/>
      </c>
    </row>
    <row r="122" spans="1:34" ht="38.25" x14ac:dyDescent="0.2">
      <c r="A122" s="98" t="s">
        <v>118</v>
      </c>
      <c r="B122" s="80"/>
      <c r="C122" s="67" t="s">
        <v>166</v>
      </c>
      <c r="D122" s="99" t="s">
        <v>261</v>
      </c>
      <c r="E122" s="104" t="str">
        <f>IF(Table25781014[[#This Row],[Line Section]]="","",VLOOKUP(Table25781014[[#This Row],[Line Section]],Reference!$A$2:$B$47,2,FALSE))</f>
        <v>C151</v>
      </c>
      <c r="F122" s="157"/>
      <c r="G122" s="250"/>
      <c r="H122" s="69"/>
      <c r="I122" s="54" t="s">
        <v>94</v>
      </c>
      <c r="J122" s="60">
        <v>4.75</v>
      </c>
      <c r="K122" s="60">
        <v>4.87</v>
      </c>
      <c r="L122" s="88">
        <f>IF(Table25781014[[#This Row],[End
(km)]]="","",Table25781014[[#This Row],[End
(km)]]-Table25781014[[#This Row],[Start
(km)]])</f>
        <v>0.12000000000000011</v>
      </c>
      <c r="M122" s="76" t="s">
        <v>126</v>
      </c>
      <c r="N122" s="59" t="s">
        <v>113</v>
      </c>
      <c r="O122" s="272" t="s">
        <v>113</v>
      </c>
      <c r="P122" s="64">
        <v>43230</v>
      </c>
      <c r="Q122" s="71">
        <v>43469</v>
      </c>
      <c r="R122" s="57" t="s">
        <v>121</v>
      </c>
      <c r="S122" s="55"/>
      <c r="T122" s="91"/>
      <c r="U122" s="66"/>
      <c r="V122" s="268"/>
      <c r="W122" s="67" t="s">
        <v>150</v>
      </c>
      <c r="X122" s="77" t="s">
        <v>598</v>
      </c>
      <c r="Y122" s="47"/>
      <c r="Z122" s="103" t="s">
        <v>122</v>
      </c>
      <c r="AA122" s="279"/>
      <c r="AB122" s="96"/>
      <c r="AC122" s="96"/>
      <c r="AD122" s="226" t="str">
        <f>IF(Table25781014[[#This Row],[End Completed Section (km)]]="","",Table25781014[[#This Row],[End Completed Section (km)]]-Table25781014[[#This Row],[Start Completed Section (km)]])</f>
        <v/>
      </c>
      <c r="AE122" s="72"/>
      <c r="AF12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22" s="229" t="str">
        <f>IF(Table25781014[[#This Row],[Planned Date]]="","",TEXT(Table25781014[[#This Row],[Planned Date]],"mmm"))</f>
        <v/>
      </c>
      <c r="AH122" s="56" t="str">
        <f>IF(Table25781014[[#This Row],[Month]]="","",VLOOKUP(Table25781014[[#This Row],[Month]],List!$B$2:$C$13,2,FALSE))</f>
        <v/>
      </c>
    </row>
    <row r="123" spans="1:34" ht="38.25" x14ac:dyDescent="0.2">
      <c r="A123" s="98" t="s">
        <v>116</v>
      </c>
      <c r="B123" s="80"/>
      <c r="C123" s="67" t="s">
        <v>166</v>
      </c>
      <c r="D123" s="99" t="s">
        <v>261</v>
      </c>
      <c r="E123" s="104" t="str">
        <f>IF(Table25781014[[#This Row],[Line Section]]="","",VLOOKUP(Table25781014[[#This Row],[Line Section]],Reference!$A$2:$B$47,2,FALSE))</f>
        <v>C151</v>
      </c>
      <c r="F123" s="157">
        <v>43968</v>
      </c>
      <c r="G123" s="250"/>
      <c r="H123" s="69" t="s">
        <v>534</v>
      </c>
      <c r="I123" s="54" t="s">
        <v>93</v>
      </c>
      <c r="J123" s="60">
        <v>5.07</v>
      </c>
      <c r="K123" s="60">
        <v>5.15</v>
      </c>
      <c r="L123" s="88">
        <f>IF(Table25781014[[#This Row],[End
(km)]]="","",Table25781014[[#This Row],[End
(km)]]-Table25781014[[#This Row],[Start
(km)]])</f>
        <v>8.0000000000000071E-2</v>
      </c>
      <c r="M123" s="76" t="s">
        <v>126</v>
      </c>
      <c r="N123" s="59" t="s">
        <v>113</v>
      </c>
      <c r="O123" s="272" t="s">
        <v>113</v>
      </c>
      <c r="P123" s="64">
        <v>43230</v>
      </c>
      <c r="Q123" s="71">
        <v>43469</v>
      </c>
      <c r="R123" s="57" t="s">
        <v>121</v>
      </c>
      <c r="S123" s="55"/>
      <c r="T123" s="91"/>
      <c r="U123" s="66"/>
      <c r="V123" s="268"/>
      <c r="W123" s="67" t="s">
        <v>150</v>
      </c>
      <c r="X123" s="77" t="s">
        <v>465</v>
      </c>
      <c r="Y123" s="158" t="s">
        <v>433</v>
      </c>
      <c r="Z123" s="103" t="s">
        <v>122</v>
      </c>
      <c r="AA123" s="279"/>
      <c r="AB123" s="96"/>
      <c r="AC123" s="96"/>
      <c r="AD123" s="226" t="str">
        <f>IF(Table25781014[[#This Row],[End Completed Section (km)]]="","",Table25781014[[#This Row],[End Completed Section (km)]]-Table25781014[[#This Row],[Start Completed Section (km)]])</f>
        <v/>
      </c>
      <c r="AE123" s="72"/>
      <c r="AF12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123" s="229" t="str">
        <f>IF(Table25781014[[#This Row],[Planned Date]]="","",TEXT(Table25781014[[#This Row],[Planned Date]],"mmm"))</f>
        <v>May</v>
      </c>
      <c r="AH123" s="56">
        <f>IF(Table25781014[[#This Row],[Month]]="","",VLOOKUP(Table25781014[[#This Row],[Month]],List!$B$2:$C$13,2,FALSE))</f>
        <v>11</v>
      </c>
    </row>
    <row r="124" spans="1:34" ht="25.5" x14ac:dyDescent="0.2">
      <c r="A124" s="98" t="s">
        <v>116</v>
      </c>
      <c r="B124" s="80"/>
      <c r="C124" s="67" t="s">
        <v>166</v>
      </c>
      <c r="D124" s="99" t="s">
        <v>261</v>
      </c>
      <c r="E124" s="104" t="str">
        <f>IF(Table25781014[[#This Row],[Line Section]]="","",VLOOKUP(Table25781014[[#This Row],[Line Section]],Reference!$A$2:$B$47,2,FALSE))</f>
        <v>C151</v>
      </c>
      <c r="F124" s="157"/>
      <c r="G124" s="250"/>
      <c r="H124" s="69"/>
      <c r="I124" s="54" t="s">
        <v>94</v>
      </c>
      <c r="J124" s="60">
        <v>5.15</v>
      </c>
      <c r="K124" s="60">
        <v>5.3</v>
      </c>
      <c r="L124" s="88">
        <f>IF(Table25781014[[#This Row],[End
(km)]]="","",Table25781014[[#This Row],[End
(km)]]-Table25781014[[#This Row],[Start
(km)]])</f>
        <v>0.14999999999999947</v>
      </c>
      <c r="M124" s="76" t="s">
        <v>126</v>
      </c>
      <c r="N124" s="59" t="s">
        <v>113</v>
      </c>
      <c r="O124" s="272"/>
      <c r="P124" s="64">
        <v>43230</v>
      </c>
      <c r="Q124" s="71">
        <v>43304</v>
      </c>
      <c r="R124" s="57" t="s">
        <v>121</v>
      </c>
      <c r="S124" s="55"/>
      <c r="T124" s="66" t="s">
        <v>121</v>
      </c>
      <c r="U124" s="66"/>
      <c r="V124" s="268"/>
      <c r="W124" s="67" t="s">
        <v>258</v>
      </c>
      <c r="X124" s="77" t="s">
        <v>426</v>
      </c>
      <c r="Y124" s="47"/>
      <c r="Z124" s="103" t="s">
        <v>139</v>
      </c>
      <c r="AA124" s="279"/>
      <c r="AB124" s="96"/>
      <c r="AC124" s="96"/>
      <c r="AD124" s="226" t="str">
        <f>IF(Table25781014[[#This Row],[End Completed Section (km)]]="","",Table25781014[[#This Row],[End Completed Section (km)]]-Table25781014[[#This Row],[Start Completed Section (km)]])</f>
        <v/>
      </c>
      <c r="AE124" s="72"/>
      <c r="AF12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24" s="229" t="str">
        <f>IF(Table25781014[[#This Row],[Planned Date]]="","",TEXT(Table25781014[[#This Row],[Planned Date]],"mmm"))</f>
        <v/>
      </c>
      <c r="AH124" s="56" t="str">
        <f>IF(Table25781014[[#This Row],[Month]]="","",VLOOKUP(Table25781014[[#This Row],[Month]],List!$B$2:$C$13,2,FALSE))</f>
        <v/>
      </c>
    </row>
    <row r="125" spans="1:34" ht="25.5" x14ac:dyDescent="0.2">
      <c r="A125" s="98" t="s">
        <v>117</v>
      </c>
      <c r="B125" s="80"/>
      <c r="C125" s="67" t="s">
        <v>166</v>
      </c>
      <c r="D125" s="99" t="s">
        <v>261</v>
      </c>
      <c r="E125" s="104" t="str">
        <f>IF(Table25781014[[#This Row],[Line Section]]="","",VLOOKUP(Table25781014[[#This Row],[Line Section]],Reference!$A$2:$B$47,2,FALSE))</f>
        <v>C151</v>
      </c>
      <c r="F125" s="157">
        <v>43653</v>
      </c>
      <c r="G125" s="250" t="s">
        <v>430</v>
      </c>
      <c r="H125" s="69" t="s">
        <v>533</v>
      </c>
      <c r="I125" s="54" t="s">
        <v>93</v>
      </c>
      <c r="J125" s="60">
        <v>5.6</v>
      </c>
      <c r="K125" s="60">
        <v>5.87</v>
      </c>
      <c r="L125" s="88">
        <f>IF(Table25781014[[#This Row],[End
(km)]]="","",Table25781014[[#This Row],[End
(km)]]-Table25781014[[#This Row],[Start
(km)]])</f>
        <v>0.27000000000000046</v>
      </c>
      <c r="M125" s="76" t="s">
        <v>126</v>
      </c>
      <c r="N125" s="59" t="s">
        <v>113</v>
      </c>
      <c r="O125" s="272" t="s">
        <v>113</v>
      </c>
      <c r="P125" s="64">
        <v>43230</v>
      </c>
      <c r="Q125" s="71">
        <v>43469</v>
      </c>
      <c r="R125" s="57" t="s">
        <v>121</v>
      </c>
      <c r="S125" s="55" t="s">
        <v>121</v>
      </c>
      <c r="T125" s="91"/>
      <c r="U125" s="66"/>
      <c r="V125" s="268"/>
      <c r="W125" s="67"/>
      <c r="X125" s="77" t="s">
        <v>434</v>
      </c>
      <c r="Y125" s="158" t="s">
        <v>433</v>
      </c>
      <c r="Z125" s="103" t="s">
        <v>121</v>
      </c>
      <c r="AA125" s="279"/>
      <c r="AB125" s="96">
        <v>5.6</v>
      </c>
      <c r="AC125" s="96">
        <v>5.87</v>
      </c>
      <c r="AD125" s="226">
        <f>IF(Table25781014[[#This Row],[End Completed Section (km)]]="","",Table25781014[[#This Row],[End Completed Section (km)]]-Table25781014[[#This Row],[Start Completed Section (km)]])</f>
        <v>0.27000000000000046</v>
      </c>
      <c r="AE125" s="439">
        <v>43652</v>
      </c>
      <c r="AF12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125" s="229" t="str">
        <f>IF(Table25781014[[#This Row],[Planned Date]]="","",TEXT(Table25781014[[#This Row],[Planned Date]],"mmm"))</f>
        <v>Jul</v>
      </c>
      <c r="AH125" s="56">
        <f>IF(Table25781014[[#This Row],[Month]]="","",VLOOKUP(Table25781014[[#This Row],[Month]],List!$B$2:$C$13,2,FALSE))</f>
        <v>1</v>
      </c>
    </row>
    <row r="126" spans="1:34" ht="38.25" x14ac:dyDescent="0.2">
      <c r="A126" s="98" t="s">
        <v>118</v>
      </c>
      <c r="B126" s="80"/>
      <c r="C126" s="67" t="s">
        <v>166</v>
      </c>
      <c r="D126" s="99" t="s">
        <v>261</v>
      </c>
      <c r="E126" s="104" t="str">
        <f>IF(Table25781014[[#This Row],[Line Section]]="","",VLOOKUP(Table25781014[[#This Row],[Line Section]],Reference!$A$2:$B$47,2,FALSE))</f>
        <v>C151</v>
      </c>
      <c r="F126" s="157"/>
      <c r="G126" s="250"/>
      <c r="H126" s="69"/>
      <c r="I126" s="54" t="s">
        <v>94</v>
      </c>
      <c r="J126" s="60">
        <v>6</v>
      </c>
      <c r="K126" s="60">
        <v>6.15</v>
      </c>
      <c r="L126" s="88">
        <f>IF(Table25781014[[#This Row],[End
(km)]]="","",Table25781014[[#This Row],[End
(km)]]-Table25781014[[#This Row],[Start
(km)]])</f>
        <v>0.15000000000000036</v>
      </c>
      <c r="M126" s="76" t="s">
        <v>126</v>
      </c>
      <c r="N126" s="59" t="s">
        <v>112</v>
      </c>
      <c r="O126" s="272" t="s">
        <v>113</v>
      </c>
      <c r="P126" s="64">
        <v>43230</v>
      </c>
      <c r="Q126" s="71">
        <v>43469</v>
      </c>
      <c r="R126" s="57" t="s">
        <v>121</v>
      </c>
      <c r="S126" s="55"/>
      <c r="T126" s="66"/>
      <c r="U126" s="66"/>
      <c r="V126" s="268"/>
      <c r="W126" s="67"/>
      <c r="X126" s="77" t="s">
        <v>600</v>
      </c>
      <c r="Y126" s="47"/>
      <c r="Z126" s="103" t="s">
        <v>139</v>
      </c>
      <c r="AA126" s="279"/>
      <c r="AB126" s="96"/>
      <c r="AC126" s="96"/>
      <c r="AD126" s="226" t="str">
        <f>IF(Table25781014[[#This Row],[End Completed Section (km)]]="","",Table25781014[[#This Row],[End Completed Section (km)]]-Table25781014[[#This Row],[Start Completed Section (km)]])</f>
        <v/>
      </c>
      <c r="AE126" s="72"/>
      <c r="AF12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26" s="229" t="str">
        <f>IF(Table25781014[[#This Row],[Planned Date]]="","",TEXT(Table25781014[[#This Row],[Planned Date]],"mmm"))</f>
        <v/>
      </c>
      <c r="AH126" s="56" t="str">
        <f>IF(Table25781014[[#This Row],[Month]]="","",VLOOKUP(Table25781014[[#This Row],[Month]],List!$B$2:$C$13,2,FALSE))</f>
        <v/>
      </c>
    </row>
    <row r="127" spans="1:34" ht="51" x14ac:dyDescent="0.2">
      <c r="A127" s="98" t="s">
        <v>118</v>
      </c>
      <c r="B127" s="80"/>
      <c r="C127" s="67" t="s">
        <v>166</v>
      </c>
      <c r="D127" s="99" t="s">
        <v>261</v>
      </c>
      <c r="E127" s="104" t="str">
        <f>IF(Table25781014[[#This Row],[Line Section]]="","",VLOOKUP(Table25781014[[#This Row],[Line Section]],Reference!$A$2:$B$47,2,FALSE))</f>
        <v>C151</v>
      </c>
      <c r="F127" s="157"/>
      <c r="G127" s="250"/>
      <c r="H127" s="69"/>
      <c r="I127" s="54" t="s">
        <v>94</v>
      </c>
      <c r="J127" s="60">
        <v>6.22</v>
      </c>
      <c r="K127" s="60">
        <v>6.35</v>
      </c>
      <c r="L127" s="88">
        <f>IF(Table25781014[[#This Row],[End
(km)]]="","",Table25781014[[#This Row],[End
(km)]]-Table25781014[[#This Row],[Start
(km)]])</f>
        <v>0.12999999999999989</v>
      </c>
      <c r="M127" s="76" t="s">
        <v>126</v>
      </c>
      <c r="N127" s="59" t="s">
        <v>113</v>
      </c>
      <c r="O127" s="272" t="s">
        <v>113</v>
      </c>
      <c r="P127" s="64">
        <v>43230</v>
      </c>
      <c r="Q127" s="71">
        <v>43469</v>
      </c>
      <c r="R127" s="57" t="s">
        <v>121</v>
      </c>
      <c r="S127" s="55"/>
      <c r="T127" s="66"/>
      <c r="U127" s="66"/>
      <c r="V127" s="268"/>
      <c r="W127" s="67" t="s">
        <v>260</v>
      </c>
      <c r="X127" s="77" t="s">
        <v>599</v>
      </c>
      <c r="Y127" s="47"/>
      <c r="Z127" s="103" t="s">
        <v>139</v>
      </c>
      <c r="AA127" s="279"/>
      <c r="AB127" s="96"/>
      <c r="AC127" s="96"/>
      <c r="AD127" s="226" t="str">
        <f>IF(Table25781014[[#This Row],[End Completed Section (km)]]="","",Table25781014[[#This Row],[End Completed Section (km)]]-Table25781014[[#This Row],[Start Completed Section (km)]])</f>
        <v/>
      </c>
      <c r="AE127" s="72"/>
      <c r="AF12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27" s="229" t="str">
        <f>IF(Table25781014[[#This Row],[Planned Date]]="","",TEXT(Table25781014[[#This Row],[Planned Date]],"mmm"))</f>
        <v/>
      </c>
      <c r="AH127" s="56" t="str">
        <f>IF(Table25781014[[#This Row],[Month]]="","",VLOOKUP(Table25781014[[#This Row],[Month]],List!$B$2:$C$13,2,FALSE))</f>
        <v/>
      </c>
    </row>
    <row r="128" spans="1:34" s="56" customFormat="1" ht="38.25" x14ac:dyDescent="0.2">
      <c r="A128" s="98" t="s">
        <v>117</v>
      </c>
      <c r="B128" s="80"/>
      <c r="C128" s="67" t="s">
        <v>166</v>
      </c>
      <c r="D128" s="99" t="s">
        <v>261</v>
      </c>
      <c r="E128" s="104" t="str">
        <f>IF(Table25781014[[#This Row],[Line Section]]="","",VLOOKUP(Table25781014[[#This Row],[Line Section]],Reference!$A$2:$B$47,2,FALSE))</f>
        <v>C151</v>
      </c>
      <c r="F128" s="157"/>
      <c r="G128" s="250"/>
      <c r="H128" s="69"/>
      <c r="I128" s="54" t="s">
        <v>93</v>
      </c>
      <c r="J128" s="60">
        <v>6.36</v>
      </c>
      <c r="K128" s="60">
        <v>6.46</v>
      </c>
      <c r="L128" s="102">
        <f>IF(Table25781014[[#This Row],[End
(km)]]="","",Table25781014[[#This Row],[End
(km)]]-Table25781014[[#This Row],[Start
(km)]])</f>
        <v>9.9999999999999645E-2</v>
      </c>
      <c r="M128" s="61" t="s">
        <v>126</v>
      </c>
      <c r="N128" s="59" t="s">
        <v>112</v>
      </c>
      <c r="O128" s="272"/>
      <c r="P128" s="64">
        <v>43230</v>
      </c>
      <c r="Q128" s="71">
        <v>43276</v>
      </c>
      <c r="R128" s="57" t="s">
        <v>121</v>
      </c>
      <c r="S128" s="55"/>
      <c r="T128" s="66"/>
      <c r="U128" s="66"/>
      <c r="V128" s="268"/>
      <c r="W128" s="67"/>
      <c r="X128" s="466" t="s">
        <v>435</v>
      </c>
      <c r="Y128" s="46"/>
      <c r="Z128" s="103" t="s">
        <v>139</v>
      </c>
      <c r="AA128" s="279"/>
      <c r="AB128" s="96"/>
      <c r="AC128" s="96"/>
      <c r="AD128" s="226" t="str">
        <f>IF(Table25781014[[#This Row],[End Completed Section (km)]]="","",Table25781014[[#This Row],[End Completed Section (km)]]-Table25781014[[#This Row],[Start Completed Section (km)]])</f>
        <v/>
      </c>
      <c r="AE128" s="72"/>
      <c r="AF12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28" s="229" t="str">
        <f>IF(Table25781014[[#This Row],[Planned Date]]="","",TEXT(Table25781014[[#This Row],[Planned Date]],"mmm"))</f>
        <v/>
      </c>
      <c r="AH128" s="56" t="str">
        <f>IF(Table25781014[[#This Row],[Month]]="","",VLOOKUP(Table25781014[[#This Row],[Month]],List!$B$2:$C$13,2,FALSE))</f>
        <v/>
      </c>
    </row>
    <row r="129" spans="1:34" ht="114.75" x14ac:dyDescent="0.2">
      <c r="A129" s="98" t="s">
        <v>116</v>
      </c>
      <c r="B129" s="80">
        <v>3</v>
      </c>
      <c r="C129" s="67" t="s">
        <v>166</v>
      </c>
      <c r="D129" s="99" t="s">
        <v>261</v>
      </c>
      <c r="E129" s="104" t="str">
        <f>IF(Table25781014[[#This Row],[Line Section]]="","",VLOOKUP(Table25781014[[#This Row],[Line Section]],Reference!$A$2:$B$47,2,FALSE))</f>
        <v>C151</v>
      </c>
      <c r="F129" s="157">
        <v>43779</v>
      </c>
      <c r="G129" s="250" t="s">
        <v>430</v>
      </c>
      <c r="H129" s="69" t="s">
        <v>533</v>
      </c>
      <c r="I129" s="54" t="s">
        <v>93</v>
      </c>
      <c r="J129" s="60">
        <v>6.57</v>
      </c>
      <c r="K129" s="60">
        <v>6.8</v>
      </c>
      <c r="L129" s="88">
        <f>IF(Table25781014[[#This Row],[End
(km)]]="","",Table25781014[[#This Row],[End
(km)]]-Table25781014[[#This Row],[Start
(km)]])</f>
        <v>0.22999999999999954</v>
      </c>
      <c r="M129" s="76" t="s">
        <v>126</v>
      </c>
      <c r="N129" s="59" t="s">
        <v>113</v>
      </c>
      <c r="O129" s="272" t="s">
        <v>113</v>
      </c>
      <c r="P129" s="64">
        <v>43230</v>
      </c>
      <c r="Q129" s="71">
        <v>43469</v>
      </c>
      <c r="R129" s="57" t="s">
        <v>121</v>
      </c>
      <c r="S129" s="55" t="s">
        <v>121</v>
      </c>
      <c r="T129" s="66"/>
      <c r="U129" s="66"/>
      <c r="V129" s="268"/>
      <c r="W129" s="67"/>
      <c r="X129" s="77" t="s">
        <v>866</v>
      </c>
      <c r="Y129" s="47"/>
      <c r="Z129" s="103" t="s">
        <v>573</v>
      </c>
      <c r="AA129" s="279">
        <v>43646</v>
      </c>
      <c r="AB129" s="96"/>
      <c r="AC129" s="96"/>
      <c r="AD129" s="226" t="str">
        <f>IF(Table25781014[[#This Row],[End Completed Section (km)]]="","",Table25781014[[#This Row],[End Completed Section (km)]]-Table25781014[[#This Row],[Start Completed Section (km)]])</f>
        <v/>
      </c>
      <c r="AE129" s="72"/>
      <c r="AF12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129" s="229" t="str">
        <f>IF(Table25781014[[#This Row],[Planned Date]]="","",TEXT(Table25781014[[#This Row],[Planned Date]],"mmm"))</f>
        <v>Nov</v>
      </c>
      <c r="AH129" s="56">
        <f>IF(Table25781014[[#This Row],[Month]]="","",VLOOKUP(Table25781014[[#This Row],[Month]],List!$B$2:$C$13,2,FALSE))</f>
        <v>5</v>
      </c>
    </row>
    <row r="130" spans="1:34" s="56" customFormat="1" x14ac:dyDescent="0.2">
      <c r="A130" s="98" t="s">
        <v>118</v>
      </c>
      <c r="B130" s="80"/>
      <c r="C130" s="67" t="s">
        <v>166</v>
      </c>
      <c r="D130" s="99" t="s">
        <v>261</v>
      </c>
      <c r="E130" s="100" t="str">
        <f>IF(Table25781014[[#This Row],[Line Section]]="","",VLOOKUP(Table25781014[[#This Row],[Line Section]],Reference!$A$2:$B$47,2,FALSE))</f>
        <v>C151</v>
      </c>
      <c r="F130" s="157"/>
      <c r="G130" s="440"/>
      <c r="H130" s="247"/>
      <c r="I130" s="54" t="s">
        <v>94</v>
      </c>
      <c r="J130" s="60">
        <v>6.65</v>
      </c>
      <c r="K130" s="60">
        <v>6.75</v>
      </c>
      <c r="L130" s="102">
        <f>IF(Table25781014[[#This Row],[End
(km)]]="","",Table25781014[[#This Row],[End
(km)]]-Table25781014[[#This Row],[Start
(km)]])</f>
        <v>9.9999999999999645E-2</v>
      </c>
      <c r="M130" s="61" t="s">
        <v>126</v>
      </c>
      <c r="N130" s="59" t="s">
        <v>113</v>
      </c>
      <c r="O130" s="295" t="s">
        <v>113</v>
      </c>
      <c r="P130" s="64">
        <v>43230</v>
      </c>
      <c r="Q130" s="71">
        <v>43469</v>
      </c>
      <c r="R130" s="57" t="s">
        <v>121</v>
      </c>
      <c r="S130" s="55"/>
      <c r="T130" s="66"/>
      <c r="U130" s="66"/>
      <c r="V130" s="269"/>
      <c r="W130" s="67"/>
      <c r="X130" s="77" t="s">
        <v>436</v>
      </c>
      <c r="Y130" s="46"/>
      <c r="Z130" s="103" t="s">
        <v>122</v>
      </c>
      <c r="AA130" s="280"/>
      <c r="AB130" s="96"/>
      <c r="AC130" s="96"/>
      <c r="AD130" s="227" t="str">
        <f>IF(Table25781014[[#This Row],[End Completed Section (km)]]="","",Table25781014[[#This Row],[End Completed Section (km)]]-Table25781014[[#This Row],[Start Completed Section (km)]])</f>
        <v/>
      </c>
      <c r="AE130" s="72"/>
      <c r="AF13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30" s="229" t="str">
        <f>IF(Table25781014[[#This Row],[Planned Date]]="","",TEXT(Table25781014[[#This Row],[Planned Date]],"mmm"))</f>
        <v/>
      </c>
      <c r="AH130" s="56" t="str">
        <f>IF(Table25781014[[#This Row],[Month]]="","",VLOOKUP(Table25781014[[#This Row],[Month]],List!$B$2:$C$13,2,FALSE))</f>
        <v/>
      </c>
    </row>
    <row r="131" spans="1:34" ht="25.5" x14ac:dyDescent="0.2">
      <c r="A131" s="98" t="s">
        <v>118</v>
      </c>
      <c r="B131" s="80"/>
      <c r="C131" s="67" t="s">
        <v>166</v>
      </c>
      <c r="D131" s="99" t="s">
        <v>261</v>
      </c>
      <c r="E131" s="104" t="str">
        <f>IF(Table25781014[[#This Row],[Line Section]]="","",VLOOKUP(Table25781014[[#This Row],[Line Section]],Reference!$A$2:$B$47,2,FALSE))</f>
        <v>C151</v>
      </c>
      <c r="F131" s="157"/>
      <c r="G131" s="250"/>
      <c r="H131" s="69"/>
      <c r="I131" s="54" t="s">
        <v>93</v>
      </c>
      <c r="J131" s="60">
        <v>6.8250000000000002</v>
      </c>
      <c r="K131" s="60">
        <v>6.9</v>
      </c>
      <c r="L131" s="88">
        <f>IF(Table25781014[[#This Row],[End
(km)]]="","",Table25781014[[#This Row],[End
(km)]]-Table25781014[[#This Row],[Start
(km)]])</f>
        <v>7.5000000000000178E-2</v>
      </c>
      <c r="M131" s="76" t="s">
        <v>126</v>
      </c>
      <c r="N131" s="59" t="s">
        <v>113</v>
      </c>
      <c r="O131" s="272" t="s">
        <v>113</v>
      </c>
      <c r="P131" s="64">
        <v>43230</v>
      </c>
      <c r="Q131" s="71">
        <v>43276</v>
      </c>
      <c r="R131" s="57" t="s">
        <v>121</v>
      </c>
      <c r="S131" s="55"/>
      <c r="T131" s="66"/>
      <c r="U131" s="66"/>
      <c r="V131" s="268"/>
      <c r="W131" s="67"/>
      <c r="X131" s="77" t="s">
        <v>437</v>
      </c>
      <c r="Y131" s="47"/>
      <c r="Z131" s="103" t="s">
        <v>122</v>
      </c>
      <c r="AA131" s="279"/>
      <c r="AB131" s="96"/>
      <c r="AC131" s="96"/>
      <c r="AD131" s="226" t="str">
        <f>IF(Table25781014[[#This Row],[End Completed Section (km)]]="","",Table25781014[[#This Row],[End Completed Section (km)]]-Table25781014[[#This Row],[Start Completed Section (km)]])</f>
        <v/>
      </c>
      <c r="AE131" s="72"/>
      <c r="AF13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31" s="229" t="str">
        <f>IF(Table25781014[[#This Row],[Planned Date]]="","",TEXT(Table25781014[[#This Row],[Planned Date]],"mmm"))</f>
        <v/>
      </c>
      <c r="AH131" s="56" t="str">
        <f>IF(Table25781014[[#This Row],[Month]]="","",VLOOKUP(Table25781014[[#This Row],[Month]],List!$B$2:$C$13,2,FALSE))</f>
        <v/>
      </c>
    </row>
    <row r="132" spans="1:34" s="56" customFormat="1" ht="38.25" x14ac:dyDescent="0.2">
      <c r="A132" s="98" t="s">
        <v>117</v>
      </c>
      <c r="B132" s="80"/>
      <c r="C132" s="67" t="s">
        <v>166</v>
      </c>
      <c r="D132" s="99" t="s">
        <v>261</v>
      </c>
      <c r="E132" s="100" t="str">
        <f>IF(Table25781014[[#This Row],[Line Section]]="","",VLOOKUP(Table25781014[[#This Row],[Line Section]],Reference!$A$2:$B$47,2,FALSE))</f>
        <v>C151</v>
      </c>
      <c r="F132" s="157">
        <v>44010</v>
      </c>
      <c r="G132" s="250"/>
      <c r="H132" s="69" t="s">
        <v>534</v>
      </c>
      <c r="I132" s="54" t="s">
        <v>93</v>
      </c>
      <c r="J132" s="60">
        <v>7</v>
      </c>
      <c r="K132" s="60">
        <v>7.2</v>
      </c>
      <c r="L132" s="102">
        <f>IF(Table25781014[[#This Row],[End
(km)]]="","",Table25781014[[#This Row],[End
(km)]]-Table25781014[[#This Row],[Start
(km)]])</f>
        <v>0.20000000000000018</v>
      </c>
      <c r="M132" s="61" t="s">
        <v>126</v>
      </c>
      <c r="N132" s="59"/>
      <c r="O132" s="272" t="s">
        <v>113</v>
      </c>
      <c r="P132" s="64">
        <v>43469</v>
      </c>
      <c r="Q132" s="71">
        <v>43671</v>
      </c>
      <c r="R132" s="57" t="s">
        <v>121</v>
      </c>
      <c r="S132" s="55"/>
      <c r="T132" s="66"/>
      <c r="U132" s="66"/>
      <c r="V132" s="268"/>
      <c r="W132" s="67"/>
      <c r="X132" s="77" t="s">
        <v>844</v>
      </c>
      <c r="Y132" s="46"/>
      <c r="Z132" s="103" t="s">
        <v>139</v>
      </c>
      <c r="AA132" s="279"/>
      <c r="AB132" s="96"/>
      <c r="AC132" s="96"/>
      <c r="AD132" s="226" t="str">
        <f>IF(Table25781014[[#This Row],[End Completed Section (km)]]="","",Table25781014[[#This Row],[End Completed Section (km)]]-Table25781014[[#This Row],[Start Completed Section (km)]])</f>
        <v/>
      </c>
      <c r="AE132" s="72"/>
      <c r="AF13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132" s="229" t="str">
        <f>IF(Table25781014[[#This Row],[Planned Date]]="","",TEXT(Table25781014[[#This Row],[Planned Date]],"mmm"))</f>
        <v>Jun</v>
      </c>
      <c r="AH132" s="252">
        <f>IF(Table25781014[[#This Row],[Month]]="","",VLOOKUP(Table25781014[[#This Row],[Month]],List!$B$2:$C$13,2,FALSE))</f>
        <v>12</v>
      </c>
    </row>
    <row r="133" spans="1:34" ht="25.5" x14ac:dyDescent="0.2">
      <c r="A133" s="98" t="s">
        <v>118</v>
      </c>
      <c r="B133" s="80"/>
      <c r="C133" s="67" t="s">
        <v>166</v>
      </c>
      <c r="D133" s="99" t="s">
        <v>261</v>
      </c>
      <c r="E133" s="104" t="str">
        <f>IF(Table25781014[[#This Row],[Line Section]]="","",VLOOKUP(Table25781014[[#This Row],[Line Section]],Reference!$A$2:$B$47,2,FALSE))</f>
        <v>C151</v>
      </c>
      <c r="F133" s="157"/>
      <c r="G133" s="250"/>
      <c r="H133" s="69"/>
      <c r="I133" s="54" t="s">
        <v>94</v>
      </c>
      <c r="J133" s="60">
        <v>7.44</v>
      </c>
      <c r="K133" s="60">
        <v>7.5</v>
      </c>
      <c r="L133" s="88">
        <f>IF(Table25781014[[#This Row],[End
(km)]]="","",Table25781014[[#This Row],[End
(km)]]-Table25781014[[#This Row],[Start
(km)]])</f>
        <v>5.9999999999999609E-2</v>
      </c>
      <c r="M133" s="76" t="s">
        <v>126</v>
      </c>
      <c r="N133" s="59" t="s">
        <v>113</v>
      </c>
      <c r="O133" s="272" t="s">
        <v>113</v>
      </c>
      <c r="P133" s="64">
        <v>43230</v>
      </c>
      <c r="Q133" s="71">
        <v>43469</v>
      </c>
      <c r="R133" s="57" t="s">
        <v>121</v>
      </c>
      <c r="S133" s="55"/>
      <c r="T133" s="66"/>
      <c r="U133" s="66"/>
      <c r="V133" s="268"/>
      <c r="W133" s="67"/>
      <c r="X133" s="77" t="s">
        <v>601</v>
      </c>
      <c r="Y133" s="47"/>
      <c r="Z133" s="103" t="s">
        <v>122</v>
      </c>
      <c r="AA133" s="279"/>
      <c r="AB133" s="96"/>
      <c r="AC133" s="96"/>
      <c r="AD133" s="226" t="str">
        <f>IF(Table25781014[[#This Row],[End Completed Section (km)]]="","",Table25781014[[#This Row],[End Completed Section (km)]]-Table25781014[[#This Row],[Start Completed Section (km)]])</f>
        <v/>
      </c>
      <c r="AE133" s="72"/>
      <c r="AF13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33" s="229" t="str">
        <f>IF(Table25781014[[#This Row],[Planned Date]]="","",TEXT(Table25781014[[#This Row],[Planned Date]],"mmm"))</f>
        <v/>
      </c>
      <c r="AH133" s="56" t="str">
        <f>IF(Table25781014[[#This Row],[Month]]="","",VLOOKUP(Table25781014[[#This Row],[Month]],List!$B$2:$C$13,2,FALSE))</f>
        <v/>
      </c>
    </row>
    <row r="134" spans="1:34" x14ac:dyDescent="0.2">
      <c r="A134" s="98" t="s">
        <v>116</v>
      </c>
      <c r="B134" s="80"/>
      <c r="C134" s="67" t="s">
        <v>166</v>
      </c>
      <c r="D134" s="99" t="s">
        <v>261</v>
      </c>
      <c r="E134" s="104" t="str">
        <f>IF(Table25781014[[#This Row],[Line Section]]="","",VLOOKUP(Table25781014[[#This Row],[Line Section]],Reference!$A$2:$B$47,2,FALSE))</f>
        <v>C151</v>
      </c>
      <c r="F134" s="157"/>
      <c r="G134" s="250"/>
      <c r="H134" s="69"/>
      <c r="I134" s="54" t="s">
        <v>94</v>
      </c>
      <c r="J134" s="60">
        <v>8.3000000000000007</v>
      </c>
      <c r="K134" s="60">
        <v>8.42</v>
      </c>
      <c r="L134" s="88">
        <f>IF(Table25781014[[#This Row],[End
(km)]]="","",Table25781014[[#This Row],[End
(km)]]-Table25781014[[#This Row],[Start
(km)]])</f>
        <v>0.11999999999999922</v>
      </c>
      <c r="M134" s="76" t="s">
        <v>126</v>
      </c>
      <c r="N134" s="59"/>
      <c r="O134" s="272" t="s">
        <v>113</v>
      </c>
      <c r="P134" s="64">
        <v>43469</v>
      </c>
      <c r="Q134" s="71"/>
      <c r="R134" s="57"/>
      <c r="S134" s="55"/>
      <c r="T134" s="66"/>
      <c r="U134" s="66"/>
      <c r="V134" s="268"/>
      <c r="W134" s="67" t="s">
        <v>602</v>
      </c>
      <c r="X134" s="77" t="s">
        <v>788</v>
      </c>
      <c r="Y134" s="47"/>
      <c r="Z134" s="103" t="s">
        <v>139</v>
      </c>
      <c r="AA134" s="279"/>
      <c r="AB134" s="96"/>
      <c r="AC134" s="96"/>
      <c r="AD134" s="226" t="str">
        <f>IF(Table25781014[[#This Row],[End Completed Section (km)]]="","",Table25781014[[#This Row],[End Completed Section (km)]]-Table25781014[[#This Row],[Start Completed Section (km)]])</f>
        <v/>
      </c>
      <c r="AE134" s="72"/>
      <c r="AF13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34" s="229" t="str">
        <f>IF(Table25781014[[#This Row],[Planned Date]]="","",TEXT(Table25781014[[#This Row],[Planned Date]],"mmm"))</f>
        <v/>
      </c>
      <c r="AH134" s="252" t="str">
        <f>IF(Table25781014[[#This Row],[Month]]="","",VLOOKUP(Table25781014[[#This Row],[Month]],List!$B$2:$C$13,2,FALSE))</f>
        <v/>
      </c>
    </row>
    <row r="135" spans="1:34" ht="127.5" x14ac:dyDescent="0.2">
      <c r="A135" s="98" t="s">
        <v>116</v>
      </c>
      <c r="B135" s="80"/>
      <c r="C135" s="67" t="s">
        <v>166</v>
      </c>
      <c r="D135" s="99" t="s">
        <v>261</v>
      </c>
      <c r="E135" s="104" t="str">
        <f>IF(Table25781014[[#This Row],[Line Section]]="","",VLOOKUP(Table25781014[[#This Row],[Line Section]],Reference!$A$2:$B$47,2,FALSE))</f>
        <v>C151</v>
      </c>
      <c r="F135" s="157"/>
      <c r="G135" s="250"/>
      <c r="H135" s="69" t="s">
        <v>533</v>
      </c>
      <c r="I135" s="54" t="s">
        <v>93</v>
      </c>
      <c r="J135" s="60">
        <v>8.48</v>
      </c>
      <c r="K135" s="60">
        <v>8.8480000000000008</v>
      </c>
      <c r="L135" s="88">
        <f>IF(Table25781014[[#This Row],[End
(km)]]="","",Table25781014[[#This Row],[End
(km)]]-Table25781014[[#This Row],[Start
(km)]])</f>
        <v>0.36800000000000033</v>
      </c>
      <c r="M135" s="76" t="s">
        <v>126</v>
      </c>
      <c r="N135" s="59" t="s">
        <v>112</v>
      </c>
      <c r="O135" s="272" t="s">
        <v>113</v>
      </c>
      <c r="P135" s="64">
        <v>43230</v>
      </c>
      <c r="Q135" s="71">
        <v>43469</v>
      </c>
      <c r="R135" s="57" t="s">
        <v>121</v>
      </c>
      <c r="S135" s="55"/>
      <c r="T135" s="66" t="s">
        <v>121</v>
      </c>
      <c r="U135" s="66"/>
      <c r="V135" s="268"/>
      <c r="W135" s="67" t="s">
        <v>259</v>
      </c>
      <c r="X135" s="155" t="s">
        <v>857</v>
      </c>
      <c r="Y135" s="47"/>
      <c r="Z135" s="103" t="s">
        <v>859</v>
      </c>
      <c r="AA135" s="279">
        <v>43640</v>
      </c>
      <c r="AB135" s="96"/>
      <c r="AC135" s="96"/>
      <c r="AD135" s="226" t="str">
        <f>IF(Table25781014[[#This Row],[End Completed Section (km)]]="","",Table25781014[[#This Row],[End Completed Section (km)]]-Table25781014[[#This Row],[Start Completed Section (km)]])</f>
        <v/>
      </c>
      <c r="AE135" s="72"/>
      <c r="AF13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35" s="229" t="str">
        <f>IF(Table25781014[[#This Row],[Planned Date]]="","",TEXT(Table25781014[[#This Row],[Planned Date]],"mmm"))</f>
        <v/>
      </c>
      <c r="AH135" s="56" t="str">
        <f>IF(Table25781014[[#This Row],[Month]]="","",VLOOKUP(Table25781014[[#This Row],[Month]],List!$B$2:$C$13,2,FALSE))</f>
        <v/>
      </c>
    </row>
    <row r="136" spans="1:34" ht="127.5" x14ac:dyDescent="0.2">
      <c r="A136" s="98" t="s">
        <v>116</v>
      </c>
      <c r="B136" s="80">
        <v>1</v>
      </c>
      <c r="C136" s="67" t="s">
        <v>166</v>
      </c>
      <c r="D136" s="99" t="s">
        <v>261</v>
      </c>
      <c r="E136" s="104" t="str">
        <f>IF(Table25781014[[#This Row],[Line Section]]="","",VLOOKUP(Table25781014[[#This Row],[Line Section]],Reference!$A$2:$B$47,2,FALSE))</f>
        <v>C151</v>
      </c>
      <c r="F136" s="157"/>
      <c r="G136" s="250"/>
      <c r="H136" s="69" t="s">
        <v>533</v>
      </c>
      <c r="I136" s="54" t="s">
        <v>93</v>
      </c>
      <c r="J136" s="60">
        <v>8.8480000000000008</v>
      </c>
      <c r="K136" s="60">
        <v>9.0500000000000007</v>
      </c>
      <c r="L136" s="88">
        <f>IF(Table25781014[[#This Row],[End
(km)]]="","",Table25781014[[#This Row],[End
(km)]]-Table25781014[[#This Row],[Start
(km)]])</f>
        <v>0.20199999999999996</v>
      </c>
      <c r="M136" s="76" t="s">
        <v>126</v>
      </c>
      <c r="N136" s="59" t="s">
        <v>112</v>
      </c>
      <c r="O136" s="272" t="s">
        <v>207</v>
      </c>
      <c r="P136" s="64">
        <v>43230</v>
      </c>
      <c r="Q136" s="71">
        <v>43469</v>
      </c>
      <c r="R136" s="57" t="s">
        <v>121</v>
      </c>
      <c r="S136" s="55"/>
      <c r="T136" s="66"/>
      <c r="U136" s="66"/>
      <c r="V136" s="268"/>
      <c r="W136" s="67" t="s">
        <v>441</v>
      </c>
      <c r="X136" s="155" t="s">
        <v>858</v>
      </c>
      <c r="Y136" s="47"/>
      <c r="Z136" s="103" t="s">
        <v>859</v>
      </c>
      <c r="AA136" s="279">
        <v>43541</v>
      </c>
      <c r="AB136" s="96"/>
      <c r="AC136" s="96"/>
      <c r="AD136" s="226" t="str">
        <f>IF(Table25781014[[#This Row],[End Completed Section (km)]]="","",Table25781014[[#This Row],[End Completed Section (km)]]-Table25781014[[#This Row],[Start Completed Section (km)]])</f>
        <v/>
      </c>
      <c r="AE136" s="72"/>
      <c r="AF13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36" s="229" t="str">
        <f>IF(Table25781014[[#This Row],[Planned Date]]="","",TEXT(Table25781014[[#This Row],[Planned Date]],"mmm"))</f>
        <v/>
      </c>
      <c r="AH136" s="56" t="str">
        <f>IF(Table25781014[[#This Row],[Month]]="","",VLOOKUP(Table25781014[[#This Row],[Month]],List!$B$2:$C$13,2,FALSE))</f>
        <v/>
      </c>
    </row>
    <row r="137" spans="1:34" s="56" customFormat="1" ht="25.5" x14ac:dyDescent="0.2">
      <c r="A137" s="98" t="s">
        <v>116</v>
      </c>
      <c r="B137" s="80">
        <v>6</v>
      </c>
      <c r="C137" s="67" t="s">
        <v>166</v>
      </c>
      <c r="D137" s="99" t="s">
        <v>261</v>
      </c>
      <c r="E137" s="100" t="str">
        <f>IF(Table25781014[[#This Row],[Line Section]]="","",VLOOKUP(Table25781014[[#This Row],[Line Section]],Reference!$A$2:$B$47,2,FALSE))</f>
        <v>C151</v>
      </c>
      <c r="F137" s="157">
        <v>43905</v>
      </c>
      <c r="G137" s="440"/>
      <c r="H137" s="247" t="s">
        <v>534</v>
      </c>
      <c r="I137" s="54" t="s">
        <v>94</v>
      </c>
      <c r="J137" s="60">
        <v>9.02</v>
      </c>
      <c r="K137" s="60">
        <v>9.1</v>
      </c>
      <c r="L137" s="102">
        <f>IF(Table25781014[[#This Row],[End
(km)]]="","",Table25781014[[#This Row],[End
(km)]]-Table25781014[[#This Row],[Start
(km)]])</f>
        <v>8.0000000000000071E-2</v>
      </c>
      <c r="M137" s="61" t="s">
        <v>126</v>
      </c>
      <c r="N137" s="59" t="s">
        <v>113</v>
      </c>
      <c r="O137" s="295" t="s">
        <v>113</v>
      </c>
      <c r="P137" s="64">
        <v>43230</v>
      </c>
      <c r="Q137" s="71">
        <v>43469</v>
      </c>
      <c r="R137" s="57" t="s">
        <v>121</v>
      </c>
      <c r="S137" s="55"/>
      <c r="T137" s="66"/>
      <c r="U137" s="66"/>
      <c r="V137" s="269"/>
      <c r="W137" s="67" t="s">
        <v>439</v>
      </c>
      <c r="X137" s="77" t="s">
        <v>440</v>
      </c>
      <c r="Y137" s="46"/>
      <c r="Z137" s="103" t="s">
        <v>122</v>
      </c>
      <c r="AA137" s="280"/>
      <c r="AB137" s="96"/>
      <c r="AC137" s="96"/>
      <c r="AD137" s="227" t="str">
        <f>IF(Table25781014[[#This Row],[End Completed Section (km)]]="","",Table25781014[[#This Row],[End Completed Section (km)]]-Table25781014[[#This Row],[Start Completed Section (km)]])</f>
        <v/>
      </c>
      <c r="AE137" s="72"/>
      <c r="AF13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137" s="229" t="str">
        <f>IF(Table25781014[[#This Row],[Planned Date]]="","",TEXT(Table25781014[[#This Row],[Planned Date]],"mmm"))</f>
        <v>Mar</v>
      </c>
      <c r="AH137" s="56">
        <f>IF(Table25781014[[#This Row],[Month]]="","",VLOOKUP(Table25781014[[#This Row],[Month]],List!$B$2:$C$13,2,FALSE))</f>
        <v>9</v>
      </c>
    </row>
    <row r="138" spans="1:34" ht="51" x14ac:dyDescent="0.2">
      <c r="A138" s="98" t="s">
        <v>116</v>
      </c>
      <c r="B138" s="80"/>
      <c r="C138" s="67" t="s">
        <v>166</v>
      </c>
      <c r="D138" s="59" t="s">
        <v>130</v>
      </c>
      <c r="E138" s="104" t="str">
        <f>IF(Table25781014[[#This Row],[Line Section]]="","",VLOOKUP(Table25781014[[#This Row],[Line Section]],Reference!$A$2:$B$47,2,FALSE))</f>
        <v>C151</v>
      </c>
      <c r="F138" s="157"/>
      <c r="G138" s="250"/>
      <c r="H138" s="69"/>
      <c r="I138" s="54" t="s">
        <v>93</v>
      </c>
      <c r="J138" s="60">
        <v>9.9499999999999993</v>
      </c>
      <c r="K138" s="60">
        <v>10.25</v>
      </c>
      <c r="L138" s="44">
        <f>IF(Table25781014[[#This Row],[End
(km)]]="","",Table25781014[[#This Row],[End
(km)]]-Table25781014[[#This Row],[Start
(km)]])</f>
        <v>0.30000000000000071</v>
      </c>
      <c r="M138" s="76" t="s">
        <v>126</v>
      </c>
      <c r="N138" s="59" t="s">
        <v>112</v>
      </c>
      <c r="O138" s="272"/>
      <c r="P138" s="64">
        <v>43231</v>
      </c>
      <c r="Q138" s="71">
        <v>43276</v>
      </c>
      <c r="R138" s="57" t="s">
        <v>121</v>
      </c>
      <c r="S138" s="55"/>
      <c r="T138" s="66"/>
      <c r="U138" s="66"/>
      <c r="V138" s="268"/>
      <c r="W138" s="67"/>
      <c r="X138" s="339" t="s">
        <v>467</v>
      </c>
      <c r="Y138" s="47" t="s">
        <v>433</v>
      </c>
      <c r="Z138" s="80" t="s">
        <v>139</v>
      </c>
      <c r="AA138" s="278"/>
      <c r="AB138" s="96"/>
      <c r="AC138" s="96"/>
      <c r="AD138" s="226" t="str">
        <f>IF(Table25781014[[#This Row],[End Completed Section (km)]]="","",Table25781014[[#This Row],[End Completed Section (km)]]-Table25781014[[#This Row],[Start Completed Section (km)]])</f>
        <v/>
      </c>
      <c r="AE138" s="72"/>
      <c r="AF13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38" s="229" t="str">
        <f>IF(Table25781014[[#This Row],[Planned Date]]="","",TEXT(Table25781014[[#This Row],[Planned Date]],"mmm"))</f>
        <v/>
      </c>
      <c r="AH138" s="56" t="str">
        <f>IF(Table25781014[[#This Row],[Month]]="","",VLOOKUP(Table25781014[[#This Row],[Month]],List!$B$2:$C$13,2,FALSE))</f>
        <v/>
      </c>
    </row>
    <row r="139" spans="1:34" s="56" customFormat="1" ht="51" x14ac:dyDescent="0.2">
      <c r="A139" s="98" t="s">
        <v>117</v>
      </c>
      <c r="B139" s="80"/>
      <c r="C139" s="67" t="s">
        <v>166</v>
      </c>
      <c r="D139" s="99" t="s">
        <v>261</v>
      </c>
      <c r="E139" s="100" t="str">
        <f>IF(Table25781014[[#This Row],[Line Section]]="","",VLOOKUP(Table25781014[[#This Row],[Line Section]],Reference!$A$2:$B$47,2,FALSE))</f>
        <v>C151</v>
      </c>
      <c r="F139" s="157"/>
      <c r="G139" s="440"/>
      <c r="H139" s="247"/>
      <c r="I139" s="54" t="s">
        <v>94</v>
      </c>
      <c r="J139" s="60">
        <v>10</v>
      </c>
      <c r="K139" s="60">
        <v>10.3</v>
      </c>
      <c r="L139" s="102">
        <f>IF(Table25781014[[#This Row],[End
(km)]]="","",Table25781014[[#This Row],[End
(km)]]-Table25781014[[#This Row],[Start
(km)]])</f>
        <v>0.30000000000000071</v>
      </c>
      <c r="M139" s="61" t="s">
        <v>126</v>
      </c>
      <c r="N139" s="59"/>
      <c r="O139" s="272" t="s">
        <v>113</v>
      </c>
      <c r="P139" s="64">
        <v>43469</v>
      </c>
      <c r="Q139" s="71">
        <v>43650</v>
      </c>
      <c r="R139" s="57"/>
      <c r="S139" s="55"/>
      <c r="T139" s="66"/>
      <c r="U139" s="66"/>
      <c r="V139" s="269"/>
      <c r="W139" s="67"/>
      <c r="X139" s="77" t="s">
        <v>803</v>
      </c>
      <c r="Y139" s="46"/>
      <c r="Z139" s="103" t="s">
        <v>188</v>
      </c>
      <c r="AA139" s="280"/>
      <c r="AB139" s="96"/>
      <c r="AC139" s="96"/>
      <c r="AD139" s="227" t="str">
        <f>IF(Table25781014[[#This Row],[End Completed Section (km)]]="","",Table25781014[[#This Row],[End Completed Section (km)]]-Table25781014[[#This Row],[Start Completed Section (km)]])</f>
        <v/>
      </c>
      <c r="AE139" s="72"/>
      <c r="AF13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39" s="229" t="str">
        <f>IF(Table25781014[[#This Row],[Planned Date]]="","",TEXT(Table25781014[[#This Row],[Planned Date]],"mmm"))</f>
        <v/>
      </c>
      <c r="AH139" s="252" t="str">
        <f>IF(Table25781014[[#This Row],[Month]]="","",VLOOKUP(Table25781014[[#This Row],[Month]],List!$B$2:$C$13,2,FALSE))</f>
        <v/>
      </c>
    </row>
    <row r="140" spans="1:34" s="56" customFormat="1" ht="51" x14ac:dyDescent="0.2">
      <c r="A140" s="98" t="s">
        <v>117</v>
      </c>
      <c r="B140" s="80"/>
      <c r="C140" s="67" t="s">
        <v>166</v>
      </c>
      <c r="D140" s="59" t="s">
        <v>130</v>
      </c>
      <c r="E140" s="100" t="str">
        <f>IF(Table25781014[[#This Row],[Line Section]]="","",VLOOKUP(Table25781014[[#This Row],[Line Section]],Reference!$A$2:$B$47,2,FALSE))</f>
        <v>C151</v>
      </c>
      <c r="F140" s="157"/>
      <c r="G140" s="440"/>
      <c r="H140" s="248"/>
      <c r="I140" s="54" t="s">
        <v>93</v>
      </c>
      <c r="J140" s="60">
        <v>10.8</v>
      </c>
      <c r="K140" s="60">
        <v>11</v>
      </c>
      <c r="L140" s="53">
        <f>IF(Table25781014[[#This Row],[End
(km)]]="","",Table25781014[[#This Row],[End
(km)]]-Table25781014[[#This Row],[Start
(km)]])</f>
        <v>0.19999999999999929</v>
      </c>
      <c r="M140" s="61" t="s">
        <v>126</v>
      </c>
      <c r="N140" s="59" t="s">
        <v>113</v>
      </c>
      <c r="O140" s="295"/>
      <c r="P140" s="64">
        <v>43231</v>
      </c>
      <c r="Q140" s="71">
        <v>43276</v>
      </c>
      <c r="R140" s="57" t="s">
        <v>121</v>
      </c>
      <c r="S140" s="55"/>
      <c r="T140" s="66"/>
      <c r="U140" s="66"/>
      <c r="V140" s="269"/>
      <c r="W140" s="67" t="s">
        <v>316</v>
      </c>
      <c r="X140" s="77" t="s">
        <v>442</v>
      </c>
      <c r="Y140" s="46"/>
      <c r="Z140" s="80" t="s">
        <v>122</v>
      </c>
      <c r="AA140" s="282"/>
      <c r="AB140" s="96"/>
      <c r="AC140" s="96"/>
      <c r="AD140" s="227" t="str">
        <f>IF(Table25781014[[#This Row],[End Completed Section (km)]]="","",Table25781014[[#This Row],[End Completed Section (km)]]-Table25781014[[#This Row],[Start Completed Section (km)]])</f>
        <v/>
      </c>
      <c r="AE140" s="72"/>
      <c r="AF14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40" s="229" t="str">
        <f>IF(Table25781014[[#This Row],[Planned Date]]="","",TEXT(Table25781014[[#This Row],[Planned Date]],"mmm"))</f>
        <v/>
      </c>
      <c r="AH140" s="56" t="str">
        <f>IF(Table25781014[[#This Row],[Month]]="","",VLOOKUP(Table25781014[[#This Row],[Month]],List!$B$2:$C$13,2,FALSE))</f>
        <v/>
      </c>
    </row>
    <row r="141" spans="1:34" ht="38.25" x14ac:dyDescent="0.2">
      <c r="A141" s="98" t="s">
        <v>117</v>
      </c>
      <c r="B141" s="80"/>
      <c r="C141" s="67" t="s">
        <v>166</v>
      </c>
      <c r="D141" s="59" t="s">
        <v>130</v>
      </c>
      <c r="E141" s="104" t="str">
        <f>IF(Table25781014[[#This Row],[Line Section]]="","",VLOOKUP(Table25781014[[#This Row],[Line Section]],Reference!$A$2:$B$47,2,FALSE))</f>
        <v>C151</v>
      </c>
      <c r="F141" s="157"/>
      <c r="G141" s="250"/>
      <c r="H141" s="69"/>
      <c r="I141" s="54" t="s">
        <v>93</v>
      </c>
      <c r="J141" s="60">
        <v>11.48</v>
      </c>
      <c r="K141" s="60">
        <v>11.53</v>
      </c>
      <c r="L141" s="44">
        <f>IF(Table25781014[[#This Row],[End
(km)]]="","",Table25781014[[#This Row],[End
(km)]]-Table25781014[[#This Row],[Start
(km)]])</f>
        <v>4.9999999999998934E-2</v>
      </c>
      <c r="M141" s="76" t="s">
        <v>444</v>
      </c>
      <c r="N141" s="59" t="s">
        <v>113</v>
      </c>
      <c r="O141" s="272" t="s">
        <v>113</v>
      </c>
      <c r="P141" s="64">
        <v>43231</v>
      </c>
      <c r="Q141" s="71">
        <v>43469</v>
      </c>
      <c r="R141" s="57" t="s">
        <v>121</v>
      </c>
      <c r="S141" s="55"/>
      <c r="T141" s="66"/>
      <c r="U141" s="66"/>
      <c r="V141" s="268"/>
      <c r="W141" s="67" t="s">
        <v>317</v>
      </c>
      <c r="X141" s="77" t="s">
        <v>443</v>
      </c>
      <c r="Y141" s="47"/>
      <c r="Z141" s="80" t="s">
        <v>122</v>
      </c>
      <c r="AA141" s="278"/>
      <c r="AB141" s="96"/>
      <c r="AC141" s="96"/>
      <c r="AD141" s="226" t="str">
        <f>IF(Table25781014[[#This Row],[End Completed Section (km)]]="","",Table25781014[[#This Row],[End Completed Section (km)]]-Table25781014[[#This Row],[Start Completed Section (km)]])</f>
        <v/>
      </c>
      <c r="AE141" s="72"/>
      <c r="AF14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41" s="229" t="str">
        <f>IF(Table25781014[[#This Row],[Planned Date]]="","",TEXT(Table25781014[[#This Row],[Planned Date]],"mmm"))</f>
        <v/>
      </c>
      <c r="AH141" s="56" t="str">
        <f>IF(Table25781014[[#This Row],[Month]]="","",VLOOKUP(Table25781014[[#This Row],[Month]],List!$B$2:$C$13,2,FALSE))</f>
        <v/>
      </c>
    </row>
    <row r="142" spans="1:34" s="56" customFormat="1" x14ac:dyDescent="0.2">
      <c r="A142" s="98" t="s">
        <v>117</v>
      </c>
      <c r="B142" s="80"/>
      <c r="C142" s="67" t="s">
        <v>166</v>
      </c>
      <c r="D142" s="99" t="s">
        <v>261</v>
      </c>
      <c r="E142" s="100" t="str">
        <f>IF(Table25781014[[#This Row],[Line Section]]="","",VLOOKUP(Table25781014[[#This Row],[Line Section]],Reference!$A$2:$B$47,2,FALSE))</f>
        <v>C151</v>
      </c>
      <c r="F142" s="157"/>
      <c r="G142" s="440"/>
      <c r="H142" s="247"/>
      <c r="I142" s="54" t="s">
        <v>94</v>
      </c>
      <c r="J142" s="60">
        <v>11.9</v>
      </c>
      <c r="K142" s="60">
        <v>12.05</v>
      </c>
      <c r="L142" s="102">
        <f>IF(Table25781014[[#This Row],[End
(km)]]="","",Table25781014[[#This Row],[End
(km)]]-Table25781014[[#This Row],[Start
(km)]])</f>
        <v>0.15000000000000036</v>
      </c>
      <c r="M142" s="76" t="s">
        <v>126</v>
      </c>
      <c r="N142" s="59"/>
      <c r="O142" s="295" t="s">
        <v>113</v>
      </c>
      <c r="P142" s="64">
        <v>43469</v>
      </c>
      <c r="Q142" s="71"/>
      <c r="R142" s="57"/>
      <c r="S142" s="55"/>
      <c r="T142" s="66"/>
      <c r="U142" s="66"/>
      <c r="V142" s="269"/>
      <c r="W142" s="67"/>
      <c r="X142" s="77"/>
      <c r="Y142" s="46"/>
      <c r="Z142" s="103" t="s">
        <v>188</v>
      </c>
      <c r="AA142" s="280"/>
      <c r="AB142" s="96"/>
      <c r="AC142" s="96"/>
      <c r="AD142" s="227" t="str">
        <f>IF(Table25781014[[#This Row],[End Completed Section (km)]]="","",Table25781014[[#This Row],[End Completed Section (km)]]-Table25781014[[#This Row],[Start Completed Section (km)]])</f>
        <v/>
      </c>
      <c r="AE142" s="72"/>
      <c r="AF14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42" s="229" t="str">
        <f>IF(Table25781014[[#This Row],[Planned Date]]="","",TEXT(Table25781014[[#This Row],[Planned Date]],"mmm"))</f>
        <v/>
      </c>
      <c r="AH142" s="252" t="str">
        <f>IF(Table25781014[[#This Row],[Month]]="","",VLOOKUP(Table25781014[[#This Row],[Month]],List!$B$2:$C$13,2,FALSE))</f>
        <v/>
      </c>
    </row>
    <row r="143" spans="1:34" s="56" customFormat="1" ht="38.25" x14ac:dyDescent="0.2">
      <c r="A143" s="98" t="s">
        <v>116</v>
      </c>
      <c r="B143" s="80">
        <v>4</v>
      </c>
      <c r="C143" s="67" t="s">
        <v>166</v>
      </c>
      <c r="D143" s="59" t="s">
        <v>130</v>
      </c>
      <c r="E143" s="100" t="str">
        <f>IF(Table25781014[[#This Row],[Line Section]]="","",VLOOKUP(Table25781014[[#This Row],[Line Section]],Reference!$A$2:$B$47,2,FALSE))</f>
        <v>C151</v>
      </c>
      <c r="F143" s="157">
        <v>43814</v>
      </c>
      <c r="G143" s="440"/>
      <c r="H143" s="247" t="s">
        <v>534</v>
      </c>
      <c r="I143" s="54" t="s">
        <v>93</v>
      </c>
      <c r="J143" s="60">
        <v>11.95</v>
      </c>
      <c r="K143" s="60">
        <v>12.05</v>
      </c>
      <c r="L143" s="53">
        <f>IF(Table25781014[[#This Row],[End
(km)]]="","",Table25781014[[#This Row],[End
(km)]]-Table25781014[[#This Row],[Start
(km)]])</f>
        <v>0.10000000000000142</v>
      </c>
      <c r="M143" s="61" t="s">
        <v>126</v>
      </c>
      <c r="N143" s="59" t="s">
        <v>113</v>
      </c>
      <c r="O143" s="272" t="s">
        <v>113</v>
      </c>
      <c r="P143" s="64">
        <v>43231</v>
      </c>
      <c r="Q143" s="71">
        <v>43469</v>
      </c>
      <c r="R143" s="57" t="s">
        <v>121</v>
      </c>
      <c r="S143" s="55"/>
      <c r="T143" s="66"/>
      <c r="U143" s="66"/>
      <c r="V143" s="268"/>
      <c r="W143" s="67"/>
      <c r="X143" s="155" t="s">
        <v>581</v>
      </c>
      <c r="Y143" s="46"/>
      <c r="Z143" s="80" t="s">
        <v>573</v>
      </c>
      <c r="AA143" s="279">
        <v>43541</v>
      </c>
      <c r="AB143" s="96"/>
      <c r="AC143" s="96"/>
      <c r="AD143" s="227" t="str">
        <f>IF(Table25781014[[#This Row],[End Completed Section (km)]]="","",Table25781014[[#This Row],[End Completed Section (km)]]-Table25781014[[#This Row],[Start Completed Section (km)]])</f>
        <v/>
      </c>
      <c r="AE143" s="72"/>
      <c r="AF14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143" s="229" t="str">
        <f>IF(Table25781014[[#This Row],[Planned Date]]="","",TEXT(Table25781014[[#This Row],[Planned Date]],"mmm"))</f>
        <v>Dec</v>
      </c>
      <c r="AH143" s="56">
        <f>IF(Table25781014[[#This Row],[Month]]="","",VLOOKUP(Table25781014[[#This Row],[Month]],List!$B$2:$C$13,2,FALSE))</f>
        <v>6</v>
      </c>
    </row>
    <row r="144" spans="1:34" s="56" customFormat="1" x14ac:dyDescent="0.2">
      <c r="A144" s="98" t="s">
        <v>117</v>
      </c>
      <c r="B144" s="80"/>
      <c r="C144" s="67" t="s">
        <v>166</v>
      </c>
      <c r="D144" s="59" t="s">
        <v>130</v>
      </c>
      <c r="E144" s="100" t="str">
        <f>IF(Table25781014[[#This Row],[Line Section]]="","",VLOOKUP(Table25781014[[#This Row],[Line Section]],Reference!$A$2:$B$47,2,FALSE))</f>
        <v>C151</v>
      </c>
      <c r="F144" s="157">
        <v>44269</v>
      </c>
      <c r="G144" s="440"/>
      <c r="H144" s="247" t="s">
        <v>533</v>
      </c>
      <c r="I144" s="54" t="s">
        <v>101</v>
      </c>
      <c r="J144" s="60">
        <v>12.7</v>
      </c>
      <c r="K144" s="60">
        <v>13</v>
      </c>
      <c r="L144" s="53">
        <f>IF(Table25781014[[#This Row],[End
(km)]]="","",Table25781014[[#This Row],[End
(km)]]-Table25781014[[#This Row],[Start
(km)]])</f>
        <v>0.30000000000000071</v>
      </c>
      <c r="M144" s="61" t="s">
        <v>126</v>
      </c>
      <c r="N144" s="59"/>
      <c r="O144" s="295" t="s">
        <v>113</v>
      </c>
      <c r="P144" s="64">
        <v>43469</v>
      </c>
      <c r="Q144" s="71">
        <v>43671</v>
      </c>
      <c r="R144" s="57"/>
      <c r="S144" s="55"/>
      <c r="T144" s="66"/>
      <c r="U144" s="66"/>
      <c r="V144" s="269"/>
      <c r="W144" s="67" t="s">
        <v>608</v>
      </c>
      <c r="X144" s="77" t="s">
        <v>846</v>
      </c>
      <c r="Y144" s="112"/>
      <c r="Z144" s="80" t="s">
        <v>139</v>
      </c>
      <c r="AA144" s="282"/>
      <c r="AB144" s="96"/>
      <c r="AC144" s="96"/>
      <c r="AD144" s="227" t="str">
        <f>IF(Table25781014[[#This Row],[End Completed Section (km)]]="","",Table25781014[[#This Row],[End Completed Section (km)]]-Table25781014[[#This Row],[Start Completed Section (km)]])</f>
        <v/>
      </c>
      <c r="AE144" s="161"/>
      <c r="AF14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144" s="229" t="str">
        <f>IF(Table25781014[[#This Row],[Planned Date]]="","",TEXT(Table25781014[[#This Row],[Planned Date]],"mmm"))</f>
        <v>Mar</v>
      </c>
      <c r="AH144" s="252">
        <f>IF(Table25781014[[#This Row],[Month]]="","",VLOOKUP(Table25781014[[#This Row],[Month]],List!$B$2:$C$13,2,FALSE))</f>
        <v>9</v>
      </c>
    </row>
    <row r="145" spans="1:34" s="56" customFormat="1" x14ac:dyDescent="0.2">
      <c r="A145" s="98" t="s">
        <v>118</v>
      </c>
      <c r="B145" s="305"/>
      <c r="C145" s="67" t="s">
        <v>166</v>
      </c>
      <c r="D145" s="59" t="s">
        <v>130</v>
      </c>
      <c r="E145" s="100" t="str">
        <f>IF(Table25781014[[#This Row],[Line Section]]="","",VLOOKUP(Table25781014[[#This Row],[Line Section]],Reference!$A$2:$B$47,2,FALSE))</f>
        <v>C151</v>
      </c>
      <c r="F145" s="157"/>
      <c r="G145" s="440"/>
      <c r="H145" s="306"/>
      <c r="I145" s="54" t="s">
        <v>93</v>
      </c>
      <c r="J145" s="60">
        <v>13.08</v>
      </c>
      <c r="K145" s="60">
        <v>13.18</v>
      </c>
      <c r="L145" s="53">
        <f>IF(Table25781014[[#This Row],[End
(km)]]="","",Table25781014[[#This Row],[End
(km)]]-Table25781014[[#This Row],[Start
(km)]])</f>
        <v>9.9999999999999645E-2</v>
      </c>
      <c r="M145" s="61" t="s">
        <v>126</v>
      </c>
      <c r="N145" s="59" t="s">
        <v>113</v>
      </c>
      <c r="O145" s="295" t="s">
        <v>113</v>
      </c>
      <c r="P145" s="64">
        <v>43231</v>
      </c>
      <c r="Q145" s="307">
        <v>43469</v>
      </c>
      <c r="R145" s="57" t="s">
        <v>121</v>
      </c>
      <c r="S145" s="55"/>
      <c r="T145" s="66"/>
      <c r="U145" s="308"/>
      <c r="V145" s="309"/>
      <c r="W145" s="67"/>
      <c r="X145" s="77" t="s">
        <v>438</v>
      </c>
      <c r="Y145" s="326"/>
      <c r="Z145" s="80" t="s">
        <v>122</v>
      </c>
      <c r="AA145" s="323"/>
      <c r="AB145" s="96"/>
      <c r="AC145" s="96"/>
      <c r="AD145" s="310" t="str">
        <f>IF(Table25781014[[#This Row],[End Completed Section (km)]]="","",Table25781014[[#This Row],[End Completed Section (km)]]-Table25781014[[#This Row],[Start Completed Section (km)]])</f>
        <v/>
      </c>
      <c r="AE145" s="72"/>
      <c r="AF14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45" s="229" t="str">
        <f>IF(Table25781014[[#This Row],[Planned Date]]="","",TEXT(Table25781014[[#This Row],[Planned Date]],"mmm"))</f>
        <v/>
      </c>
      <c r="AH145" s="252" t="str">
        <f>IF(Table25781014[[#This Row],[Month]]="","",VLOOKUP(Table25781014[[#This Row],[Month]],List!$B$2:$C$13,2,FALSE))</f>
        <v/>
      </c>
    </row>
    <row r="146" spans="1:34" s="56" customFormat="1" ht="51" x14ac:dyDescent="0.2">
      <c r="A146" s="98" t="s">
        <v>116</v>
      </c>
      <c r="B146" s="305">
        <v>9</v>
      </c>
      <c r="C146" s="67" t="s">
        <v>166</v>
      </c>
      <c r="D146" s="59" t="s">
        <v>130</v>
      </c>
      <c r="E146" s="100" t="str">
        <f>IF(Table25781014[[#This Row],[Line Section]]="","",VLOOKUP(Table25781014[[#This Row],[Line Section]],Reference!$A$2:$B$47,2,FALSE))</f>
        <v>C151</v>
      </c>
      <c r="F146" s="157">
        <v>43905</v>
      </c>
      <c r="G146" s="440"/>
      <c r="H146" s="247" t="s">
        <v>533</v>
      </c>
      <c r="I146" s="54" t="s">
        <v>93</v>
      </c>
      <c r="J146" s="60">
        <v>13.95</v>
      </c>
      <c r="K146" s="60">
        <v>14.25</v>
      </c>
      <c r="L146" s="53">
        <f>IF(Table25781014[[#This Row],[End
(km)]]="","",Table25781014[[#This Row],[End
(km)]]-Table25781014[[#This Row],[Start
(km)]])</f>
        <v>0.30000000000000071</v>
      </c>
      <c r="M146" s="61" t="s">
        <v>126</v>
      </c>
      <c r="N146" s="59" t="s">
        <v>113</v>
      </c>
      <c r="O146" s="295" t="s">
        <v>113</v>
      </c>
      <c r="P146" s="64">
        <v>43231</v>
      </c>
      <c r="Q146" s="307">
        <v>43469</v>
      </c>
      <c r="R146" s="57" t="s">
        <v>121</v>
      </c>
      <c r="S146" s="55"/>
      <c r="T146" s="66"/>
      <c r="U146" s="308"/>
      <c r="V146" s="309"/>
      <c r="W146" s="67"/>
      <c r="X146" s="77" t="s">
        <v>594</v>
      </c>
      <c r="Y146" s="326"/>
      <c r="Z146" s="80" t="s">
        <v>122</v>
      </c>
      <c r="AA146" s="323"/>
      <c r="AB146" s="96"/>
      <c r="AC146" s="96"/>
      <c r="AD146" s="310" t="str">
        <f>IF(Table25781014[[#This Row],[End Completed Section (km)]]="","",Table25781014[[#This Row],[End Completed Section (km)]]-Table25781014[[#This Row],[Start Completed Section (km)]])</f>
        <v/>
      </c>
      <c r="AE146" s="72"/>
      <c r="AF14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146" s="229" t="str">
        <f>IF(Table25781014[[#This Row],[Planned Date]]="","",TEXT(Table25781014[[#This Row],[Planned Date]],"mmm"))</f>
        <v>Mar</v>
      </c>
      <c r="AH146" s="252">
        <f>IF(Table25781014[[#This Row],[Month]]="","",VLOOKUP(Table25781014[[#This Row],[Month]],List!$B$2:$C$13,2,FALSE))</f>
        <v>9</v>
      </c>
    </row>
    <row r="147" spans="1:34" s="56" customFormat="1" x14ac:dyDescent="0.2">
      <c r="A147" s="98" t="s">
        <v>117</v>
      </c>
      <c r="B147" s="305"/>
      <c r="C147" s="67" t="s">
        <v>166</v>
      </c>
      <c r="D147" s="59" t="s">
        <v>130</v>
      </c>
      <c r="E147" s="100" t="str">
        <f>IF(Table25781014[[#This Row],[Line Section]]="","",VLOOKUP(Table25781014[[#This Row],[Line Section]],Reference!$A$2:$B$47,2,FALSE))</f>
        <v>C151</v>
      </c>
      <c r="F147" s="157">
        <v>44269</v>
      </c>
      <c r="G147" s="440"/>
      <c r="H147" s="247" t="s">
        <v>533</v>
      </c>
      <c r="I147" s="54" t="s">
        <v>101</v>
      </c>
      <c r="J147" s="60">
        <v>14.28</v>
      </c>
      <c r="K147" s="60">
        <v>14.52</v>
      </c>
      <c r="L147" s="53">
        <f>IF(Table25781014[[#This Row],[End
(km)]]="","",Table25781014[[#This Row],[End
(km)]]-Table25781014[[#This Row],[Start
(km)]])</f>
        <v>0.24000000000000021</v>
      </c>
      <c r="M147" s="61" t="s">
        <v>126</v>
      </c>
      <c r="N147" s="59"/>
      <c r="O147" s="295" t="s">
        <v>113</v>
      </c>
      <c r="P147" s="64">
        <v>43469</v>
      </c>
      <c r="Q147" s="307"/>
      <c r="R147" s="57"/>
      <c r="S147" s="55"/>
      <c r="T147" s="66"/>
      <c r="U147" s="308"/>
      <c r="V147" s="309"/>
      <c r="W147" s="67"/>
      <c r="X147" s="77"/>
      <c r="Y147" s="327"/>
      <c r="Z147" s="80" t="s">
        <v>139</v>
      </c>
      <c r="AA147" s="323"/>
      <c r="AB147" s="96"/>
      <c r="AC147" s="96"/>
      <c r="AD147" s="310" t="str">
        <f>IF(Table25781014[[#This Row],[End Completed Section (km)]]="","",Table25781014[[#This Row],[End Completed Section (km)]]-Table25781014[[#This Row],[Start Completed Section (km)]])</f>
        <v/>
      </c>
      <c r="AE147" s="161"/>
      <c r="AF14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147" s="229" t="str">
        <f>IF(Table25781014[[#This Row],[Planned Date]]="","",TEXT(Table25781014[[#This Row],[Planned Date]],"mmm"))</f>
        <v>Mar</v>
      </c>
      <c r="AH147" s="252">
        <f>IF(Table25781014[[#This Row],[Month]]="","",VLOOKUP(Table25781014[[#This Row],[Month]],List!$B$2:$C$13,2,FALSE))</f>
        <v>9</v>
      </c>
    </row>
    <row r="148" spans="1:34" s="56" customFormat="1" ht="89.25" x14ac:dyDescent="0.2">
      <c r="A148" s="98" t="s">
        <v>117</v>
      </c>
      <c r="B148" s="305"/>
      <c r="C148" s="67" t="s">
        <v>166</v>
      </c>
      <c r="D148" s="59" t="s">
        <v>130</v>
      </c>
      <c r="E148" s="100" t="str">
        <f>IF(Table25781014[[#This Row],[Line Section]]="","",VLOOKUP(Table25781014[[#This Row],[Line Section]],Reference!$A$2:$B$47,2,FALSE))</f>
        <v>C151</v>
      </c>
      <c r="F148" s="157">
        <v>44010</v>
      </c>
      <c r="G148" s="440"/>
      <c r="H148" s="247" t="s">
        <v>534</v>
      </c>
      <c r="I148" s="54" t="s">
        <v>93</v>
      </c>
      <c r="J148" s="60">
        <v>15.4</v>
      </c>
      <c r="K148" s="60">
        <v>15.8</v>
      </c>
      <c r="L148" s="53">
        <f>IF(Table25781014[[#This Row],[End
(km)]]="","",Table25781014[[#This Row],[End
(km)]]-Table25781014[[#This Row],[Start
(km)]])</f>
        <v>0.40000000000000036</v>
      </c>
      <c r="M148" s="61" t="s">
        <v>126</v>
      </c>
      <c r="N148" s="59"/>
      <c r="O148" s="295" t="s">
        <v>112</v>
      </c>
      <c r="P148" s="64">
        <v>43469</v>
      </c>
      <c r="Q148" s="307">
        <v>43671</v>
      </c>
      <c r="R148" s="57" t="s">
        <v>121</v>
      </c>
      <c r="S148" s="55"/>
      <c r="T148" s="66"/>
      <c r="U148" s="308"/>
      <c r="V148" s="309"/>
      <c r="W148" s="67" t="s">
        <v>595</v>
      </c>
      <c r="X148" s="77" t="s">
        <v>847</v>
      </c>
      <c r="Y148" s="327"/>
      <c r="Z148" s="80"/>
      <c r="AA148" s="323"/>
      <c r="AB148" s="96"/>
      <c r="AC148" s="96"/>
      <c r="AD148" s="310" t="str">
        <f>IF(Table25781014[[#This Row],[End Completed Section (km)]]="","",Table25781014[[#This Row],[End Completed Section (km)]]-Table25781014[[#This Row],[Start Completed Section (km)]])</f>
        <v/>
      </c>
      <c r="AE148" s="161"/>
      <c r="AF14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148" s="229" t="str">
        <f>IF(Table25781014[[#This Row],[Planned Date]]="","",TEXT(Table25781014[[#This Row],[Planned Date]],"mmm"))</f>
        <v>Jun</v>
      </c>
      <c r="AH148" s="252">
        <f>IF(Table25781014[[#This Row],[Month]]="","",VLOOKUP(Table25781014[[#This Row],[Month]],List!$B$2:$C$13,2,FALSE))</f>
        <v>12</v>
      </c>
    </row>
    <row r="149" spans="1:34" s="56" customFormat="1" ht="38.25" x14ac:dyDescent="0.2">
      <c r="A149" s="98" t="s">
        <v>118</v>
      </c>
      <c r="B149" s="305"/>
      <c r="C149" s="67" t="s">
        <v>166</v>
      </c>
      <c r="D149" s="59" t="s">
        <v>130</v>
      </c>
      <c r="E149" s="100" t="str">
        <f>IF(Table25781014[[#This Row],[Line Section]]="","",VLOOKUP(Table25781014[[#This Row],[Line Section]],Reference!$A$2:$B$47,2,FALSE))</f>
        <v>C151</v>
      </c>
      <c r="F149" s="157"/>
      <c r="G149" s="440"/>
      <c r="H149" s="306"/>
      <c r="I149" s="54" t="s">
        <v>101</v>
      </c>
      <c r="J149" s="60">
        <v>15.6</v>
      </c>
      <c r="K149" s="60">
        <v>15.71</v>
      </c>
      <c r="L149" s="53">
        <f>IF(Table25781014[[#This Row],[End
(km)]]="","",Table25781014[[#This Row],[End
(km)]]-Table25781014[[#This Row],[Start
(km)]])</f>
        <v>0.11000000000000121</v>
      </c>
      <c r="M149" s="61" t="s">
        <v>126</v>
      </c>
      <c r="N149" s="59" t="s">
        <v>113</v>
      </c>
      <c r="O149" s="295" t="s">
        <v>109</v>
      </c>
      <c r="P149" s="64">
        <v>43304</v>
      </c>
      <c r="Q149" s="307">
        <v>43469</v>
      </c>
      <c r="R149" s="57"/>
      <c r="S149" s="55"/>
      <c r="T149" s="66"/>
      <c r="U149" s="308"/>
      <c r="V149" s="309"/>
      <c r="W149" s="67"/>
      <c r="X149" s="77" t="s">
        <v>609</v>
      </c>
      <c r="Y149" s="327" t="s">
        <v>448</v>
      </c>
      <c r="Z149" s="80" t="s">
        <v>139</v>
      </c>
      <c r="AA149" s="323"/>
      <c r="AB149" s="96"/>
      <c r="AC149" s="96"/>
      <c r="AD149" s="310" t="str">
        <f>IF(Table25781014[[#This Row],[End Completed Section (km)]]="","",Table25781014[[#This Row],[End Completed Section (km)]]-Table25781014[[#This Row],[Start Completed Section (km)]])</f>
        <v/>
      </c>
      <c r="AE149" s="161"/>
      <c r="AF14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49" s="229" t="str">
        <f>IF(Table25781014[[#This Row],[Planned Date]]="","",TEXT(Table25781014[[#This Row],[Planned Date]],"mmm"))</f>
        <v/>
      </c>
      <c r="AH149" s="252" t="str">
        <f>IF(Table25781014[[#This Row],[Month]]="","",VLOOKUP(Table25781014[[#This Row],[Month]],List!$B$2:$C$13,2,FALSE))</f>
        <v/>
      </c>
    </row>
    <row r="150" spans="1:34" ht="38.25" x14ac:dyDescent="0.2">
      <c r="A150" s="83" t="s">
        <v>118</v>
      </c>
      <c r="B150" s="328"/>
      <c r="C150" s="73" t="s">
        <v>166</v>
      </c>
      <c r="D150" s="74" t="s">
        <v>130</v>
      </c>
      <c r="E150" s="104" t="str">
        <f>IF(Table25781014[[#This Row],[Line Section]]="","",VLOOKUP(Table25781014[[#This Row],[Line Section]],Reference!$A$2:$B$47,2,FALSE))</f>
        <v>C151</v>
      </c>
      <c r="F150" s="157"/>
      <c r="G150" s="440"/>
      <c r="H150" s="306"/>
      <c r="I150" s="86" t="s">
        <v>93</v>
      </c>
      <c r="J150" s="75">
        <v>16.25</v>
      </c>
      <c r="K150" s="75">
        <v>16.600000000000001</v>
      </c>
      <c r="L150" s="44">
        <f>IF(Table25781014[[#This Row],[End
(km)]]="","",Table25781014[[#This Row],[End
(km)]]-Table25781014[[#This Row],[Start
(km)]])</f>
        <v>0.35000000000000142</v>
      </c>
      <c r="M150" s="76" t="s">
        <v>126</v>
      </c>
      <c r="N150" s="74" t="s">
        <v>112</v>
      </c>
      <c r="O150" s="295"/>
      <c r="P150" s="64">
        <v>43231</v>
      </c>
      <c r="Q150" s="307">
        <v>43276</v>
      </c>
      <c r="R150" s="57" t="s">
        <v>121</v>
      </c>
      <c r="S150" s="90"/>
      <c r="T150" s="91"/>
      <c r="U150" s="329"/>
      <c r="V150" s="309"/>
      <c r="W150" s="73"/>
      <c r="X150" s="78" t="s">
        <v>445</v>
      </c>
      <c r="Y150" s="332"/>
      <c r="Z150" s="81" t="s">
        <v>233</v>
      </c>
      <c r="AA150" s="323"/>
      <c r="AB150" s="97"/>
      <c r="AC150" s="97"/>
      <c r="AD150" s="310" t="str">
        <f>IF(Table25781014[[#This Row],[End Completed Section (km)]]="","",Table25781014[[#This Row],[End Completed Section (km)]]-Table25781014[[#This Row],[Start Completed Section (km)]])</f>
        <v/>
      </c>
      <c r="AE150" s="82"/>
      <c r="AF15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50" s="229" t="str">
        <f>IF(Table25781014[[#This Row],[Planned Date]]="","",TEXT(Table25781014[[#This Row],[Planned Date]],"mmm"))</f>
        <v/>
      </c>
      <c r="AH150" s="252" t="str">
        <f>IF(Table25781014[[#This Row],[Month]]="","",VLOOKUP(Table25781014[[#This Row],[Month]],List!$B$2:$C$13,2,FALSE))</f>
        <v/>
      </c>
    </row>
    <row r="151" spans="1:34" ht="25.5" x14ac:dyDescent="0.2">
      <c r="A151" s="98" t="s">
        <v>117</v>
      </c>
      <c r="B151" s="305"/>
      <c r="C151" s="67" t="s">
        <v>166</v>
      </c>
      <c r="D151" s="59" t="s">
        <v>130</v>
      </c>
      <c r="E151" s="104" t="str">
        <f>IF(Table25781014[[#This Row],[Line Section]]="","",VLOOKUP(Table25781014[[#This Row],[Line Section]],Reference!$A$2:$B$47,2,FALSE))</f>
        <v>C151</v>
      </c>
      <c r="F151" s="157"/>
      <c r="G151" s="250"/>
      <c r="H151" s="69" t="s">
        <v>533</v>
      </c>
      <c r="I151" s="54" t="s">
        <v>101</v>
      </c>
      <c r="J151" s="60">
        <v>17.95</v>
      </c>
      <c r="K151" s="60">
        <v>18.5</v>
      </c>
      <c r="L151" s="44">
        <f>IF(Table25781014[[#This Row],[End
(km)]]="","",Table25781014[[#This Row],[End
(km)]]-Table25781014[[#This Row],[Start
(km)]])</f>
        <v>0.55000000000000071</v>
      </c>
      <c r="M151" s="61" t="s">
        <v>126</v>
      </c>
      <c r="N151" s="59" t="s">
        <v>113</v>
      </c>
      <c r="O151" s="272" t="s">
        <v>113</v>
      </c>
      <c r="P151" s="64">
        <v>43304</v>
      </c>
      <c r="Q151" s="307">
        <v>43682</v>
      </c>
      <c r="R151" s="57"/>
      <c r="S151" s="55" t="s">
        <v>121</v>
      </c>
      <c r="T151" s="66"/>
      <c r="U151" s="308"/>
      <c r="V151" s="312"/>
      <c r="W151" s="67"/>
      <c r="X151" s="77" t="s">
        <v>703</v>
      </c>
      <c r="Y151" s="327" t="s">
        <v>448</v>
      </c>
      <c r="Z151" s="81" t="s">
        <v>573</v>
      </c>
      <c r="AA151" s="342">
        <v>43640</v>
      </c>
      <c r="AB151" s="96"/>
      <c r="AC151" s="96"/>
      <c r="AD151" s="314" t="str">
        <f>IF(Table25781014[[#This Row],[End Completed Section (km)]]="","",Table25781014[[#This Row],[End Completed Section (km)]]-Table25781014[[#This Row],[Start Completed Section (km)]])</f>
        <v/>
      </c>
      <c r="AE151" s="161"/>
      <c r="AF15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51" s="229" t="str">
        <f>IF(Table25781014[[#This Row],[Planned Date]]="","",TEXT(Table25781014[[#This Row],[Planned Date]],"mmm"))</f>
        <v/>
      </c>
      <c r="AH151" s="252" t="str">
        <f>IF(Table25781014[[#This Row],[Month]]="","",VLOOKUP(Table25781014[[#This Row],[Month]],List!$B$2:$C$13,2,FALSE))</f>
        <v/>
      </c>
    </row>
    <row r="152" spans="1:34" ht="63.75" x14ac:dyDescent="0.2">
      <c r="A152" s="98" t="s">
        <v>116</v>
      </c>
      <c r="B152" s="305">
        <v>2</v>
      </c>
      <c r="C152" s="67" t="s">
        <v>166</v>
      </c>
      <c r="D152" s="59" t="s">
        <v>19</v>
      </c>
      <c r="E152" s="104" t="str">
        <f>IF(Table25781014[[#This Row],[Line Section]]="","",VLOOKUP(Table25781014[[#This Row],[Line Section]],Reference!$A$2:$B$47,2,FALSE))</f>
        <v>C012</v>
      </c>
      <c r="F152" s="157">
        <v>43640</v>
      </c>
      <c r="G152" s="250"/>
      <c r="H152" s="69" t="s">
        <v>533</v>
      </c>
      <c r="I152" s="54" t="s">
        <v>101</v>
      </c>
      <c r="J152" s="60">
        <v>18.5</v>
      </c>
      <c r="K152" s="60">
        <v>18.605</v>
      </c>
      <c r="L152" s="44">
        <f>IF(Table25781014[[#This Row],[End
(km)]]="","",Table25781014[[#This Row],[End
(km)]]-Table25781014[[#This Row],[Start
(km)]])</f>
        <v>0.10500000000000043</v>
      </c>
      <c r="M152" s="61" t="s">
        <v>179</v>
      </c>
      <c r="N152" s="59" t="s">
        <v>113</v>
      </c>
      <c r="O152" s="272" t="s">
        <v>113</v>
      </c>
      <c r="P152" s="64">
        <v>43276</v>
      </c>
      <c r="Q152" s="307">
        <v>43682</v>
      </c>
      <c r="R152" s="57" t="s">
        <v>121</v>
      </c>
      <c r="S152" s="55"/>
      <c r="T152" s="66"/>
      <c r="U152" s="308"/>
      <c r="V152" s="312"/>
      <c r="W152" s="67"/>
      <c r="X152" s="78" t="s">
        <v>610</v>
      </c>
      <c r="Y152" s="332"/>
      <c r="Z152" s="110" t="s">
        <v>121</v>
      </c>
      <c r="AA152" s="342">
        <v>43646</v>
      </c>
      <c r="AB152" s="96">
        <v>18.489999999999998</v>
      </c>
      <c r="AC152" s="96">
        <v>18.59</v>
      </c>
      <c r="AD152" s="314">
        <f>IF(Table25781014[[#This Row],[End Completed Section (km)]]="","",Table25781014[[#This Row],[End Completed Section (km)]]-Table25781014[[#This Row],[Start Completed Section (km)]])</f>
        <v>0.10000000000000142</v>
      </c>
      <c r="AE152" s="161">
        <v>43638</v>
      </c>
      <c r="AF15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152" s="229" t="str">
        <f>IF(Table25781014[[#This Row],[Planned Date]]="","",TEXT(Table25781014[[#This Row],[Planned Date]],"mmm"))</f>
        <v>Jun</v>
      </c>
      <c r="AH152" s="252">
        <f>IF(Table25781014[[#This Row],[Month]]="","",VLOOKUP(Table25781014[[#This Row],[Month]],List!$B$2:$C$13,2,FALSE))</f>
        <v>12</v>
      </c>
    </row>
    <row r="153" spans="1:34" s="56" customFormat="1" ht="25.5" x14ac:dyDescent="0.2">
      <c r="A153" s="98" t="s">
        <v>116</v>
      </c>
      <c r="B153" s="415"/>
      <c r="C153" s="67" t="s">
        <v>166</v>
      </c>
      <c r="D153" s="59" t="s">
        <v>19</v>
      </c>
      <c r="E153" s="100" t="str">
        <f>IF(Table25781014[[#This Row],[Line Section]]="","",VLOOKUP(Table25781014[[#This Row],[Line Section]],Reference!$A$2:$B$47,2,FALSE))</f>
        <v>C012</v>
      </c>
      <c r="F153" s="157"/>
      <c r="G153" s="440"/>
      <c r="H153" s="416"/>
      <c r="I153" s="54" t="s">
        <v>101</v>
      </c>
      <c r="J153" s="60">
        <v>18.75</v>
      </c>
      <c r="K153" s="60">
        <v>19.2</v>
      </c>
      <c r="L153" s="53">
        <f>IF(Table25781014[[#This Row],[End
(km)]]="","",Table25781014[[#This Row],[End
(km)]]-Table25781014[[#This Row],[Start
(km)]])</f>
        <v>0.44999999999999929</v>
      </c>
      <c r="M153" s="61" t="s">
        <v>189</v>
      </c>
      <c r="N153" s="59"/>
      <c r="O153" s="295"/>
      <c r="P153" s="64">
        <v>43663</v>
      </c>
      <c r="Q153" s="417"/>
      <c r="R153" s="57"/>
      <c r="S153" s="55"/>
      <c r="T153" s="66"/>
      <c r="U153" s="418"/>
      <c r="V153" s="419"/>
      <c r="W153" s="67" t="s">
        <v>838</v>
      </c>
      <c r="X153" s="77" t="s">
        <v>837</v>
      </c>
      <c r="Y153" s="456"/>
      <c r="Z153" s="159"/>
      <c r="AA153" s="420"/>
      <c r="AB153" s="96"/>
      <c r="AC153" s="96"/>
      <c r="AD153" s="421" t="str">
        <f>IF(Table25781014[[#This Row],[End Completed Section (km)]]="","",Table25781014[[#This Row],[End Completed Section (km)]]-Table25781014[[#This Row],[Start Completed Section (km)]])</f>
        <v/>
      </c>
      <c r="AE153" s="161"/>
      <c r="AF15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53" s="229" t="str">
        <f>IF(Table25781014[[#This Row],[Planned Date]]="","",TEXT(Table25781014[[#This Row],[Planned Date]],"mmm"))</f>
        <v/>
      </c>
      <c r="AH153" s="252" t="str">
        <f>IF(Table25781014[[#This Row],[Month]]="","",VLOOKUP(Table25781014[[#This Row],[Month]],List!$B$2:$C$13,2,FALSE))</f>
        <v/>
      </c>
    </row>
    <row r="154" spans="1:34" ht="51" x14ac:dyDescent="0.2">
      <c r="A154" s="98" t="s">
        <v>116</v>
      </c>
      <c r="B154" s="305"/>
      <c r="C154" s="67" t="s">
        <v>166</v>
      </c>
      <c r="D154" s="59" t="s">
        <v>130</v>
      </c>
      <c r="E154" s="104" t="str">
        <f>IF(Table25781014[[#This Row],[Line Section]]="","",VLOOKUP(Table25781014[[#This Row],[Line Section]],Reference!$A$2:$B$47,2,FALSE))</f>
        <v>C151</v>
      </c>
      <c r="F154" s="157"/>
      <c r="G154" s="250"/>
      <c r="H154" s="311"/>
      <c r="I154" s="54" t="s">
        <v>101</v>
      </c>
      <c r="J154" s="60">
        <v>18.88</v>
      </c>
      <c r="K154" s="60">
        <v>19.05</v>
      </c>
      <c r="L154" s="44">
        <f>IF(Table25781014[[#This Row],[End
(km)]]="","",Table25781014[[#This Row],[End
(km)]]-Table25781014[[#This Row],[Start
(km)]])</f>
        <v>0.17000000000000171</v>
      </c>
      <c r="M154" s="61" t="s">
        <v>126</v>
      </c>
      <c r="N154" s="59" t="s">
        <v>109</v>
      </c>
      <c r="O154" s="272"/>
      <c r="P154" s="64">
        <v>43304</v>
      </c>
      <c r="Q154" s="307"/>
      <c r="R154" s="57"/>
      <c r="S154" s="55"/>
      <c r="T154" s="66"/>
      <c r="U154" s="308"/>
      <c r="V154" s="312"/>
      <c r="W154" s="67"/>
      <c r="X154" s="77" t="s">
        <v>699</v>
      </c>
      <c r="Y154" s="330" t="s">
        <v>448</v>
      </c>
      <c r="Z154" s="81" t="s">
        <v>139</v>
      </c>
      <c r="AA154" s="323"/>
      <c r="AB154" s="96"/>
      <c r="AC154" s="96"/>
      <c r="AD154" s="314" t="str">
        <f>IF(Table25781014[[#This Row],[End Completed Section (km)]]="","",Table25781014[[#This Row],[End Completed Section (km)]]-Table25781014[[#This Row],[Start Completed Section (km)]])</f>
        <v/>
      </c>
      <c r="AE154" s="161"/>
      <c r="AF15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54" s="229" t="str">
        <f>IF(Table25781014[[#This Row],[Planned Date]]="","",TEXT(Table25781014[[#This Row],[Planned Date]],"mmm"))</f>
        <v/>
      </c>
      <c r="AH154" s="252" t="str">
        <f>IF(Table25781014[[#This Row],[Month]]="","",VLOOKUP(Table25781014[[#This Row],[Month]],List!$B$2:$C$13,2,FALSE))</f>
        <v/>
      </c>
    </row>
    <row r="155" spans="1:34" x14ac:dyDescent="0.2">
      <c r="A155" s="98" t="s">
        <v>117</v>
      </c>
      <c r="B155" s="305"/>
      <c r="C155" s="67" t="s">
        <v>166</v>
      </c>
      <c r="D155" s="99" t="s">
        <v>261</v>
      </c>
      <c r="E155" s="104" t="str">
        <f>IF(Table25781014[[#This Row],[Line Section]]="","",VLOOKUP(Table25781014[[#This Row],[Line Section]],Reference!$A$2:$B$47,2,FALSE))</f>
        <v>C151</v>
      </c>
      <c r="F155" s="157"/>
      <c r="G155" s="250"/>
      <c r="H155" s="311"/>
      <c r="I155" s="54" t="s">
        <v>94</v>
      </c>
      <c r="J155" s="60">
        <v>19.8</v>
      </c>
      <c r="K155" s="60">
        <v>20</v>
      </c>
      <c r="L155" s="88">
        <f>IF(Table25781014[[#This Row],[End
(km)]]="","",Table25781014[[#This Row],[End
(km)]]-Table25781014[[#This Row],[Start
(km)]])</f>
        <v>0.19999999999999929</v>
      </c>
      <c r="M155" s="61" t="s">
        <v>126</v>
      </c>
      <c r="N155" s="59"/>
      <c r="O155" s="272" t="s">
        <v>113</v>
      </c>
      <c r="P155" s="64">
        <v>43469</v>
      </c>
      <c r="Q155" s="307"/>
      <c r="R155" s="57"/>
      <c r="S155" s="55"/>
      <c r="T155" s="66"/>
      <c r="U155" s="308"/>
      <c r="V155" s="312"/>
      <c r="W155" s="67"/>
      <c r="X155" s="77"/>
      <c r="Y155" s="332"/>
      <c r="Z155" s="93" t="s">
        <v>188</v>
      </c>
      <c r="AA155" s="320"/>
      <c r="AB155" s="96"/>
      <c r="AC155" s="96"/>
      <c r="AD155" s="314" t="str">
        <f>IF(Table25781014[[#This Row],[End Completed Section (km)]]="","",Table25781014[[#This Row],[End Completed Section (km)]]-Table25781014[[#This Row],[Start Completed Section (km)]])</f>
        <v/>
      </c>
      <c r="AE155" s="72"/>
      <c r="AF15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55" s="229" t="str">
        <f>IF(Table25781014[[#This Row],[Planned Date]]="","",TEXT(Table25781014[[#This Row],[Planned Date]],"mmm"))</f>
        <v/>
      </c>
      <c r="AH155" s="252" t="str">
        <f>IF(Table25781014[[#This Row],[Month]]="","",VLOOKUP(Table25781014[[#This Row],[Month]],List!$B$2:$C$13,2,FALSE))</f>
        <v/>
      </c>
    </row>
    <row r="156" spans="1:34" x14ac:dyDescent="0.2">
      <c r="A156" s="98" t="s">
        <v>117</v>
      </c>
      <c r="B156" s="305"/>
      <c r="C156" s="67" t="s">
        <v>166</v>
      </c>
      <c r="D156" s="59" t="s">
        <v>130</v>
      </c>
      <c r="E156" s="104" t="str">
        <f>IF(Table25781014[[#This Row],[Line Section]]="","",VLOOKUP(Table25781014[[#This Row],[Line Section]],Reference!$A$2:$B$47,2,FALSE))</f>
        <v>C151</v>
      </c>
      <c r="F156" s="157"/>
      <c r="G156" s="250"/>
      <c r="H156" s="311"/>
      <c r="I156" s="54" t="s">
        <v>93</v>
      </c>
      <c r="J156" s="60">
        <v>21.22</v>
      </c>
      <c r="K156" s="60">
        <v>21.28</v>
      </c>
      <c r="L156" s="44">
        <f>IF(Table25781014[[#This Row],[End
(km)]]="","",Table25781014[[#This Row],[End
(km)]]-Table25781014[[#This Row],[Start
(km)]])</f>
        <v>6.0000000000002274E-2</v>
      </c>
      <c r="M156" s="61" t="s">
        <v>126</v>
      </c>
      <c r="N156" s="59" t="s">
        <v>113</v>
      </c>
      <c r="O156" s="272" t="s">
        <v>111</v>
      </c>
      <c r="P156" s="64">
        <v>43231</v>
      </c>
      <c r="Q156" s="307">
        <v>43469</v>
      </c>
      <c r="R156" s="57"/>
      <c r="S156" s="55"/>
      <c r="T156" s="66"/>
      <c r="U156" s="308"/>
      <c r="V156" s="312"/>
      <c r="W156" s="67" t="s">
        <v>318</v>
      </c>
      <c r="X156" s="77"/>
      <c r="Y156" s="332"/>
      <c r="Z156" s="57" t="s">
        <v>122</v>
      </c>
      <c r="AA156" s="313"/>
      <c r="AB156" s="96"/>
      <c r="AC156" s="96"/>
      <c r="AD156" s="314" t="str">
        <f>IF(Table25781014[[#This Row],[End Completed Section (km)]]="","",Table25781014[[#This Row],[End Completed Section (km)]]-Table25781014[[#This Row],[Start Completed Section (km)]])</f>
        <v/>
      </c>
      <c r="AE156" s="72"/>
      <c r="AF15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56" s="229" t="str">
        <f>IF(Table25781014[[#This Row],[Planned Date]]="","",TEXT(Table25781014[[#This Row],[Planned Date]],"mmm"))</f>
        <v/>
      </c>
      <c r="AH156" s="252" t="str">
        <f>IF(Table25781014[[#This Row],[Month]]="","",VLOOKUP(Table25781014[[#This Row],[Month]],List!$B$2:$C$13,2,FALSE))</f>
        <v/>
      </c>
    </row>
    <row r="157" spans="1:34" ht="25.5" x14ac:dyDescent="0.2">
      <c r="A157" s="98" t="s">
        <v>116</v>
      </c>
      <c r="B157" s="305"/>
      <c r="C157" s="67" t="s">
        <v>166</v>
      </c>
      <c r="D157" s="59" t="s">
        <v>130</v>
      </c>
      <c r="E157" s="104" t="str">
        <f>IF(Table25781014[[#This Row],[Line Section]]="","",VLOOKUP(Table25781014[[#This Row],[Line Section]],Reference!$A$2:$B$47,2,FALSE))</f>
        <v>C151</v>
      </c>
      <c r="F157" s="157"/>
      <c r="G157" s="250"/>
      <c r="H157" s="311"/>
      <c r="I157" s="54" t="s">
        <v>101</v>
      </c>
      <c r="J157" s="60">
        <v>21.45</v>
      </c>
      <c r="K157" s="60">
        <v>21.92</v>
      </c>
      <c r="L157" s="44">
        <f>IF(Table25781014[[#This Row],[End
(km)]]="","",Table25781014[[#This Row],[End
(km)]]-Table25781014[[#This Row],[Start
(km)]])</f>
        <v>0.47000000000000242</v>
      </c>
      <c r="M157" s="61" t="s">
        <v>126</v>
      </c>
      <c r="N157" s="59" t="s">
        <v>110</v>
      </c>
      <c r="O157" s="59" t="s">
        <v>109</v>
      </c>
      <c r="P157" s="64">
        <v>43304</v>
      </c>
      <c r="Q157" s="307"/>
      <c r="R157" s="57"/>
      <c r="S157" s="55"/>
      <c r="T157" s="66"/>
      <c r="U157" s="308"/>
      <c r="V157" s="312"/>
      <c r="W157" s="67" t="s">
        <v>466</v>
      </c>
      <c r="X157" s="77" t="s">
        <v>611</v>
      </c>
      <c r="Y157" s="330" t="s">
        <v>448</v>
      </c>
      <c r="Z157" s="81" t="s">
        <v>139</v>
      </c>
      <c r="AA157" s="323"/>
      <c r="AB157" s="96"/>
      <c r="AC157" s="96"/>
      <c r="AD157" s="314" t="str">
        <f>IF(Table25781014[[#This Row],[End Completed Section (km)]]="","",Table25781014[[#This Row],[End Completed Section (km)]]-Table25781014[[#This Row],[Start Completed Section (km)]])</f>
        <v/>
      </c>
      <c r="AE157" s="161"/>
      <c r="AF15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57" s="229" t="str">
        <f>IF(Table25781014[[#This Row],[Planned Date]]="","",TEXT(Table25781014[[#This Row],[Planned Date]],"mmm"))</f>
        <v/>
      </c>
      <c r="AH157" s="252" t="str">
        <f>IF(Table25781014[[#This Row],[Month]]="","",VLOOKUP(Table25781014[[#This Row],[Month]],List!$B$2:$C$13,2,FALSE))</f>
        <v/>
      </c>
    </row>
    <row r="158" spans="1:34" s="56" customFormat="1" x14ac:dyDescent="0.2">
      <c r="A158" s="98" t="s">
        <v>116</v>
      </c>
      <c r="B158" s="305"/>
      <c r="C158" s="67" t="s">
        <v>166</v>
      </c>
      <c r="D158" s="99" t="s">
        <v>261</v>
      </c>
      <c r="E158" s="100" t="str">
        <f>IF(Table25781014[[#This Row],[Line Section]]="","",VLOOKUP(Table25781014[[#This Row],[Line Section]],Reference!$A$2:$B$47,2,FALSE))</f>
        <v>C151</v>
      </c>
      <c r="F158" s="157"/>
      <c r="G158" s="440"/>
      <c r="H158" s="306"/>
      <c r="I158" s="54" t="s">
        <v>94</v>
      </c>
      <c r="J158" s="60">
        <v>21.55</v>
      </c>
      <c r="K158" s="60">
        <v>21.85</v>
      </c>
      <c r="L158" s="102">
        <f>IF(Table25781014[[#This Row],[End
(km)]]="","",Table25781014[[#This Row],[End
(km)]]-Table25781014[[#This Row],[Start
(km)]])</f>
        <v>0.30000000000000071</v>
      </c>
      <c r="M158" s="61" t="s">
        <v>126</v>
      </c>
      <c r="N158" s="59"/>
      <c r="O158" s="295" t="s">
        <v>113</v>
      </c>
      <c r="P158" s="64">
        <v>43469</v>
      </c>
      <c r="Q158" s="307">
        <v>43481</v>
      </c>
      <c r="R158" s="57"/>
      <c r="S158" s="55"/>
      <c r="T158" s="66"/>
      <c r="U158" s="308"/>
      <c r="V158" s="309"/>
      <c r="W158" s="67" t="s">
        <v>603</v>
      </c>
      <c r="X158" s="77" t="s">
        <v>700</v>
      </c>
      <c r="Y158" s="326"/>
      <c r="Z158" s="103" t="s">
        <v>139</v>
      </c>
      <c r="AA158" s="320"/>
      <c r="AB158" s="96"/>
      <c r="AC158" s="96"/>
      <c r="AD158" s="310" t="str">
        <f>IF(Table25781014[[#This Row],[End Completed Section (km)]]="","",Table25781014[[#This Row],[End Completed Section (km)]]-Table25781014[[#This Row],[Start Completed Section (km)]])</f>
        <v/>
      </c>
      <c r="AE158" s="72"/>
      <c r="AF15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58" s="229" t="str">
        <f>IF(Table25781014[[#This Row],[Planned Date]]="","",TEXT(Table25781014[[#This Row],[Planned Date]],"mmm"))</f>
        <v/>
      </c>
      <c r="AH158" s="252" t="str">
        <f>IF(Table25781014[[#This Row],[Month]]="","",VLOOKUP(Table25781014[[#This Row],[Month]],List!$B$2:$C$13,2,FALSE))</f>
        <v/>
      </c>
    </row>
    <row r="159" spans="1:34" ht="38.25" x14ac:dyDescent="0.2">
      <c r="A159" s="98" t="s">
        <v>116</v>
      </c>
      <c r="B159" s="305"/>
      <c r="C159" s="67" t="s">
        <v>166</v>
      </c>
      <c r="D159" s="59" t="s">
        <v>130</v>
      </c>
      <c r="E159" s="104" t="str">
        <f>IF(Table25781014[[#This Row],[Line Section]]="","",VLOOKUP(Table25781014[[#This Row],[Line Section]],Reference!$A$2:$B$47,2,FALSE))</f>
        <v>C151</v>
      </c>
      <c r="F159" s="157"/>
      <c r="G159" s="250"/>
      <c r="H159" s="311"/>
      <c r="I159" s="54" t="s">
        <v>93</v>
      </c>
      <c r="J159" s="60">
        <v>22.02</v>
      </c>
      <c r="K159" s="60">
        <v>22.22</v>
      </c>
      <c r="L159" s="44">
        <f>IF(Table25781014[[#This Row],[End
(km)]]="","",Table25781014[[#This Row],[End
(km)]]-Table25781014[[#This Row],[Start
(km)]])</f>
        <v>0.19999999999999929</v>
      </c>
      <c r="M159" s="61" t="s">
        <v>126</v>
      </c>
      <c r="N159" s="59" t="s">
        <v>113</v>
      </c>
      <c r="O159" s="272"/>
      <c r="P159" s="64">
        <v>43231</v>
      </c>
      <c r="Q159" s="307">
        <v>43276</v>
      </c>
      <c r="R159" s="57"/>
      <c r="S159" s="55"/>
      <c r="T159" s="66"/>
      <c r="U159" s="308"/>
      <c r="V159" s="312"/>
      <c r="W159" s="67" t="s">
        <v>319</v>
      </c>
      <c r="X159" s="77" t="s">
        <v>446</v>
      </c>
      <c r="Y159" s="332"/>
      <c r="Z159" s="81" t="s">
        <v>139</v>
      </c>
      <c r="AA159" s="323"/>
      <c r="AB159" s="96"/>
      <c r="AC159" s="96"/>
      <c r="AD159" s="314" t="str">
        <f>IF(Table25781014[[#This Row],[End Completed Section (km)]]="","",Table25781014[[#This Row],[End Completed Section (km)]]-Table25781014[[#This Row],[Start Completed Section (km)]])</f>
        <v/>
      </c>
      <c r="AE159" s="72"/>
      <c r="AF15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59" s="229" t="str">
        <f>IF(Table25781014[[#This Row],[Planned Date]]="","",TEXT(Table25781014[[#This Row],[Planned Date]],"mmm"))</f>
        <v/>
      </c>
      <c r="AH159" s="252" t="str">
        <f>IF(Table25781014[[#This Row],[Month]]="","",VLOOKUP(Table25781014[[#This Row],[Month]],List!$B$2:$C$13,2,FALSE))</f>
        <v/>
      </c>
    </row>
    <row r="160" spans="1:34" s="56" customFormat="1" ht="63.75" x14ac:dyDescent="0.2">
      <c r="A160" s="98" t="s">
        <v>117</v>
      </c>
      <c r="B160" s="427"/>
      <c r="C160" s="67" t="s">
        <v>166</v>
      </c>
      <c r="D160" s="59" t="s">
        <v>130</v>
      </c>
      <c r="E160" s="100" t="str">
        <f>IF(Table25781014[[#This Row],[Line Section]]="","",VLOOKUP(Table25781014[[#This Row],[Line Section]],Reference!$A$2:$B$47,2,FALSE))</f>
        <v>C151</v>
      </c>
      <c r="F160" s="157" t="s">
        <v>651</v>
      </c>
      <c r="G160" s="440"/>
      <c r="H160" s="428"/>
      <c r="I160" s="54" t="s">
        <v>94</v>
      </c>
      <c r="J160" s="60">
        <v>22.3</v>
      </c>
      <c r="K160" s="60">
        <v>22.9</v>
      </c>
      <c r="L160" s="53">
        <f>IF(Table25781014[[#This Row],[End
(km)]]="","",Table25781014[[#This Row],[End
(km)]]-Table25781014[[#This Row],[Start
(km)]])</f>
        <v>0.59999999999999787</v>
      </c>
      <c r="M160" s="61" t="s">
        <v>725</v>
      </c>
      <c r="N160" s="59"/>
      <c r="O160" s="295" t="s">
        <v>111</v>
      </c>
      <c r="P160" s="64">
        <v>43683</v>
      </c>
      <c r="Q160" s="429"/>
      <c r="R160" s="57"/>
      <c r="S160" s="55"/>
      <c r="T160" s="66"/>
      <c r="U160" s="430"/>
      <c r="V160" s="436"/>
      <c r="W160" s="67"/>
      <c r="X160" s="77" t="s">
        <v>864</v>
      </c>
      <c r="Y160" s="46"/>
      <c r="Z160" s="80" t="s">
        <v>122</v>
      </c>
      <c r="AA160" s="431"/>
      <c r="AB160" s="96"/>
      <c r="AC160" s="96"/>
      <c r="AD160" s="437" t="str">
        <f>IF(Table25781014[[#This Row],[End Completed Section (km)]]="","",Table25781014[[#This Row],[End Completed Section (km)]]-Table25781014[[#This Row],[Start Completed Section (km)]])</f>
        <v/>
      </c>
      <c r="AE160" s="72"/>
      <c r="AF160"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160" s="229" t="str">
        <f>IF(Table25781014[[#This Row],[Planned Date]]="","",TEXT(Table25781014[[#This Row],[Planned Date]],"mmm"))</f>
        <v>21/22</v>
      </c>
      <c r="AH160" s="252" t="e">
        <f>IF(Table25781014[[#This Row],[Month]]="","",VLOOKUP(Table25781014[[#This Row],[Month]],List!$B$2:$C$13,2,FALSE))</f>
        <v>#N/A</v>
      </c>
    </row>
    <row r="161" spans="1:34" s="56" customFormat="1" ht="114.75" x14ac:dyDescent="0.2">
      <c r="A161" s="98" t="s">
        <v>116</v>
      </c>
      <c r="B161" s="305"/>
      <c r="C161" s="67" t="s">
        <v>166</v>
      </c>
      <c r="D161" s="59" t="s">
        <v>130</v>
      </c>
      <c r="E161" s="100" t="str">
        <f>IF(Table25781014[[#This Row],[Line Section]]="","",VLOOKUP(Table25781014[[#This Row],[Line Section]],Reference!$A$2:$B$47,2,FALSE))</f>
        <v>C151</v>
      </c>
      <c r="F161" s="157">
        <v>43541</v>
      </c>
      <c r="G161" s="440"/>
      <c r="H161" s="306" t="s">
        <v>533</v>
      </c>
      <c r="I161" s="54" t="s">
        <v>94</v>
      </c>
      <c r="J161" s="60">
        <v>24.87</v>
      </c>
      <c r="K161" s="60">
        <v>25.145</v>
      </c>
      <c r="L161" s="53">
        <f>IF(Table25781014[[#This Row],[End
(km)]]="","",Table25781014[[#This Row],[End
(km)]]-Table25781014[[#This Row],[Start
(km)]])</f>
        <v>0.27499999999999858</v>
      </c>
      <c r="M161" s="61" t="s">
        <v>146</v>
      </c>
      <c r="N161" s="59" t="s">
        <v>113</v>
      </c>
      <c r="O161" s="295" t="s">
        <v>113</v>
      </c>
      <c r="P161" s="64">
        <v>43243</v>
      </c>
      <c r="Q161" s="307">
        <v>43469</v>
      </c>
      <c r="R161" s="57" t="s">
        <v>121</v>
      </c>
      <c r="S161" s="55" t="s">
        <v>121</v>
      </c>
      <c r="T161" s="66" t="s">
        <v>121</v>
      </c>
      <c r="U161" s="308" t="s">
        <v>121</v>
      </c>
      <c r="V161" s="309"/>
      <c r="W161" s="67" t="s">
        <v>447</v>
      </c>
      <c r="X161" s="77" t="s">
        <v>741</v>
      </c>
      <c r="Y161" s="327" t="s">
        <v>394</v>
      </c>
      <c r="Z161" s="80" t="s">
        <v>121</v>
      </c>
      <c r="AA161" s="323"/>
      <c r="AB161" s="96">
        <v>24.49</v>
      </c>
      <c r="AC161" s="96">
        <v>25.02</v>
      </c>
      <c r="AD161" s="310">
        <f>IF(Table25781014[[#This Row],[End Completed Section (km)]]="","",Table25781014[[#This Row],[End Completed Section (km)]]-Table25781014[[#This Row],[Start Completed Section (km)]])</f>
        <v>0.53000000000000114</v>
      </c>
      <c r="AE161" s="72">
        <v>43533</v>
      </c>
      <c r="AF16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161" s="229" t="str">
        <f>IF(Table25781014[[#This Row],[Planned Date]]="","",TEXT(Table25781014[[#This Row],[Planned Date]],"mmm"))</f>
        <v>Mar</v>
      </c>
      <c r="AH161" s="252">
        <f>IF(Table25781014[[#This Row],[Month]]="","",VLOOKUP(Table25781014[[#This Row],[Month]],List!$B$2:$C$13,2,FALSE))</f>
        <v>9</v>
      </c>
    </row>
    <row r="162" spans="1:34" ht="25.5" x14ac:dyDescent="0.2">
      <c r="A162" s="98" t="s">
        <v>118</v>
      </c>
      <c r="B162" s="305"/>
      <c r="C162" s="67" t="s">
        <v>166</v>
      </c>
      <c r="D162" s="59" t="s">
        <v>130</v>
      </c>
      <c r="E162" s="104" t="str">
        <f>IF(Table25781014[[#This Row],[Line Section]]="","",VLOOKUP(Table25781014[[#This Row],[Line Section]],Reference!$A$2:$B$47,2,FALSE))</f>
        <v>C151</v>
      </c>
      <c r="F162" s="157"/>
      <c r="G162" s="250"/>
      <c r="H162" s="311"/>
      <c r="I162" s="54" t="s">
        <v>93</v>
      </c>
      <c r="J162" s="60">
        <v>24.87</v>
      </c>
      <c r="K162" s="60">
        <v>25.145</v>
      </c>
      <c r="L162" s="44">
        <f>IF(Table25781014[[#This Row],[End
(km)]]="","",Table25781014[[#This Row],[End
(km)]]-Table25781014[[#This Row],[Start
(km)]])</f>
        <v>0.27499999999999858</v>
      </c>
      <c r="M162" s="61" t="s">
        <v>129</v>
      </c>
      <c r="N162" s="59" t="s">
        <v>113</v>
      </c>
      <c r="O162" s="272" t="s">
        <v>113</v>
      </c>
      <c r="P162" s="64">
        <v>43276</v>
      </c>
      <c r="Q162" s="307">
        <v>43469</v>
      </c>
      <c r="R162" s="61" t="s">
        <v>121</v>
      </c>
      <c r="S162" s="55"/>
      <c r="T162" s="66"/>
      <c r="U162" s="308"/>
      <c r="V162" s="312"/>
      <c r="W162" s="67" t="s">
        <v>447</v>
      </c>
      <c r="X162" s="77" t="s">
        <v>596</v>
      </c>
      <c r="Y162" s="332"/>
      <c r="Z162" s="110" t="s">
        <v>122</v>
      </c>
      <c r="AA162" s="323"/>
      <c r="AB162" s="96"/>
      <c r="AC162" s="96"/>
      <c r="AD162" s="314" t="str">
        <f>IF(Table25781014[[#This Row],[End Completed Section (km)]]="","",Table25781014[[#This Row],[End Completed Section (km)]]-Table25781014[[#This Row],[Start Completed Section (km)]])</f>
        <v/>
      </c>
      <c r="AE162" s="72"/>
      <c r="AF16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62" s="229" t="str">
        <f>IF(Table25781014[[#This Row],[Planned Date]]="","",TEXT(Table25781014[[#This Row],[Planned Date]],"mmm"))</f>
        <v/>
      </c>
      <c r="AH162" s="252" t="str">
        <f>IF(Table25781014[[#This Row],[Month]]="","",VLOOKUP(Table25781014[[#This Row],[Month]],List!$B$2:$C$13,2,FALSE))</f>
        <v/>
      </c>
    </row>
    <row r="163" spans="1:34" x14ac:dyDescent="0.2">
      <c r="A163" s="98" t="s">
        <v>117</v>
      </c>
      <c r="B163" s="305"/>
      <c r="C163" s="67" t="s">
        <v>166</v>
      </c>
      <c r="D163" s="59" t="s">
        <v>130</v>
      </c>
      <c r="E163" s="104" t="str">
        <f>IF(Table25781014[[#This Row],[Line Section]]="","",VLOOKUP(Table25781014[[#This Row],[Line Section]],Reference!$A$2:$B$47,2,FALSE))</f>
        <v>C151</v>
      </c>
      <c r="F163" s="157"/>
      <c r="G163" s="250"/>
      <c r="H163" s="311"/>
      <c r="I163" s="54" t="s">
        <v>93</v>
      </c>
      <c r="J163" s="60">
        <v>25.85</v>
      </c>
      <c r="K163" s="60">
        <v>26.15</v>
      </c>
      <c r="L163" s="44">
        <f>IF(Table25781014[[#This Row],[End
(km)]]="","",Table25781014[[#This Row],[End
(km)]]-Table25781014[[#This Row],[Start
(km)]])</f>
        <v>0.29999999999999716</v>
      </c>
      <c r="M163" s="61" t="s">
        <v>126</v>
      </c>
      <c r="N163" s="59" t="s">
        <v>113</v>
      </c>
      <c r="O163" s="272" t="s">
        <v>113</v>
      </c>
      <c r="P163" s="64">
        <v>43231</v>
      </c>
      <c r="Q163" s="307">
        <v>43469</v>
      </c>
      <c r="R163" s="57"/>
      <c r="S163" s="55"/>
      <c r="T163" s="66"/>
      <c r="U163" s="308"/>
      <c r="V163" s="312"/>
      <c r="W163" s="67" t="s">
        <v>320</v>
      </c>
      <c r="X163" s="77"/>
      <c r="Y163" s="332"/>
      <c r="Z163" s="81" t="s">
        <v>122</v>
      </c>
      <c r="AA163" s="323"/>
      <c r="AB163" s="96"/>
      <c r="AC163" s="96"/>
      <c r="AD163" s="314" t="str">
        <f>IF(Table25781014[[#This Row],[End Completed Section (km)]]="","",Table25781014[[#This Row],[End Completed Section (km)]]-Table25781014[[#This Row],[Start Completed Section (km)]])</f>
        <v/>
      </c>
      <c r="AE163" s="72"/>
      <c r="AF16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63" s="229" t="str">
        <f>IF(Table25781014[[#This Row],[Planned Date]]="","",TEXT(Table25781014[[#This Row],[Planned Date]],"mmm"))</f>
        <v/>
      </c>
      <c r="AH163" s="252" t="str">
        <f>IF(Table25781014[[#This Row],[Month]]="","",VLOOKUP(Table25781014[[#This Row],[Month]],List!$B$2:$C$13,2,FALSE))</f>
        <v/>
      </c>
    </row>
    <row r="164" spans="1:34" x14ac:dyDescent="0.2">
      <c r="A164" s="98" t="s">
        <v>117</v>
      </c>
      <c r="B164" s="80"/>
      <c r="C164" s="67" t="s">
        <v>166</v>
      </c>
      <c r="D164" s="59" t="s">
        <v>130</v>
      </c>
      <c r="E164" s="104" t="str">
        <f>IF(Table25781014[[#This Row],[Line Section]]="","",VLOOKUP(Table25781014[[#This Row],[Line Section]],Reference!$A$2:$B$47,2,FALSE))</f>
        <v>C151</v>
      </c>
      <c r="F164" s="157"/>
      <c r="G164" s="250"/>
      <c r="H164" s="69"/>
      <c r="I164" s="54" t="s">
        <v>94</v>
      </c>
      <c r="J164" s="60">
        <v>25.9</v>
      </c>
      <c r="K164" s="60">
        <v>26.15</v>
      </c>
      <c r="L164" s="44">
        <f>IF(Table25781014[[#This Row],[End
(km)]]="","",Table25781014[[#This Row],[End
(km)]]-Table25781014[[#This Row],[Start
(km)]])</f>
        <v>0.25</v>
      </c>
      <c r="M164" s="61" t="s">
        <v>126</v>
      </c>
      <c r="N164" s="59"/>
      <c r="O164" s="272" t="s">
        <v>113</v>
      </c>
      <c r="P164" s="64">
        <v>43663</v>
      </c>
      <c r="Q164" s="71"/>
      <c r="R164" s="57"/>
      <c r="S164" s="55"/>
      <c r="T164" s="66"/>
      <c r="U164" s="66"/>
      <c r="V164" s="268"/>
      <c r="W164" s="67" t="s">
        <v>835</v>
      </c>
      <c r="X164" s="77" t="s">
        <v>836</v>
      </c>
      <c r="Y164" s="47"/>
      <c r="Z164" s="81" t="s">
        <v>122</v>
      </c>
      <c r="AA164" s="282"/>
      <c r="AB164" s="96"/>
      <c r="AC164" s="96"/>
      <c r="AD164" s="226" t="str">
        <f>IF(Table25781014[[#This Row],[End Completed Section (km)]]="","",Table25781014[[#This Row],[End Completed Section (km)]]-Table25781014[[#This Row],[Start Completed Section (km)]])</f>
        <v/>
      </c>
      <c r="AE164" s="72"/>
      <c r="AF16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64" s="229" t="str">
        <f>IF(Table25781014[[#This Row],[Planned Date]]="","",TEXT(Table25781014[[#This Row],[Planned Date]],"mmm"))</f>
        <v/>
      </c>
      <c r="AH164" s="252" t="str">
        <f>IF(Table25781014[[#This Row],[Month]]="","",VLOOKUP(Table25781014[[#This Row],[Month]],List!$B$2:$C$13,2,FALSE))</f>
        <v/>
      </c>
    </row>
    <row r="165" spans="1:34" s="56" customFormat="1" x14ac:dyDescent="0.2">
      <c r="A165" s="98" t="s">
        <v>118</v>
      </c>
      <c r="B165" s="305"/>
      <c r="C165" s="67" t="s">
        <v>166</v>
      </c>
      <c r="D165" s="59" t="s">
        <v>130</v>
      </c>
      <c r="E165" s="100" t="str">
        <f>IF(Table25781014[[#This Row],[Line Section]]="","",VLOOKUP(Table25781014[[#This Row],[Line Section]],Reference!$A$2:$B$47,2,FALSE))</f>
        <v>C151</v>
      </c>
      <c r="F165" s="157"/>
      <c r="G165" s="440"/>
      <c r="H165" s="306"/>
      <c r="I165" s="54" t="s">
        <v>93</v>
      </c>
      <c r="J165" s="60">
        <v>27</v>
      </c>
      <c r="K165" s="60">
        <v>27.45</v>
      </c>
      <c r="L165" s="53">
        <f>IF(Table25781014[[#This Row],[End
(km)]]="","",Table25781014[[#This Row],[End
(km)]]-Table25781014[[#This Row],[Start
(km)]])</f>
        <v>0.44999999999999929</v>
      </c>
      <c r="M165" s="61" t="s">
        <v>126</v>
      </c>
      <c r="N165" s="59" t="s">
        <v>113</v>
      </c>
      <c r="O165" s="295" t="s">
        <v>113</v>
      </c>
      <c r="P165" s="64">
        <v>43231</v>
      </c>
      <c r="Q165" s="307">
        <v>43469</v>
      </c>
      <c r="R165" s="57"/>
      <c r="S165" s="55"/>
      <c r="T165" s="66"/>
      <c r="U165" s="308"/>
      <c r="V165" s="309"/>
      <c r="W165" s="67" t="s">
        <v>321</v>
      </c>
      <c r="X165" s="77"/>
      <c r="Y165" s="326"/>
      <c r="Z165" s="80" t="s">
        <v>122</v>
      </c>
      <c r="AA165" s="323"/>
      <c r="AB165" s="96"/>
      <c r="AC165" s="96"/>
      <c r="AD165" s="310" t="str">
        <f>IF(Table25781014[[#This Row],[End Completed Section (km)]]="","",Table25781014[[#This Row],[End Completed Section (km)]]-Table25781014[[#This Row],[Start Completed Section (km)]])</f>
        <v/>
      </c>
      <c r="AE165" s="72"/>
      <c r="AF16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65" s="229" t="str">
        <f>IF(Table25781014[[#This Row],[Planned Date]]="","",TEXT(Table25781014[[#This Row],[Planned Date]],"mmm"))</f>
        <v/>
      </c>
      <c r="AH165" s="252" t="str">
        <f>IF(Table25781014[[#This Row],[Month]]="","",VLOOKUP(Table25781014[[#This Row],[Month]],List!$B$2:$C$13,2,FALSE))</f>
        <v/>
      </c>
    </row>
    <row r="166" spans="1:34" ht="38.25" x14ac:dyDescent="0.2">
      <c r="A166" s="98" t="s">
        <v>118</v>
      </c>
      <c r="B166" s="305"/>
      <c r="C166" s="67" t="s">
        <v>166</v>
      </c>
      <c r="D166" s="59" t="s">
        <v>130</v>
      </c>
      <c r="E166" s="104" t="str">
        <f>IF(Table25781014[[#This Row],[Line Section]]="","",VLOOKUP(Table25781014[[#This Row],[Line Section]],Reference!$A$2:$B$47,2,FALSE))</f>
        <v>C151</v>
      </c>
      <c r="F166" s="157"/>
      <c r="G166" s="250"/>
      <c r="H166" s="311"/>
      <c r="I166" s="54" t="s">
        <v>94</v>
      </c>
      <c r="J166" s="60">
        <v>28</v>
      </c>
      <c r="K166" s="60">
        <v>28.3</v>
      </c>
      <c r="L166" s="44">
        <f>IF(Table25781014[[#This Row],[End
(km)]]="","",Table25781014[[#This Row],[End
(km)]]-Table25781014[[#This Row],[Start
(km)]])</f>
        <v>0.30000000000000071</v>
      </c>
      <c r="M166" s="61" t="s">
        <v>126</v>
      </c>
      <c r="N166" s="59" t="s">
        <v>113</v>
      </c>
      <c r="O166" s="272" t="s">
        <v>113</v>
      </c>
      <c r="P166" s="64">
        <v>43311</v>
      </c>
      <c r="Q166" s="307">
        <v>43469</v>
      </c>
      <c r="R166" s="57"/>
      <c r="S166" s="55" t="s">
        <v>121</v>
      </c>
      <c r="T166" s="66"/>
      <c r="U166" s="308"/>
      <c r="V166" s="312"/>
      <c r="W166" s="67" t="s">
        <v>473</v>
      </c>
      <c r="X166" s="77" t="s">
        <v>604</v>
      </c>
      <c r="Y166" s="330"/>
      <c r="Z166" s="110" t="s">
        <v>122</v>
      </c>
      <c r="AA166" s="323"/>
      <c r="AB166" s="96"/>
      <c r="AC166" s="96"/>
      <c r="AD166" s="314" t="str">
        <f>IF(Table25781014[[#This Row],[End Completed Section (km)]]="","",Table25781014[[#This Row],[End Completed Section (km)]]-Table25781014[[#This Row],[Start Completed Section (km)]])</f>
        <v/>
      </c>
      <c r="AE166" s="161"/>
      <c r="AF16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66" s="229" t="str">
        <f>IF(Table25781014[[#This Row],[Planned Date]]="","",TEXT(Table25781014[[#This Row],[Planned Date]],"mmm"))</f>
        <v/>
      </c>
      <c r="AH166" s="252" t="str">
        <f>IF(Table25781014[[#This Row],[Month]]="","",VLOOKUP(Table25781014[[#This Row],[Month]],List!$B$2:$C$13,2,FALSE))</f>
        <v/>
      </c>
    </row>
    <row r="167" spans="1:34" x14ac:dyDescent="0.2">
      <c r="A167" s="98" t="s">
        <v>118</v>
      </c>
      <c r="B167" s="305"/>
      <c r="C167" s="67" t="s">
        <v>166</v>
      </c>
      <c r="D167" s="59" t="s">
        <v>130</v>
      </c>
      <c r="E167" s="104" t="str">
        <f>IF(Table25781014[[#This Row],[Line Section]]="","",VLOOKUP(Table25781014[[#This Row],[Line Section]],Reference!$A$2:$B$47,2,FALSE))</f>
        <v>C151</v>
      </c>
      <c r="F167" s="157"/>
      <c r="G167" s="250"/>
      <c r="H167" s="311"/>
      <c r="I167" s="54" t="s">
        <v>94</v>
      </c>
      <c r="J167" s="60">
        <v>28.6</v>
      </c>
      <c r="K167" s="60">
        <v>28.7</v>
      </c>
      <c r="L167" s="44">
        <f>IF(Table25781014[[#This Row],[End
(km)]]="","",Table25781014[[#This Row],[End
(km)]]-Table25781014[[#This Row],[Start
(km)]])</f>
        <v>9.9999999999997868E-2</v>
      </c>
      <c r="M167" s="61" t="s">
        <v>126</v>
      </c>
      <c r="N167" s="59" t="s">
        <v>113</v>
      </c>
      <c r="O167" s="272" t="s">
        <v>112</v>
      </c>
      <c r="P167" s="64">
        <v>43311</v>
      </c>
      <c r="Q167" s="307">
        <v>43469</v>
      </c>
      <c r="R167" s="57"/>
      <c r="S167" s="55"/>
      <c r="T167" s="66"/>
      <c r="U167" s="308"/>
      <c r="V167" s="312"/>
      <c r="W167" s="67" t="s">
        <v>472</v>
      </c>
      <c r="X167" s="77"/>
      <c r="Y167" s="330"/>
      <c r="Z167" s="110" t="s">
        <v>122</v>
      </c>
      <c r="AA167" s="323"/>
      <c r="AB167" s="96"/>
      <c r="AC167" s="96"/>
      <c r="AD167" s="314" t="str">
        <f>IF(Table25781014[[#This Row],[End Completed Section (km)]]="","",Table25781014[[#This Row],[End Completed Section (km)]]-Table25781014[[#This Row],[Start Completed Section (km)]])</f>
        <v/>
      </c>
      <c r="AE167" s="161"/>
      <c r="AF16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67" s="229" t="str">
        <f>IF(Table25781014[[#This Row],[Planned Date]]="","",TEXT(Table25781014[[#This Row],[Planned Date]],"mmm"))</f>
        <v/>
      </c>
      <c r="AH167" s="252" t="str">
        <f>IF(Table25781014[[#This Row],[Month]]="","",VLOOKUP(Table25781014[[#This Row],[Month]],List!$B$2:$C$13,2,FALSE))</f>
        <v/>
      </c>
    </row>
    <row r="168" spans="1:34" ht="51" x14ac:dyDescent="0.2">
      <c r="A168" s="98" t="s">
        <v>116</v>
      </c>
      <c r="B168" s="305"/>
      <c r="C168" s="67" t="s">
        <v>166</v>
      </c>
      <c r="D168" s="59" t="s">
        <v>130</v>
      </c>
      <c r="E168" s="104" t="str">
        <f>IF(Table25781014[[#This Row],[Line Section]]="","",VLOOKUP(Table25781014[[#This Row],[Line Section]],Reference!$A$2:$B$47,2,FALSE))</f>
        <v>C151</v>
      </c>
      <c r="F168" s="157"/>
      <c r="G168" s="250"/>
      <c r="H168" s="311"/>
      <c r="I168" s="54" t="s">
        <v>93</v>
      </c>
      <c r="J168" s="60">
        <v>28.65</v>
      </c>
      <c r="K168" s="60">
        <v>28.9</v>
      </c>
      <c r="L168" s="44">
        <f>IF(Table25781014[[#This Row],[End
(km)]]="","",Table25781014[[#This Row],[End
(km)]]-Table25781014[[#This Row],[Start
(km)]])</f>
        <v>0.25</v>
      </c>
      <c r="M168" s="61" t="s">
        <v>126</v>
      </c>
      <c r="N168" s="59" t="s">
        <v>113</v>
      </c>
      <c r="O168" s="272" t="s">
        <v>113</v>
      </c>
      <c r="P168" s="64">
        <v>43231</v>
      </c>
      <c r="Q168" s="307">
        <v>43469</v>
      </c>
      <c r="R168" s="57"/>
      <c r="S168" s="55"/>
      <c r="T168" s="66"/>
      <c r="U168" s="308"/>
      <c r="V168" s="312"/>
      <c r="W168" s="67" t="s">
        <v>322</v>
      </c>
      <c r="X168" s="77" t="s">
        <v>786</v>
      </c>
      <c r="Y168" s="332"/>
      <c r="Z168" s="81" t="s">
        <v>139</v>
      </c>
      <c r="AA168" s="323"/>
      <c r="AB168" s="96"/>
      <c r="AC168" s="96"/>
      <c r="AD168" s="314" t="str">
        <f>IF(Table25781014[[#This Row],[End Completed Section (km)]]="","",Table25781014[[#This Row],[End Completed Section (km)]]-Table25781014[[#This Row],[Start Completed Section (km)]])</f>
        <v/>
      </c>
      <c r="AE168" s="72"/>
      <c r="AF16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68" s="229" t="str">
        <f>IF(Table25781014[[#This Row],[Planned Date]]="","",TEXT(Table25781014[[#This Row],[Planned Date]],"mmm"))</f>
        <v/>
      </c>
      <c r="AH168" s="252" t="str">
        <f>IF(Table25781014[[#This Row],[Month]]="","",VLOOKUP(Table25781014[[#This Row],[Month]],List!$B$2:$C$13,2,FALSE))</f>
        <v/>
      </c>
    </row>
    <row r="169" spans="1:34" ht="38.25" x14ac:dyDescent="0.2">
      <c r="A169" s="98" t="s">
        <v>118</v>
      </c>
      <c r="B169" s="305"/>
      <c r="C169" s="67" t="s">
        <v>166</v>
      </c>
      <c r="D169" s="59" t="s">
        <v>130</v>
      </c>
      <c r="E169" s="104" t="str">
        <f>IF(Table25781014[[#This Row],[Line Section]]="","",VLOOKUP(Table25781014[[#This Row],[Line Section]],Reference!$A$2:$B$47,2,FALSE))</f>
        <v>C151</v>
      </c>
      <c r="F169" s="157"/>
      <c r="G169" s="250"/>
      <c r="H169" s="311"/>
      <c r="I169" s="54" t="s">
        <v>94</v>
      </c>
      <c r="J169" s="60">
        <v>28.9</v>
      </c>
      <c r="K169" s="60">
        <v>29</v>
      </c>
      <c r="L169" s="44">
        <f>IF(Table25781014[[#This Row],[End
(km)]]="","",Table25781014[[#This Row],[End
(km)]]-Table25781014[[#This Row],[Start
(km)]])</f>
        <v>0.10000000000000142</v>
      </c>
      <c r="M169" s="61" t="s">
        <v>126</v>
      </c>
      <c r="N169" s="59" t="s">
        <v>112</v>
      </c>
      <c r="O169" s="272" t="s">
        <v>112</v>
      </c>
      <c r="P169" s="64">
        <v>43311</v>
      </c>
      <c r="Q169" s="307">
        <v>43469</v>
      </c>
      <c r="R169" s="57"/>
      <c r="S169" s="55"/>
      <c r="T169" s="66"/>
      <c r="U169" s="308"/>
      <c r="V169" s="312"/>
      <c r="W169" s="67"/>
      <c r="X169" s="77" t="s">
        <v>605</v>
      </c>
      <c r="Y169" s="330"/>
      <c r="Z169" s="110" t="s">
        <v>122</v>
      </c>
      <c r="AA169" s="323"/>
      <c r="AB169" s="96"/>
      <c r="AC169" s="96"/>
      <c r="AD169" s="314" t="str">
        <f>IF(Table25781014[[#This Row],[End Completed Section (km)]]="","",Table25781014[[#This Row],[End Completed Section (km)]]-Table25781014[[#This Row],[Start Completed Section (km)]])</f>
        <v/>
      </c>
      <c r="AE169" s="161"/>
      <c r="AF16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69" s="229" t="str">
        <f>IF(Table25781014[[#This Row],[Planned Date]]="","",TEXT(Table25781014[[#This Row],[Planned Date]],"mmm"))</f>
        <v/>
      </c>
      <c r="AH169" s="252" t="str">
        <f>IF(Table25781014[[#This Row],[Month]]="","",VLOOKUP(Table25781014[[#This Row],[Month]],List!$B$2:$C$13,2,FALSE))</f>
        <v/>
      </c>
    </row>
    <row r="170" spans="1:34" x14ac:dyDescent="0.2">
      <c r="A170" s="98" t="s">
        <v>118</v>
      </c>
      <c r="B170" s="305"/>
      <c r="C170" s="67" t="s">
        <v>166</v>
      </c>
      <c r="D170" s="59" t="s">
        <v>130</v>
      </c>
      <c r="E170" s="104" t="str">
        <f>IF(Table25781014[[#This Row],[Line Section]]="","",VLOOKUP(Table25781014[[#This Row],[Line Section]],Reference!$A$2:$B$47,2,FALSE))</f>
        <v>C151</v>
      </c>
      <c r="F170" s="157"/>
      <c r="G170" s="250"/>
      <c r="H170" s="311"/>
      <c r="I170" s="54" t="s">
        <v>94</v>
      </c>
      <c r="J170" s="60">
        <v>29.15</v>
      </c>
      <c r="K170" s="60">
        <v>29.35</v>
      </c>
      <c r="L170" s="44">
        <f>IF(Table25781014[[#This Row],[End
(km)]]="","",Table25781014[[#This Row],[End
(km)]]-Table25781014[[#This Row],[Start
(km)]])</f>
        <v>0.20000000000000284</v>
      </c>
      <c r="M170" s="61" t="s">
        <v>126</v>
      </c>
      <c r="N170" s="59" t="s">
        <v>113</v>
      </c>
      <c r="O170" s="272" t="s">
        <v>113</v>
      </c>
      <c r="P170" s="64">
        <v>43311</v>
      </c>
      <c r="Q170" s="307">
        <v>43469</v>
      </c>
      <c r="R170" s="57"/>
      <c r="S170" s="55"/>
      <c r="T170" s="66"/>
      <c r="U170" s="308"/>
      <c r="V170" s="312"/>
      <c r="W170" s="67" t="s">
        <v>471</v>
      </c>
      <c r="X170" s="77"/>
      <c r="Y170" s="330"/>
      <c r="Z170" s="81" t="s">
        <v>122</v>
      </c>
      <c r="AA170" s="323"/>
      <c r="AB170" s="96"/>
      <c r="AC170" s="96"/>
      <c r="AD170" s="314" t="str">
        <f>IF(Table25781014[[#This Row],[End Completed Section (km)]]="","",Table25781014[[#This Row],[End Completed Section (km)]]-Table25781014[[#This Row],[Start Completed Section (km)]])</f>
        <v/>
      </c>
      <c r="AE170" s="161"/>
      <c r="AF17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70" s="229" t="str">
        <f>IF(Table25781014[[#This Row],[Planned Date]]="","",TEXT(Table25781014[[#This Row],[Planned Date]],"mmm"))</f>
        <v/>
      </c>
      <c r="AH170" s="252" t="str">
        <f>IF(Table25781014[[#This Row],[Month]]="","",VLOOKUP(Table25781014[[#This Row],[Month]],List!$B$2:$C$13,2,FALSE))</f>
        <v/>
      </c>
    </row>
    <row r="171" spans="1:34" s="56" customFormat="1" ht="38.25" x14ac:dyDescent="0.2">
      <c r="A171" s="98" t="s">
        <v>116</v>
      </c>
      <c r="B171" s="80"/>
      <c r="C171" s="67" t="s">
        <v>166</v>
      </c>
      <c r="D171" s="59" t="s">
        <v>130</v>
      </c>
      <c r="E171" s="100" t="str">
        <f>IF(Table25781014[[#This Row],[Line Section]]="","",VLOOKUP(Table25781014[[#This Row],[Line Section]],Reference!$A$2:$B$47,2,FALSE))</f>
        <v>C151</v>
      </c>
      <c r="F171" s="157" t="s">
        <v>651</v>
      </c>
      <c r="G171" s="440"/>
      <c r="H171" s="247"/>
      <c r="I171" s="54" t="s">
        <v>93</v>
      </c>
      <c r="J171" s="60">
        <v>29.5</v>
      </c>
      <c r="K171" s="60">
        <v>30</v>
      </c>
      <c r="L171" s="53">
        <f>IF(Table25781014[[#This Row],[End
(km)]]="","",Table25781014[[#This Row],[End
(km)]]-Table25781014[[#This Row],[Start
(km)]])</f>
        <v>0.5</v>
      </c>
      <c r="M171" s="61" t="s">
        <v>129</v>
      </c>
      <c r="N171" s="59"/>
      <c r="O171" s="295"/>
      <c r="P171" s="64">
        <v>43705</v>
      </c>
      <c r="Q171" s="71"/>
      <c r="R171" s="57"/>
      <c r="S171" s="55"/>
      <c r="T171" s="66"/>
      <c r="U171" s="66"/>
      <c r="V171" s="269"/>
      <c r="W171" s="321" t="s">
        <v>863</v>
      </c>
      <c r="X171" s="77"/>
      <c r="Y171" s="112"/>
      <c r="Z171" s="80"/>
      <c r="AA171" s="282"/>
      <c r="AB171" s="96"/>
      <c r="AC171" s="96"/>
      <c r="AD171" s="227" t="str">
        <f>IF(Table25781014[[#This Row],[End Completed Section (km)]]="","",Table25781014[[#This Row],[End Completed Section (km)]]-Table25781014[[#This Row],[Start Completed Section (km)]])</f>
        <v/>
      </c>
      <c r="AE171" s="161"/>
      <c r="AF171"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171" s="229" t="str">
        <f>IF(Table25781014[[#This Row],[Planned Date]]="","",TEXT(Table25781014[[#This Row],[Planned Date]],"mmm"))</f>
        <v>21/22</v>
      </c>
      <c r="AH171" s="252" t="e">
        <f>IF(Table25781014[[#This Row],[Month]]="","",VLOOKUP(Table25781014[[#This Row],[Month]],List!$B$2:$C$13,2,FALSE))</f>
        <v>#N/A</v>
      </c>
    </row>
    <row r="172" spans="1:34" s="56" customFormat="1" ht="25.5" x14ac:dyDescent="0.2">
      <c r="A172" s="98" t="s">
        <v>117</v>
      </c>
      <c r="B172" s="305"/>
      <c r="C172" s="67" t="s">
        <v>166</v>
      </c>
      <c r="D172" s="59" t="s">
        <v>130</v>
      </c>
      <c r="E172" s="100" t="str">
        <f>IF(Table25781014[[#This Row],[Line Section]]="","",VLOOKUP(Table25781014[[#This Row],[Line Section]],Reference!$A$2:$B$47,2,FALSE))</f>
        <v>C151</v>
      </c>
      <c r="F172" s="157"/>
      <c r="G172" s="440"/>
      <c r="H172" s="306"/>
      <c r="I172" s="54" t="s">
        <v>94</v>
      </c>
      <c r="J172" s="60">
        <v>31.38</v>
      </c>
      <c r="K172" s="60">
        <v>31.63</v>
      </c>
      <c r="L172" s="53">
        <f>IF(Table25781014[[#This Row],[End
(km)]]="","",Table25781014[[#This Row],[End
(km)]]-Table25781014[[#This Row],[Start
(km)]])</f>
        <v>0.25</v>
      </c>
      <c r="M172" s="61" t="s">
        <v>126</v>
      </c>
      <c r="N172" s="59" t="s">
        <v>113</v>
      </c>
      <c r="O172" s="295" t="s">
        <v>110</v>
      </c>
      <c r="P172" s="64">
        <v>43311</v>
      </c>
      <c r="Q172" s="307">
        <v>43469</v>
      </c>
      <c r="R172" s="57"/>
      <c r="S172" s="55" t="s">
        <v>121</v>
      </c>
      <c r="T172" s="66"/>
      <c r="U172" s="308"/>
      <c r="V172" s="309"/>
      <c r="W172" s="67"/>
      <c r="X172" s="77" t="s">
        <v>606</v>
      </c>
      <c r="Y172" s="327"/>
      <c r="Z172" s="80" t="s">
        <v>122</v>
      </c>
      <c r="AA172" s="323"/>
      <c r="AB172" s="96"/>
      <c r="AC172" s="96"/>
      <c r="AD172" s="310" t="str">
        <f>IF(Table25781014[[#This Row],[End Completed Section (km)]]="","",Table25781014[[#This Row],[End Completed Section (km)]]-Table25781014[[#This Row],[Start Completed Section (km)]])</f>
        <v/>
      </c>
      <c r="AE172" s="161"/>
      <c r="AF17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72" s="229" t="str">
        <f>IF(Table25781014[[#This Row],[Planned Date]]="","",TEXT(Table25781014[[#This Row],[Planned Date]],"mmm"))</f>
        <v/>
      </c>
      <c r="AH172" s="252" t="str">
        <f>IF(Table25781014[[#This Row],[Month]]="","",VLOOKUP(Table25781014[[#This Row],[Month]],List!$B$2:$C$13,2,FALSE))</f>
        <v/>
      </c>
    </row>
    <row r="173" spans="1:34" x14ac:dyDescent="0.2">
      <c r="A173" s="98" t="s">
        <v>118</v>
      </c>
      <c r="B173" s="305"/>
      <c r="C173" s="67" t="s">
        <v>166</v>
      </c>
      <c r="D173" s="59" t="s">
        <v>130</v>
      </c>
      <c r="E173" s="104" t="str">
        <f>IF(Table25781014[[#This Row],[Line Section]]="","",VLOOKUP(Table25781014[[#This Row],[Line Section]],Reference!$A$2:$B$47,2,FALSE))</f>
        <v>C151</v>
      </c>
      <c r="F173" s="157"/>
      <c r="G173" s="250"/>
      <c r="H173" s="311"/>
      <c r="I173" s="54" t="s">
        <v>94</v>
      </c>
      <c r="J173" s="60">
        <v>32</v>
      </c>
      <c r="K173" s="60">
        <v>32.880000000000003</v>
      </c>
      <c r="L173" s="44">
        <f>IF(Table25781014[[#This Row],[End
(km)]]="","",Table25781014[[#This Row],[End
(km)]]-Table25781014[[#This Row],[Start
(km)]])</f>
        <v>0.88000000000000256</v>
      </c>
      <c r="M173" s="61" t="s">
        <v>126</v>
      </c>
      <c r="N173" s="59" t="s">
        <v>113</v>
      </c>
      <c r="O173" s="272" t="s">
        <v>113</v>
      </c>
      <c r="P173" s="64">
        <v>43311</v>
      </c>
      <c r="Q173" s="307">
        <v>43663</v>
      </c>
      <c r="R173" s="57"/>
      <c r="S173" s="55" t="s">
        <v>121</v>
      </c>
      <c r="T173" s="66"/>
      <c r="U173" s="308"/>
      <c r="V173" s="312"/>
      <c r="W173" s="67"/>
      <c r="X173" s="77"/>
      <c r="Y173" s="330"/>
      <c r="Z173" s="81" t="s">
        <v>122</v>
      </c>
      <c r="AA173" s="323"/>
      <c r="AB173" s="96"/>
      <c r="AC173" s="96"/>
      <c r="AD173" s="314" t="str">
        <f>IF(Table25781014[[#This Row],[End Completed Section (km)]]="","",Table25781014[[#This Row],[End Completed Section (km)]]-Table25781014[[#This Row],[Start Completed Section (km)]])</f>
        <v/>
      </c>
      <c r="AE173" s="161"/>
      <c r="AF17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73" s="229" t="str">
        <f>IF(Table25781014[[#This Row],[Planned Date]]="","",TEXT(Table25781014[[#This Row],[Planned Date]],"mmm"))</f>
        <v/>
      </c>
      <c r="AH173" s="252" t="str">
        <f>IF(Table25781014[[#This Row],[Month]]="","",VLOOKUP(Table25781014[[#This Row],[Month]],List!$B$2:$C$13,2,FALSE))</f>
        <v/>
      </c>
    </row>
    <row r="174" spans="1:34" s="56" customFormat="1" x14ac:dyDescent="0.2">
      <c r="A174" s="98" t="s">
        <v>117</v>
      </c>
      <c r="B174" s="305"/>
      <c r="C174" s="67" t="s">
        <v>166</v>
      </c>
      <c r="D174" s="59" t="s">
        <v>130</v>
      </c>
      <c r="E174" s="100" t="str">
        <f>IF(Table25781014[[#This Row],[Line Section]]="","",VLOOKUP(Table25781014[[#This Row],[Line Section]],Reference!$A$2:$B$47,2,FALSE))</f>
        <v>C151</v>
      </c>
      <c r="F174" s="157"/>
      <c r="G174" s="440"/>
      <c r="H174" s="306"/>
      <c r="I174" s="54" t="s">
        <v>94</v>
      </c>
      <c r="J174" s="60">
        <v>34.03</v>
      </c>
      <c r="K174" s="60">
        <v>34.130000000000003</v>
      </c>
      <c r="L174" s="53">
        <f>IF(Table25781014[[#This Row],[End
(km)]]="","",Table25781014[[#This Row],[End
(km)]]-Table25781014[[#This Row],[Start
(km)]])</f>
        <v>0.10000000000000142</v>
      </c>
      <c r="M174" s="61" t="s">
        <v>126</v>
      </c>
      <c r="N174" s="59" t="s">
        <v>113</v>
      </c>
      <c r="O174" s="295" t="s">
        <v>207</v>
      </c>
      <c r="P174" s="64">
        <v>43311</v>
      </c>
      <c r="Q174" s="307">
        <v>43469</v>
      </c>
      <c r="R174" s="57"/>
      <c r="S174" s="55"/>
      <c r="T174" s="66"/>
      <c r="U174" s="308"/>
      <c r="V174" s="309"/>
      <c r="W174" s="67" t="s">
        <v>470</v>
      </c>
      <c r="X174" s="77"/>
      <c r="Y174" s="327"/>
      <c r="Z174" s="80" t="s">
        <v>122</v>
      </c>
      <c r="AA174" s="323"/>
      <c r="AB174" s="96"/>
      <c r="AC174" s="96"/>
      <c r="AD174" s="310" t="str">
        <f>IF(Table25781014[[#This Row],[End Completed Section (km)]]="","",Table25781014[[#This Row],[End Completed Section (km)]]-Table25781014[[#This Row],[Start Completed Section (km)]])</f>
        <v/>
      </c>
      <c r="AE174" s="161"/>
      <c r="AF17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74" s="229" t="str">
        <f>IF(Table25781014[[#This Row],[Planned Date]]="","",TEXT(Table25781014[[#This Row],[Planned Date]],"mmm"))</f>
        <v/>
      </c>
      <c r="AH174" s="252" t="str">
        <f>IF(Table25781014[[#This Row],[Month]]="","",VLOOKUP(Table25781014[[#This Row],[Month]],List!$B$2:$C$13,2,FALSE))</f>
        <v/>
      </c>
    </row>
    <row r="175" spans="1:34" s="56" customFormat="1" ht="25.5" x14ac:dyDescent="0.2">
      <c r="A175" s="98" t="s">
        <v>116</v>
      </c>
      <c r="B175" s="305"/>
      <c r="C175" s="67" t="s">
        <v>166</v>
      </c>
      <c r="D175" s="59" t="s">
        <v>130</v>
      </c>
      <c r="E175" s="100" t="str">
        <f>IF(Table25781014[[#This Row],[Line Section]]="","",VLOOKUP(Table25781014[[#This Row],[Line Section]],Reference!$A$2:$B$47,2,FALSE))</f>
        <v>C151</v>
      </c>
      <c r="F175" s="157">
        <v>43450</v>
      </c>
      <c r="G175" s="440"/>
      <c r="H175" s="306" t="s">
        <v>533</v>
      </c>
      <c r="I175" s="54" t="s">
        <v>94</v>
      </c>
      <c r="J175" s="60">
        <v>34.9</v>
      </c>
      <c r="K175" s="60">
        <v>35.200000000000003</v>
      </c>
      <c r="L175" s="53">
        <f>IF(Table25781014[[#This Row],[End
(km)]]="","",Table25781014[[#This Row],[End
(km)]]-Table25781014[[#This Row],[Start
(km)]])</f>
        <v>0.30000000000000426</v>
      </c>
      <c r="M175" s="61" t="s">
        <v>126</v>
      </c>
      <c r="N175" s="59" t="s">
        <v>113</v>
      </c>
      <c r="O175" s="295" t="s">
        <v>113</v>
      </c>
      <c r="P175" s="64">
        <v>43243</v>
      </c>
      <c r="Q175" s="307">
        <v>43469</v>
      </c>
      <c r="R175" s="57" t="s">
        <v>121</v>
      </c>
      <c r="S175" s="55" t="s">
        <v>121</v>
      </c>
      <c r="T175" s="66"/>
      <c r="U175" s="308" t="s">
        <v>121</v>
      </c>
      <c r="V175" s="309"/>
      <c r="W175" s="67"/>
      <c r="X175" s="77" t="s">
        <v>742</v>
      </c>
      <c r="Y175" s="327"/>
      <c r="Z175" s="159" t="s">
        <v>121</v>
      </c>
      <c r="AA175" s="323"/>
      <c r="AB175" s="96">
        <v>34.9</v>
      </c>
      <c r="AC175" s="96">
        <v>35.200000000000003</v>
      </c>
      <c r="AD175" s="359">
        <f>IF(Table25781014[[#This Row],[End Completed Section (km)]]="","",Table25781014[[#This Row],[End Completed Section (km)]]-Table25781014[[#This Row],[Start Completed Section (km)]])</f>
        <v>0.30000000000000426</v>
      </c>
      <c r="AE175" s="72"/>
      <c r="AF17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175" s="229" t="str">
        <f>IF(Table25781014[[#This Row],[Planned Date]]="","",TEXT(Table25781014[[#This Row],[Planned Date]],"mmm"))</f>
        <v>Dec</v>
      </c>
      <c r="AH175" s="252">
        <f>IF(Table25781014[[#This Row],[Month]]="","",VLOOKUP(Table25781014[[#This Row],[Month]],List!$B$2:$C$13,2,FALSE))</f>
        <v>6</v>
      </c>
    </row>
    <row r="176" spans="1:34" s="56" customFormat="1" ht="51" x14ac:dyDescent="0.2">
      <c r="A176" s="98" t="s">
        <v>117</v>
      </c>
      <c r="B176" s="305"/>
      <c r="C176" s="67" t="s">
        <v>166</v>
      </c>
      <c r="D176" s="59" t="s">
        <v>130</v>
      </c>
      <c r="E176" s="100" t="str">
        <f>IF(Table25781014[[#This Row],[Line Section]]="","",VLOOKUP(Table25781014[[#This Row],[Line Section]],Reference!$A$2:$B$47,2,FALSE))</f>
        <v>C151</v>
      </c>
      <c r="F176" s="157"/>
      <c r="G176" s="440"/>
      <c r="H176" s="306"/>
      <c r="I176" s="54" t="s">
        <v>94</v>
      </c>
      <c r="J176" s="60">
        <v>35.979999999999997</v>
      </c>
      <c r="K176" s="60">
        <v>36.1</v>
      </c>
      <c r="L176" s="53">
        <f>IF(Table25781014[[#This Row],[End
(km)]]="","",Table25781014[[#This Row],[End
(km)]]-Table25781014[[#This Row],[Start
(km)]])</f>
        <v>0.12000000000000455</v>
      </c>
      <c r="M176" s="61" t="s">
        <v>126</v>
      </c>
      <c r="N176" s="59" t="s">
        <v>113</v>
      </c>
      <c r="O176" s="295" t="s">
        <v>113</v>
      </c>
      <c r="P176" s="64">
        <v>43314</v>
      </c>
      <c r="Q176" s="307">
        <v>43469</v>
      </c>
      <c r="R176" s="57"/>
      <c r="S176" s="55" t="s">
        <v>121</v>
      </c>
      <c r="T176" s="66"/>
      <c r="U176" s="308"/>
      <c r="V176" s="309"/>
      <c r="W176" s="67" t="s">
        <v>477</v>
      </c>
      <c r="X176" s="77" t="s">
        <v>476</v>
      </c>
      <c r="Y176" s="327"/>
      <c r="Z176" s="159" t="s">
        <v>122</v>
      </c>
      <c r="AA176" s="323"/>
      <c r="AB176" s="96"/>
      <c r="AC176" s="96"/>
      <c r="AD176" s="310" t="str">
        <f>IF(Table25781014[[#This Row],[End Completed Section (km)]]="","",Table25781014[[#This Row],[End Completed Section (km)]]-Table25781014[[#This Row],[Start Completed Section (km)]])</f>
        <v/>
      </c>
      <c r="AE176" s="161"/>
      <c r="AF17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76" s="229" t="str">
        <f>IF(Table25781014[[#This Row],[Planned Date]]="","",TEXT(Table25781014[[#This Row],[Planned Date]],"mmm"))</f>
        <v/>
      </c>
      <c r="AH176" s="252" t="str">
        <f>IF(Table25781014[[#This Row],[Month]]="","",VLOOKUP(Table25781014[[#This Row],[Month]],List!$B$2:$C$13,2,FALSE))</f>
        <v/>
      </c>
    </row>
    <row r="177" spans="1:34" s="56" customFormat="1" x14ac:dyDescent="0.2">
      <c r="A177" s="98" t="s">
        <v>118</v>
      </c>
      <c r="B177" s="305"/>
      <c r="C177" s="67" t="s">
        <v>166</v>
      </c>
      <c r="D177" s="59" t="s">
        <v>130</v>
      </c>
      <c r="E177" s="100" t="str">
        <f>IF(Table25781014[[#This Row],[Line Section]]="","",VLOOKUP(Table25781014[[#This Row],[Line Section]],Reference!$A$2:$B$47,2,FALSE))</f>
        <v>C151</v>
      </c>
      <c r="F177" s="157"/>
      <c r="G177" s="440"/>
      <c r="H177" s="306"/>
      <c r="I177" s="54" t="s">
        <v>94</v>
      </c>
      <c r="J177" s="60">
        <v>37.229999999999997</v>
      </c>
      <c r="K177" s="60">
        <v>37.53</v>
      </c>
      <c r="L177" s="53">
        <f>IF(Table25781014[[#This Row],[End
(km)]]="","",Table25781014[[#This Row],[End
(km)]]-Table25781014[[#This Row],[Start
(km)]])</f>
        <v>0.30000000000000426</v>
      </c>
      <c r="M177" s="61" t="s">
        <v>126</v>
      </c>
      <c r="N177" s="59" t="s">
        <v>113</v>
      </c>
      <c r="O177" s="295" t="s">
        <v>113</v>
      </c>
      <c r="P177" s="64">
        <v>43307</v>
      </c>
      <c r="Q177" s="307">
        <v>43469</v>
      </c>
      <c r="R177" s="57"/>
      <c r="S177" s="55"/>
      <c r="T177" s="66"/>
      <c r="U177" s="308"/>
      <c r="V177" s="309"/>
      <c r="W177" s="67" t="s">
        <v>468</v>
      </c>
      <c r="X177" s="77"/>
      <c r="Y177" s="330"/>
      <c r="Z177" s="80" t="s">
        <v>122</v>
      </c>
      <c r="AA177" s="323"/>
      <c r="AB177" s="96"/>
      <c r="AC177" s="96"/>
      <c r="AD177" s="310" t="str">
        <f>IF(Table25781014[[#This Row],[End Completed Section (km)]]="","",Table25781014[[#This Row],[End Completed Section (km)]]-Table25781014[[#This Row],[Start Completed Section (km)]])</f>
        <v/>
      </c>
      <c r="AE177" s="161"/>
      <c r="AF17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77" s="229" t="str">
        <f>IF(Table25781014[[#This Row],[Planned Date]]="","",TEXT(Table25781014[[#This Row],[Planned Date]],"mmm"))</f>
        <v/>
      </c>
      <c r="AH177" s="252" t="str">
        <f>IF(Table25781014[[#This Row],[Month]]="","",VLOOKUP(Table25781014[[#This Row],[Month]],List!$B$2:$C$13,2,FALSE))</f>
        <v/>
      </c>
    </row>
    <row r="178" spans="1:34" s="56" customFormat="1" ht="25.5" x14ac:dyDescent="0.2">
      <c r="A178" s="98" t="s">
        <v>116</v>
      </c>
      <c r="B178" s="305"/>
      <c r="C178" s="67" t="s">
        <v>166</v>
      </c>
      <c r="D178" s="59" t="s">
        <v>130</v>
      </c>
      <c r="E178" s="100" t="str">
        <f>IF(Table25781014[[#This Row],[Line Section]]="","",VLOOKUP(Table25781014[[#This Row],[Line Section]],Reference!$A$2:$B$47,2,FALSE))</f>
        <v>C151</v>
      </c>
      <c r="F178" s="157"/>
      <c r="G178" s="440"/>
      <c r="H178" s="306"/>
      <c r="I178" s="54" t="s">
        <v>93</v>
      </c>
      <c r="J178" s="60">
        <v>37.270000000000003</v>
      </c>
      <c r="K178" s="60">
        <v>37.35</v>
      </c>
      <c r="L178" s="53">
        <f>IF(Table25781014[[#This Row],[End
(km)]]="","",Table25781014[[#This Row],[End
(km)]]-Table25781014[[#This Row],[Start
(km)]])</f>
        <v>7.9999999999998295E-2</v>
      </c>
      <c r="M178" s="61" t="s">
        <v>126</v>
      </c>
      <c r="N178" s="59" t="s">
        <v>111</v>
      </c>
      <c r="O178" s="295"/>
      <c r="P178" s="64">
        <v>43231</v>
      </c>
      <c r="Q178" s="307">
        <v>43250</v>
      </c>
      <c r="R178" s="57" t="s">
        <v>121</v>
      </c>
      <c r="S178" s="55"/>
      <c r="T178" s="66"/>
      <c r="U178" s="308"/>
      <c r="V178" s="309"/>
      <c r="W178" s="67" t="s">
        <v>323</v>
      </c>
      <c r="X178" s="77" t="s">
        <v>579</v>
      </c>
      <c r="Y178" s="326"/>
      <c r="Z178" s="80" t="s">
        <v>139</v>
      </c>
      <c r="AA178" s="323"/>
      <c r="AB178" s="96"/>
      <c r="AC178" s="96"/>
      <c r="AD178" s="310" t="str">
        <f>IF(Table25781014[[#This Row],[End Completed Section (km)]]="","",Table25781014[[#This Row],[End Completed Section (km)]]-Table25781014[[#This Row],[Start Completed Section (km)]])</f>
        <v/>
      </c>
      <c r="AE178" s="72"/>
      <c r="AF17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78" s="229" t="str">
        <f>IF(Table25781014[[#This Row],[Planned Date]]="","",TEXT(Table25781014[[#This Row],[Planned Date]],"mmm"))</f>
        <v/>
      </c>
      <c r="AH178" s="252" t="str">
        <f>IF(Table25781014[[#This Row],[Month]]="","",VLOOKUP(Table25781014[[#This Row],[Month]],List!$B$2:$C$13,2,FALSE))</f>
        <v/>
      </c>
    </row>
    <row r="179" spans="1:34" ht="25.5" x14ac:dyDescent="0.2">
      <c r="A179" s="98" t="s">
        <v>117</v>
      </c>
      <c r="B179" s="305"/>
      <c r="C179" s="67" t="s">
        <v>166</v>
      </c>
      <c r="D179" s="59" t="s">
        <v>130</v>
      </c>
      <c r="E179" s="100" t="str">
        <f>IF(Table25781014[[#This Row],[Line Section]]="","",VLOOKUP(Table25781014[[#This Row],[Line Section]],Reference!$A$2:$B$47,2,FALSE))</f>
        <v>C151</v>
      </c>
      <c r="F179" s="157"/>
      <c r="G179" s="440"/>
      <c r="H179" s="306"/>
      <c r="I179" s="54" t="s">
        <v>94</v>
      </c>
      <c r="J179" s="60">
        <v>37.659999999999997</v>
      </c>
      <c r="K179" s="60">
        <v>37.9</v>
      </c>
      <c r="L179" s="53">
        <f>IF(Table25781014[[#This Row],[End
(km)]]="","",Table25781014[[#This Row],[End
(km)]]-Table25781014[[#This Row],[Start
(km)]])</f>
        <v>0.24000000000000199</v>
      </c>
      <c r="M179" s="61" t="s">
        <v>126</v>
      </c>
      <c r="N179" s="59" t="s">
        <v>113</v>
      </c>
      <c r="O179" s="295" t="s">
        <v>113</v>
      </c>
      <c r="P179" s="64">
        <v>43307</v>
      </c>
      <c r="Q179" s="307">
        <v>43469</v>
      </c>
      <c r="R179" s="57"/>
      <c r="S179" s="55"/>
      <c r="T179" s="66"/>
      <c r="U179" s="308"/>
      <c r="V179" s="312"/>
      <c r="W179" s="67" t="s">
        <v>607</v>
      </c>
      <c r="X179" s="77" t="s">
        <v>702</v>
      </c>
      <c r="Y179" s="330"/>
      <c r="Z179" s="80" t="s">
        <v>139</v>
      </c>
      <c r="AA179" s="323"/>
      <c r="AB179" s="96"/>
      <c r="AC179" s="96"/>
      <c r="AD179" s="314" t="str">
        <f>IF(Table25781014[[#This Row],[End Completed Section (km)]]="","",Table25781014[[#This Row],[End Completed Section (km)]]-Table25781014[[#This Row],[Start Completed Section (km)]])</f>
        <v/>
      </c>
      <c r="AE179" s="161"/>
      <c r="AF17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79" s="229" t="str">
        <f>IF(Table25781014[[#This Row],[Planned Date]]="","",TEXT(Table25781014[[#This Row],[Planned Date]],"mmm"))</f>
        <v/>
      </c>
      <c r="AH179" s="252" t="str">
        <f>IF(Table25781014[[#This Row],[Month]]="","",VLOOKUP(Table25781014[[#This Row],[Month]],List!$B$2:$C$13,2,FALSE))</f>
        <v/>
      </c>
    </row>
    <row r="180" spans="1:34" ht="51" x14ac:dyDescent="0.2">
      <c r="A180" s="98" t="s">
        <v>116</v>
      </c>
      <c r="B180" s="305"/>
      <c r="C180" s="67" t="s">
        <v>166</v>
      </c>
      <c r="D180" s="59" t="s">
        <v>130</v>
      </c>
      <c r="E180" s="100" t="str">
        <f>IF(Table25781014[[#This Row],[Line Section]]="","",VLOOKUP(Table25781014[[#This Row],[Line Section]],Reference!$A$2:$B$47,2,FALSE))</f>
        <v>C151</v>
      </c>
      <c r="F180" s="157"/>
      <c r="G180" s="440"/>
      <c r="H180" s="306"/>
      <c r="I180" s="54" t="s">
        <v>93</v>
      </c>
      <c r="J180" s="60">
        <v>40.32</v>
      </c>
      <c r="K180" s="60">
        <v>40.450000000000003</v>
      </c>
      <c r="L180" s="53">
        <f>IF(Table25781014[[#This Row],[End
(km)]]="","",Table25781014[[#This Row],[End
(km)]]-Table25781014[[#This Row],[Start
(km)]])</f>
        <v>0.13000000000000256</v>
      </c>
      <c r="M180" s="61" t="s">
        <v>126</v>
      </c>
      <c r="N180" s="59" t="s">
        <v>112</v>
      </c>
      <c r="O180" s="295" t="s">
        <v>113</v>
      </c>
      <c r="P180" s="64">
        <v>43231</v>
      </c>
      <c r="Q180" s="307">
        <v>43469</v>
      </c>
      <c r="R180" s="57"/>
      <c r="S180" s="55"/>
      <c r="T180" s="66"/>
      <c r="U180" s="308"/>
      <c r="V180" s="312"/>
      <c r="W180" s="67" t="s">
        <v>324</v>
      </c>
      <c r="X180" s="77" t="s">
        <v>701</v>
      </c>
      <c r="Y180" s="332"/>
      <c r="Z180" s="80" t="s">
        <v>139</v>
      </c>
      <c r="AA180" s="323"/>
      <c r="AB180" s="96"/>
      <c r="AC180" s="96"/>
      <c r="AD180" s="314" t="str">
        <f>IF(Table25781014[[#This Row],[End Completed Section (km)]]="","",Table25781014[[#This Row],[End Completed Section (km)]]-Table25781014[[#This Row],[Start Completed Section (km)]])</f>
        <v/>
      </c>
      <c r="AE180" s="72"/>
      <c r="AF18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80" s="229" t="str">
        <f>IF(Table25781014[[#This Row],[Planned Date]]="","",TEXT(Table25781014[[#This Row],[Planned Date]],"mmm"))</f>
        <v/>
      </c>
      <c r="AH180" s="252" t="str">
        <f>IF(Table25781014[[#This Row],[Month]]="","",VLOOKUP(Table25781014[[#This Row],[Month]],List!$B$2:$C$13,2,FALSE))</f>
        <v/>
      </c>
    </row>
    <row r="181" spans="1:34" s="56" customFormat="1" x14ac:dyDescent="0.2">
      <c r="A181" s="98" t="s">
        <v>117</v>
      </c>
      <c r="B181" s="305"/>
      <c r="C181" s="67" t="s">
        <v>166</v>
      </c>
      <c r="D181" s="59" t="s">
        <v>19</v>
      </c>
      <c r="E181" s="100" t="str">
        <f>IF(Table25781014[[#This Row],[Line Section]]="","",VLOOKUP(Table25781014[[#This Row],[Line Section]],Reference!$A$2:$B$47,2,FALSE))</f>
        <v>C012</v>
      </c>
      <c r="F181" s="157"/>
      <c r="G181" s="440"/>
      <c r="H181" s="306"/>
      <c r="I181" s="54" t="s">
        <v>93</v>
      </c>
      <c r="J181" s="60">
        <v>53.05</v>
      </c>
      <c r="K181" s="60">
        <v>53.25</v>
      </c>
      <c r="L181" s="53">
        <f>IF(Table25781014[[#This Row],[End
(km)]]="","",Table25781014[[#This Row],[End
(km)]]-Table25781014[[#This Row],[Start
(km)]])</f>
        <v>0.20000000000000284</v>
      </c>
      <c r="M181" s="61" t="s">
        <v>126</v>
      </c>
      <c r="N181" s="59" t="s">
        <v>112</v>
      </c>
      <c r="O181" s="295" t="s">
        <v>113</v>
      </c>
      <c r="P181" s="64">
        <v>43231</v>
      </c>
      <c r="Q181" s="307">
        <v>43469</v>
      </c>
      <c r="R181" s="57"/>
      <c r="S181" s="55"/>
      <c r="T181" s="66"/>
      <c r="U181" s="308"/>
      <c r="V181" s="309"/>
      <c r="W181" s="67" t="s">
        <v>325</v>
      </c>
      <c r="X181" s="77"/>
      <c r="Y181" s="326"/>
      <c r="Z181" s="80" t="s">
        <v>122</v>
      </c>
      <c r="AA181" s="323"/>
      <c r="AB181" s="96"/>
      <c r="AC181" s="96"/>
      <c r="AD181" s="310" t="str">
        <f>IF(Table25781014[[#This Row],[End Completed Section (km)]]="","",Table25781014[[#This Row],[End Completed Section (km)]]-Table25781014[[#This Row],[Start Completed Section (km)]])</f>
        <v/>
      </c>
      <c r="AE181" s="72"/>
      <c r="AF18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81" s="229" t="str">
        <f>IF(Table25781014[[#This Row],[Planned Date]]="","",TEXT(Table25781014[[#This Row],[Planned Date]],"mmm"))</f>
        <v/>
      </c>
      <c r="AH181" s="252" t="str">
        <f>IF(Table25781014[[#This Row],[Month]]="","",VLOOKUP(Table25781014[[#This Row],[Month]],List!$B$2:$C$13,2,FALSE))</f>
        <v/>
      </c>
    </row>
    <row r="182" spans="1:34" s="56" customFormat="1" x14ac:dyDescent="0.2">
      <c r="A182" s="98" t="s">
        <v>117</v>
      </c>
      <c r="B182" s="305"/>
      <c r="C182" s="67" t="s">
        <v>166</v>
      </c>
      <c r="D182" s="59" t="s">
        <v>19</v>
      </c>
      <c r="E182" s="100" t="str">
        <f>IF(Table25781014[[#This Row],[Line Section]]="","",VLOOKUP(Table25781014[[#This Row],[Line Section]],Reference!$A$2:$B$47,2,FALSE))</f>
        <v>C012</v>
      </c>
      <c r="F182" s="157"/>
      <c r="G182" s="440"/>
      <c r="H182" s="306"/>
      <c r="I182" s="54" t="s">
        <v>93</v>
      </c>
      <c r="J182" s="60">
        <v>70.5</v>
      </c>
      <c r="K182" s="60">
        <v>70.63</v>
      </c>
      <c r="L182" s="53">
        <f>IF(Table25781014[[#This Row],[End
(km)]]="","",Table25781014[[#This Row],[End
(km)]]-Table25781014[[#This Row],[Start
(km)]])</f>
        <v>0.12999999999999545</v>
      </c>
      <c r="M182" s="61" t="s">
        <v>126</v>
      </c>
      <c r="N182" s="59" t="s">
        <v>113</v>
      </c>
      <c r="O182" s="295" t="s">
        <v>207</v>
      </c>
      <c r="P182" s="64">
        <v>43231</v>
      </c>
      <c r="Q182" s="307">
        <v>43469</v>
      </c>
      <c r="R182" s="57"/>
      <c r="S182" s="55"/>
      <c r="T182" s="66"/>
      <c r="U182" s="308"/>
      <c r="V182" s="309"/>
      <c r="W182" s="67" t="s">
        <v>326</v>
      </c>
      <c r="X182" s="77"/>
      <c r="Y182" s="326"/>
      <c r="Z182" s="80" t="s">
        <v>122</v>
      </c>
      <c r="AA182" s="323"/>
      <c r="AB182" s="96"/>
      <c r="AC182" s="96"/>
      <c r="AD182" s="310" t="str">
        <f>IF(Table25781014[[#This Row],[End Completed Section (km)]]="","",Table25781014[[#This Row],[End Completed Section (km)]]-Table25781014[[#This Row],[Start Completed Section (km)]])</f>
        <v/>
      </c>
      <c r="AE182" s="72"/>
      <c r="AF18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82" s="229" t="str">
        <f>IF(Table25781014[[#This Row],[Planned Date]]="","",TEXT(Table25781014[[#This Row],[Planned Date]],"mmm"))</f>
        <v/>
      </c>
      <c r="AH182" s="252" t="str">
        <f>IF(Table25781014[[#This Row],[Month]]="","",VLOOKUP(Table25781014[[#This Row],[Month]],List!$B$2:$C$13,2,FALSE))</f>
        <v/>
      </c>
    </row>
    <row r="183" spans="1:34" s="56" customFormat="1" ht="25.5" x14ac:dyDescent="0.2">
      <c r="A183" s="98" t="s">
        <v>116</v>
      </c>
      <c r="B183" s="305"/>
      <c r="C183" s="67" t="s">
        <v>165</v>
      </c>
      <c r="D183" s="59" t="s">
        <v>32</v>
      </c>
      <c r="E183" s="100" t="str">
        <f>IF(Table25781014[[#This Row],[Line Section]]="","",VLOOKUP(Table25781014[[#This Row],[Line Section]],Reference!$A$2:$B$47,2,FALSE))</f>
        <v>C170</v>
      </c>
      <c r="F183" s="157"/>
      <c r="G183" s="440"/>
      <c r="H183" s="306"/>
      <c r="I183" s="54" t="s">
        <v>96</v>
      </c>
      <c r="J183" s="60">
        <v>0.5</v>
      </c>
      <c r="K183" s="60">
        <v>0.7</v>
      </c>
      <c r="L183" s="53">
        <f>IF(Table25781014[[#This Row],[End
(km)]]="","",Table25781014[[#This Row],[End
(km)]]-Table25781014[[#This Row],[Start
(km)]])</f>
        <v>0.19999999999999996</v>
      </c>
      <c r="M183" s="61" t="s">
        <v>189</v>
      </c>
      <c r="N183" s="59" t="s">
        <v>113</v>
      </c>
      <c r="O183" s="295"/>
      <c r="P183" s="64">
        <v>43230</v>
      </c>
      <c r="Q183" s="307"/>
      <c r="R183" s="57"/>
      <c r="S183" s="55"/>
      <c r="T183" s="66"/>
      <c r="U183" s="308"/>
      <c r="V183" s="309"/>
      <c r="W183" s="67"/>
      <c r="X183" s="77" t="s">
        <v>275</v>
      </c>
      <c r="Y183" s="327"/>
      <c r="Z183" s="80" t="s">
        <v>122</v>
      </c>
      <c r="AA183" s="323"/>
      <c r="AB183" s="96"/>
      <c r="AC183" s="96"/>
      <c r="AD183" s="310" t="str">
        <f>IF(Table25781014[[#This Row],[End Completed Section (km)]]="","",Table25781014[[#This Row],[End Completed Section (km)]]-Table25781014[[#This Row],[Start Completed Section (km)]])</f>
        <v/>
      </c>
      <c r="AE183" s="72"/>
      <c r="AF18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83" s="229" t="str">
        <f>IF(Table25781014[[#This Row],[Planned Date]]="","",TEXT(Table25781014[[#This Row],[Planned Date]],"mmm"))</f>
        <v/>
      </c>
      <c r="AH183" s="252" t="str">
        <f>IF(Table25781014[[#This Row],[Month]]="","",VLOOKUP(Table25781014[[#This Row],[Month]],List!$B$2:$C$13,2,FALSE))</f>
        <v/>
      </c>
    </row>
    <row r="184" spans="1:34" s="56" customFormat="1" x14ac:dyDescent="0.2">
      <c r="A184" s="98" t="s">
        <v>116</v>
      </c>
      <c r="B184" s="305"/>
      <c r="C184" s="67" t="s">
        <v>165</v>
      </c>
      <c r="D184" s="59" t="s">
        <v>32</v>
      </c>
      <c r="E184" s="325" t="str">
        <f>IF(Table25781014[[#This Row],[Line Section]]="","",VLOOKUP(Table25781014[[#This Row],[Line Section]],Reference!$A$2:$B$47,2,FALSE))</f>
        <v>C170</v>
      </c>
      <c r="F184" s="157"/>
      <c r="G184" s="440"/>
      <c r="H184" s="306"/>
      <c r="I184" s="54" t="s">
        <v>94</v>
      </c>
      <c r="J184" s="60">
        <v>1.85</v>
      </c>
      <c r="K184" s="60">
        <v>2.0699999999999998</v>
      </c>
      <c r="L184" s="53">
        <f>IF(Table25781014[[#This Row],[End
(km)]]="","",Table25781014[[#This Row],[End
(km)]]-Table25781014[[#This Row],[Start
(km)]])</f>
        <v>0.21999999999999975</v>
      </c>
      <c r="M184" s="61" t="s">
        <v>126</v>
      </c>
      <c r="N184" s="59" t="s">
        <v>113</v>
      </c>
      <c r="O184" s="295"/>
      <c r="P184" s="64">
        <v>43207</v>
      </c>
      <c r="Q184" s="307">
        <v>43489</v>
      </c>
      <c r="R184" s="61"/>
      <c r="S184" s="55"/>
      <c r="T184" s="66" t="s">
        <v>122</v>
      </c>
      <c r="U184" s="308"/>
      <c r="V184" s="309"/>
      <c r="W184" s="67" t="s">
        <v>161</v>
      </c>
      <c r="X184" s="77" t="s">
        <v>749</v>
      </c>
      <c r="Y184" s="326"/>
      <c r="Z184" s="159" t="s">
        <v>139</v>
      </c>
      <c r="AA184" s="323"/>
      <c r="AB184" s="96"/>
      <c r="AC184" s="96"/>
      <c r="AD184" s="310" t="str">
        <f>IF(Table25781014[[#This Row],[End Completed Section (km)]]="","",Table25781014[[#This Row],[End Completed Section (km)]]-Table25781014[[#This Row],[Start Completed Section (km)]])</f>
        <v/>
      </c>
      <c r="AE184" s="72"/>
      <c r="AF18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84" s="229" t="str">
        <f>IF(Table25781014[[#This Row],[Planned Date]]="","",TEXT(Table25781014[[#This Row],[Planned Date]],"mmm"))</f>
        <v/>
      </c>
      <c r="AH184" s="252" t="str">
        <f>IF(Table25781014[[#This Row],[Month]]="","",VLOOKUP(Table25781014[[#This Row],[Month]],List!$B$2:$C$13,2,FALSE))</f>
        <v/>
      </c>
    </row>
    <row r="185" spans="1:34" s="56" customFormat="1" ht="25.5" x14ac:dyDescent="0.2">
      <c r="A185" s="98" t="s">
        <v>117</v>
      </c>
      <c r="B185" s="305"/>
      <c r="C185" s="67" t="s">
        <v>165</v>
      </c>
      <c r="D185" s="59" t="s">
        <v>32</v>
      </c>
      <c r="E185" s="100" t="str">
        <f>IF(Table25781014[[#This Row],[Line Section]]="","",VLOOKUP(Table25781014[[#This Row],[Line Section]],Reference!$A$2:$B$47,2,FALSE))</f>
        <v>C170</v>
      </c>
      <c r="F185" s="157"/>
      <c r="G185" s="440"/>
      <c r="H185" s="306"/>
      <c r="I185" s="54" t="s">
        <v>94</v>
      </c>
      <c r="J185" s="60">
        <v>2.21</v>
      </c>
      <c r="K185" s="60">
        <v>2.4</v>
      </c>
      <c r="L185" s="53">
        <f>IF(Table25781014[[#This Row],[End
(km)]]="","",Table25781014[[#This Row],[End
(km)]]-Table25781014[[#This Row],[Start
(km)]])</f>
        <v>0.18999999999999995</v>
      </c>
      <c r="M185" s="61" t="s">
        <v>126</v>
      </c>
      <c r="N185" s="59" t="s">
        <v>112</v>
      </c>
      <c r="O185" s="295" t="s">
        <v>113</v>
      </c>
      <c r="P185" s="64">
        <v>43207</v>
      </c>
      <c r="Q185" s="307">
        <v>43489</v>
      </c>
      <c r="R185" s="61"/>
      <c r="S185" s="55"/>
      <c r="T185" s="66" t="s">
        <v>122</v>
      </c>
      <c r="U185" s="308"/>
      <c r="V185" s="309"/>
      <c r="W185" s="67" t="s">
        <v>131</v>
      </c>
      <c r="X185" s="77" t="s">
        <v>750</v>
      </c>
      <c r="Y185" s="326"/>
      <c r="Z185" s="159" t="s">
        <v>122</v>
      </c>
      <c r="AA185" s="323"/>
      <c r="AB185" s="96"/>
      <c r="AC185" s="96"/>
      <c r="AD185" s="310" t="str">
        <f>IF(Table25781014[[#This Row],[End Completed Section (km)]]="","",Table25781014[[#This Row],[End Completed Section (km)]]-Table25781014[[#This Row],[Start Completed Section (km)]])</f>
        <v/>
      </c>
      <c r="AE185" s="72"/>
      <c r="AF18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85" s="229" t="str">
        <f>IF(Table25781014[[#This Row],[Planned Date]]="","",TEXT(Table25781014[[#This Row],[Planned Date]],"mmm"))</f>
        <v/>
      </c>
      <c r="AH185" s="252" t="str">
        <f>IF(Table25781014[[#This Row],[Month]]="","",VLOOKUP(Table25781014[[#This Row],[Month]],List!$B$2:$C$13,2,FALSE))</f>
        <v/>
      </c>
    </row>
    <row r="186" spans="1:34" ht="114.75" x14ac:dyDescent="0.2">
      <c r="A186" s="98" t="s">
        <v>117</v>
      </c>
      <c r="B186" s="80">
        <v>3</v>
      </c>
      <c r="C186" s="67" t="s">
        <v>165</v>
      </c>
      <c r="D186" s="99" t="s">
        <v>32</v>
      </c>
      <c r="E186" s="100" t="str">
        <f>IF(Table25781014[[#This Row],[Line Section]]="","",VLOOKUP(Table25781014[[#This Row],[Line Section]],Reference!$A$2:$B$47,2,FALSE))</f>
        <v>C170</v>
      </c>
      <c r="F186" s="157">
        <v>44115</v>
      </c>
      <c r="G186" s="440"/>
      <c r="H186" s="247" t="s">
        <v>533</v>
      </c>
      <c r="I186" s="54" t="s">
        <v>93</v>
      </c>
      <c r="J186" s="60">
        <v>2.6</v>
      </c>
      <c r="K186" s="60">
        <v>3.11</v>
      </c>
      <c r="L186" s="102">
        <f>IF(Table25781014[[#This Row],[End
(km)]]="","",Table25781014[[#This Row],[End
(km)]]-Table25781014[[#This Row],[Start
(km)]])</f>
        <v>0.50999999999999979</v>
      </c>
      <c r="M186" s="61" t="s">
        <v>189</v>
      </c>
      <c r="N186" s="59"/>
      <c r="O186" s="295" t="s">
        <v>112</v>
      </c>
      <c r="P186" s="64">
        <v>43489</v>
      </c>
      <c r="Q186" s="71"/>
      <c r="R186" s="57"/>
      <c r="S186" s="55"/>
      <c r="T186" s="66"/>
      <c r="U186" s="66"/>
      <c r="V186" s="268"/>
      <c r="W186" s="67"/>
      <c r="X186" s="77" t="s">
        <v>830</v>
      </c>
      <c r="Y186" s="47"/>
      <c r="Z186" s="103" t="s">
        <v>122</v>
      </c>
      <c r="AA186" s="280"/>
      <c r="AB186" s="96"/>
      <c r="AC186" s="96"/>
      <c r="AD186" s="226" t="str">
        <f>IF(Table25781014[[#This Row],[End Completed Section (km)]]="","",Table25781014[[#This Row],[End Completed Section (km)]]-Table25781014[[#This Row],[Start Completed Section (km)]])</f>
        <v/>
      </c>
      <c r="AE186" s="72"/>
      <c r="AF18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186" s="229" t="str">
        <f>IF(Table25781014[[#This Row],[Planned Date]]="","",TEXT(Table25781014[[#This Row],[Planned Date]],"mmm"))</f>
        <v>Oct</v>
      </c>
      <c r="AH186" s="252">
        <f>IF(Table25781014[[#This Row],[Month]]="","",VLOOKUP(Table25781014[[#This Row],[Month]],List!$B$2:$C$13,2,FALSE))</f>
        <v>4</v>
      </c>
    </row>
    <row r="187" spans="1:34" ht="25.5" x14ac:dyDescent="0.2">
      <c r="A187" s="98" t="s">
        <v>118</v>
      </c>
      <c r="B187" s="305"/>
      <c r="C187" s="67" t="s">
        <v>165</v>
      </c>
      <c r="D187" s="59" t="s">
        <v>32</v>
      </c>
      <c r="E187" s="100" t="str">
        <f>IF(Table25781014[[#This Row],[Line Section]]="","",VLOOKUP(Table25781014[[#This Row],[Line Section]],Reference!$A$2:$B$47,2,FALSE))</f>
        <v>C170</v>
      </c>
      <c r="F187" s="157"/>
      <c r="G187" s="440"/>
      <c r="H187" s="306"/>
      <c r="I187" s="54" t="s">
        <v>96</v>
      </c>
      <c r="J187" s="60">
        <v>2.9929999999999999</v>
      </c>
      <c r="K187" s="60">
        <v>3.35</v>
      </c>
      <c r="L187" s="53">
        <f>IF(Table25781014[[#This Row],[End
(km)]]="","",Table25781014[[#This Row],[End
(km)]]-Table25781014[[#This Row],[Start
(km)]])</f>
        <v>0.35700000000000021</v>
      </c>
      <c r="M187" s="61" t="s">
        <v>189</v>
      </c>
      <c r="N187" s="59" t="s">
        <v>112</v>
      </c>
      <c r="O187" s="295" t="s">
        <v>113</v>
      </c>
      <c r="P187" s="64">
        <v>43230</v>
      </c>
      <c r="Q187" s="307">
        <v>43489</v>
      </c>
      <c r="R187" s="57"/>
      <c r="S187" s="55"/>
      <c r="T187" s="66"/>
      <c r="U187" s="308"/>
      <c r="V187" s="312"/>
      <c r="W187" s="67"/>
      <c r="X187" s="77"/>
      <c r="Y187" s="330"/>
      <c r="Z187" s="80" t="s">
        <v>122</v>
      </c>
      <c r="AA187" s="323"/>
      <c r="AB187" s="96"/>
      <c r="AC187" s="96"/>
      <c r="AD187" s="314" t="str">
        <f>IF(Table25781014[[#This Row],[End Completed Section (km)]]="","",Table25781014[[#This Row],[End Completed Section (km)]]-Table25781014[[#This Row],[Start Completed Section (km)]])</f>
        <v/>
      </c>
      <c r="AE187" s="72"/>
      <c r="AF18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87" s="229" t="str">
        <f>IF(Table25781014[[#This Row],[Planned Date]]="","",TEXT(Table25781014[[#This Row],[Planned Date]],"mmm"))</f>
        <v/>
      </c>
      <c r="AH187" s="252" t="str">
        <f>IF(Table25781014[[#This Row],[Month]]="","",VLOOKUP(Table25781014[[#This Row],[Month]],List!$B$2:$C$13,2,FALSE))</f>
        <v/>
      </c>
    </row>
    <row r="188" spans="1:34" x14ac:dyDescent="0.2">
      <c r="A188" s="98" t="s">
        <v>116</v>
      </c>
      <c r="B188" s="291">
        <v>1</v>
      </c>
      <c r="C188" s="67" t="s">
        <v>165</v>
      </c>
      <c r="D188" s="59" t="s">
        <v>32</v>
      </c>
      <c r="E188" s="100" t="str">
        <f>IF(Table25781014[[#This Row],[Line Section]]="","",VLOOKUP(Table25781014[[#This Row],[Line Section]],Reference!$A$2:$B$47,2,FALSE))</f>
        <v>C170</v>
      </c>
      <c r="F188" s="157" t="s">
        <v>651</v>
      </c>
      <c r="G188" s="440"/>
      <c r="H188" s="443"/>
      <c r="I188" s="54" t="s">
        <v>93</v>
      </c>
      <c r="J188" s="60">
        <v>3.2749999999999999</v>
      </c>
      <c r="K188" s="60">
        <v>3.46</v>
      </c>
      <c r="L188" s="53">
        <f>IF(Table25781014[[#This Row],[End
(km)]]="","",Table25781014[[#This Row],[End
(km)]]-Table25781014[[#This Row],[Start
(km)]])</f>
        <v>0.18500000000000005</v>
      </c>
      <c r="M188" s="61" t="s">
        <v>129</v>
      </c>
      <c r="N188" s="59" t="s">
        <v>113</v>
      </c>
      <c r="O188" s="295" t="s">
        <v>113</v>
      </c>
      <c r="P188" s="64">
        <v>43432</v>
      </c>
      <c r="Q188" s="285">
        <v>43489</v>
      </c>
      <c r="R188" s="57" t="s">
        <v>121</v>
      </c>
      <c r="S188" s="55"/>
      <c r="T188" s="66"/>
      <c r="U188" s="286"/>
      <c r="V188" s="289"/>
      <c r="W188" s="67"/>
      <c r="X188" s="77" t="s">
        <v>583</v>
      </c>
      <c r="Y188" s="366"/>
      <c r="Z188" s="80" t="s">
        <v>122</v>
      </c>
      <c r="AA188" s="287"/>
      <c r="AB188" s="96"/>
      <c r="AC188" s="96"/>
      <c r="AD188" s="290" t="str">
        <f>IF(Table25781014[[#This Row],[End Completed Section (km)]]="","",Table25781014[[#This Row],[End Completed Section (km)]]-Table25781014[[#This Row],[Start Completed Section (km)]])</f>
        <v/>
      </c>
      <c r="AE188" s="161"/>
      <c r="AF188" s="253"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188" s="254" t="str">
        <f>IF(Table25781014[[#This Row],[Planned Date]]="","",TEXT(Table25781014[[#This Row],[Planned Date]],"mmm"))</f>
        <v>21/22</v>
      </c>
      <c r="AH188" s="255" t="e">
        <f>IF(Table25781014[[#This Row],[Month]]="","",VLOOKUP(Table25781014[[#This Row],[Month]],List!$B$2:$C$13,2,FALSE))</f>
        <v>#N/A</v>
      </c>
    </row>
    <row r="189" spans="1:34" s="56" customFormat="1" x14ac:dyDescent="0.2">
      <c r="A189" s="98" t="s">
        <v>116</v>
      </c>
      <c r="B189" s="80"/>
      <c r="C189" s="67" t="s">
        <v>164</v>
      </c>
      <c r="D189" s="99" t="s">
        <v>33</v>
      </c>
      <c r="E189" s="100" t="str">
        <f>IF(Table25781014[[#This Row],[Line Section]]="","",VLOOKUP(Table25781014[[#This Row],[Line Section]],Reference!$A$2:$B$47,2,FALSE))</f>
        <v>C172</v>
      </c>
      <c r="F189" s="157" t="s">
        <v>651</v>
      </c>
      <c r="G189" s="440"/>
      <c r="H189" s="249"/>
      <c r="I189" s="54" t="s">
        <v>94</v>
      </c>
      <c r="J189" s="101">
        <v>0.42</v>
      </c>
      <c r="K189" s="60">
        <v>0.85</v>
      </c>
      <c r="L189" s="102">
        <f>IF(Table25781014[[#This Row],[End
(km)]]="","",Table25781014[[#This Row],[End
(km)]]-Table25781014[[#This Row],[Start
(km)]])</f>
        <v>0.43</v>
      </c>
      <c r="M189" s="61" t="s">
        <v>126</v>
      </c>
      <c r="N189" s="99" t="s">
        <v>113</v>
      </c>
      <c r="O189" s="71" t="s">
        <v>113</v>
      </c>
      <c r="P189" s="64">
        <v>43230</v>
      </c>
      <c r="Q189" s="71">
        <v>43476</v>
      </c>
      <c r="R189" s="57"/>
      <c r="S189" s="55"/>
      <c r="T189" s="66"/>
      <c r="U189" s="66"/>
      <c r="V189" s="269"/>
      <c r="W189" s="67" t="s">
        <v>644</v>
      </c>
      <c r="X189" s="340"/>
      <c r="Y189" s="46"/>
      <c r="Z189" s="103" t="s">
        <v>122</v>
      </c>
      <c r="AA189" s="280"/>
      <c r="AB189" s="96"/>
      <c r="AC189" s="96"/>
      <c r="AD189" s="227" t="str">
        <f>IF(Table25781014[[#This Row],[End Completed Section (km)]]="","",Table25781014[[#This Row],[End Completed Section (km)]]-Table25781014[[#This Row],[Start Completed Section (km)]])</f>
        <v/>
      </c>
      <c r="AE189" s="161"/>
      <c r="AF189"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189" s="229" t="str">
        <f>IF(Table25781014[[#This Row],[Planned Date]]="","",TEXT(Table25781014[[#This Row],[Planned Date]],"mmm"))</f>
        <v>21/22</v>
      </c>
      <c r="AH189" s="56" t="e">
        <f>IF(Table25781014[[#This Row],[Month]]="","",VLOOKUP(Table25781014[[#This Row],[Month]],List!$B$2:$C$13,2,FALSE))</f>
        <v>#N/A</v>
      </c>
    </row>
    <row r="190" spans="1:34" ht="38.25" x14ac:dyDescent="0.2">
      <c r="A190" s="98" t="s">
        <v>116</v>
      </c>
      <c r="B190" s="80"/>
      <c r="C190" s="67" t="s">
        <v>164</v>
      </c>
      <c r="D190" s="45" t="s">
        <v>33</v>
      </c>
      <c r="E190" s="100" t="str">
        <f>IF(Table25781014[[#This Row],[Line Section]]="","",VLOOKUP(Table25781014[[#This Row],[Line Section]],Reference!$A$2:$B$47,2,FALSE))</f>
        <v>C172</v>
      </c>
      <c r="F190" s="157">
        <v>44332</v>
      </c>
      <c r="G190" s="440"/>
      <c r="H190" s="247" t="s">
        <v>534</v>
      </c>
      <c r="I190" s="54" t="s">
        <v>95</v>
      </c>
      <c r="J190" s="101">
        <v>0.6</v>
      </c>
      <c r="K190" s="60">
        <v>0.82499999999999996</v>
      </c>
      <c r="L190" s="102">
        <f>IF(Table25781014[[#This Row],[End
(km)]]="","",Table25781014[[#This Row],[End
(km)]]-Table25781014[[#This Row],[Start
(km)]])</f>
        <v>0.22499999999999998</v>
      </c>
      <c r="M190" s="61" t="s">
        <v>146</v>
      </c>
      <c r="N190" s="59" t="s">
        <v>113</v>
      </c>
      <c r="O190" s="295" t="s">
        <v>113</v>
      </c>
      <c r="P190" s="64">
        <v>43243</v>
      </c>
      <c r="Q190" s="71">
        <v>43250</v>
      </c>
      <c r="R190" s="57" t="s">
        <v>121</v>
      </c>
      <c r="S190" s="106"/>
      <c r="T190" s="66" t="s">
        <v>121</v>
      </c>
      <c r="U190" s="66"/>
      <c r="V190" s="268"/>
      <c r="W190" s="67" t="s">
        <v>376</v>
      </c>
      <c r="X190" s="107" t="s">
        <v>407</v>
      </c>
      <c r="Y190" s="158" t="s">
        <v>375</v>
      </c>
      <c r="Z190" s="103" t="s">
        <v>122</v>
      </c>
      <c r="AA190" s="280"/>
      <c r="AB190" s="96"/>
      <c r="AC190" s="96"/>
      <c r="AD190" s="226" t="str">
        <f>IF(Table25781014[[#This Row],[End Completed Section (km)]]="","",Table25781014[[#This Row],[End Completed Section (km)]]-Table25781014[[#This Row],[Start Completed Section (km)]])</f>
        <v/>
      </c>
      <c r="AE190" s="161"/>
      <c r="AF19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190" s="229" t="str">
        <f>IF(Table25781014[[#This Row],[Planned Date]]="","",TEXT(Table25781014[[#This Row],[Planned Date]],"mmm"))</f>
        <v>May</v>
      </c>
      <c r="AH190" s="56">
        <f>IF(Table25781014[[#This Row],[Month]]="","",VLOOKUP(Table25781014[[#This Row],[Month]],List!$B$2:$C$13,2,FALSE))</f>
        <v>11</v>
      </c>
    </row>
    <row r="191" spans="1:34" s="56" customFormat="1" ht="63.75" x14ac:dyDescent="0.2">
      <c r="A191" s="98" t="s">
        <v>117</v>
      </c>
      <c r="B191" s="80"/>
      <c r="C191" s="67" t="s">
        <v>164</v>
      </c>
      <c r="D191" s="99" t="s">
        <v>33</v>
      </c>
      <c r="E191" s="100" t="str">
        <f>IF(Table25781014[[#This Row],[Line Section]]="","",VLOOKUP(Table25781014[[#This Row],[Line Section]],Reference!$A$2:$B$47,2,FALSE))</f>
        <v>C172</v>
      </c>
      <c r="F191" s="157">
        <v>44241</v>
      </c>
      <c r="G191" s="440" t="s">
        <v>430</v>
      </c>
      <c r="H191" s="247" t="s">
        <v>533</v>
      </c>
      <c r="I191" s="54" t="s">
        <v>93</v>
      </c>
      <c r="J191" s="101">
        <v>0.64</v>
      </c>
      <c r="K191" s="60">
        <v>0.82499999999999996</v>
      </c>
      <c r="L191" s="102">
        <f>IF(Table25781014[[#This Row],[End
(km)]]="","",Table25781014[[#This Row],[End
(km)]]-Table25781014[[#This Row],[Start
(km)]])</f>
        <v>0.18499999999999994</v>
      </c>
      <c r="M191" s="61" t="s">
        <v>126</v>
      </c>
      <c r="N191" s="99" t="s">
        <v>113</v>
      </c>
      <c r="O191" s="71" t="s">
        <v>113</v>
      </c>
      <c r="P191" s="64">
        <v>43230</v>
      </c>
      <c r="Q191" s="71">
        <v>43472</v>
      </c>
      <c r="R191" s="57" t="s">
        <v>121</v>
      </c>
      <c r="S191" s="55"/>
      <c r="T191" s="66"/>
      <c r="U191" s="66"/>
      <c r="V191" s="269"/>
      <c r="W191" s="67"/>
      <c r="X191" s="107" t="s">
        <v>403</v>
      </c>
      <c r="Y191" s="46"/>
      <c r="Z191" s="103" t="s">
        <v>573</v>
      </c>
      <c r="AA191" s="280">
        <v>43506</v>
      </c>
      <c r="AB191" s="96"/>
      <c r="AC191" s="96"/>
      <c r="AD191" s="227" t="str">
        <f>IF(Table25781014[[#This Row],[End Completed Section (km)]]="","",Table25781014[[#This Row],[End Completed Section (km)]]-Table25781014[[#This Row],[Start Completed Section (km)]])</f>
        <v/>
      </c>
      <c r="AE191" s="161"/>
      <c r="AF19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191" s="229" t="str">
        <f>IF(Table25781014[[#This Row],[Planned Date]]="","",TEXT(Table25781014[[#This Row],[Planned Date]],"mmm"))</f>
        <v>Feb</v>
      </c>
      <c r="AH191" s="56">
        <f>IF(Table25781014[[#This Row],[Month]]="","",VLOOKUP(Table25781014[[#This Row],[Month]],List!$B$2:$C$13,2,FALSE))</f>
        <v>8</v>
      </c>
    </row>
    <row r="192" spans="1:34" s="56" customFormat="1" ht="25.5" x14ac:dyDescent="0.2">
      <c r="A192" s="98" t="s">
        <v>116</v>
      </c>
      <c r="B192" s="51"/>
      <c r="C192" s="67" t="s">
        <v>164</v>
      </c>
      <c r="D192" s="99" t="s">
        <v>33</v>
      </c>
      <c r="E192" s="100" t="str">
        <f>IF(Table25781014[[#This Row],[Line Section]]="","",VLOOKUP(Table25781014[[#This Row],[Line Section]],Reference!$A$2:$B$47,2,FALSE))</f>
        <v>C172</v>
      </c>
      <c r="F192" s="157">
        <v>43240</v>
      </c>
      <c r="G192" s="440"/>
      <c r="H192" s="249"/>
      <c r="I192" s="54" t="s">
        <v>96</v>
      </c>
      <c r="J192" s="101">
        <v>0.68500000000000005</v>
      </c>
      <c r="K192" s="60">
        <v>0.82499999999999996</v>
      </c>
      <c r="L192" s="102">
        <f>IF(Table25781014[[#This Row],[End
(km)]]="","",Table25781014[[#This Row],[End
(km)]]-Table25781014[[#This Row],[Start
(km)]])</f>
        <v>0.1399999999999999</v>
      </c>
      <c r="M192" s="61" t="s">
        <v>126</v>
      </c>
      <c r="N192" s="99" t="s">
        <v>113</v>
      </c>
      <c r="O192" s="71"/>
      <c r="P192" s="64">
        <v>43229</v>
      </c>
      <c r="Q192" s="36">
        <v>43243</v>
      </c>
      <c r="R192" s="57" t="s">
        <v>121</v>
      </c>
      <c r="S192" s="106"/>
      <c r="T192" s="66"/>
      <c r="U192" s="48"/>
      <c r="V192" s="270"/>
      <c r="W192" s="67"/>
      <c r="X192" s="107" t="s">
        <v>379</v>
      </c>
      <c r="Y192" s="267"/>
      <c r="Z192" s="103" t="s">
        <v>121</v>
      </c>
      <c r="AA192" s="280"/>
      <c r="AB192" s="96">
        <v>0.68500000000000005</v>
      </c>
      <c r="AC192" s="96">
        <v>0.81</v>
      </c>
      <c r="AD192" s="227">
        <f>IF(Table25781014[[#This Row],[End Completed Section (km)]]="","",Table25781014[[#This Row],[End Completed Section (km)]]-Table25781014[[#This Row],[Start Completed Section (km)]])</f>
        <v>0.125</v>
      </c>
      <c r="AE192" s="161">
        <v>43240</v>
      </c>
      <c r="AF19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2017-18</v>
      </c>
      <c r="AG192" s="229" t="str">
        <f>IF(Table25781014[[#This Row],[Planned Date]]="","",TEXT(Table25781014[[#This Row],[Planned Date]],"mmm"))</f>
        <v>May</v>
      </c>
      <c r="AH192" s="56">
        <f>IF(Table25781014[[#This Row],[Month]]="","",VLOOKUP(Table25781014[[#This Row],[Month]],List!$B$2:$C$13,2,FALSE))</f>
        <v>11</v>
      </c>
    </row>
    <row r="193" spans="1:34" ht="51" x14ac:dyDescent="0.2">
      <c r="A193" s="98" t="s">
        <v>116</v>
      </c>
      <c r="B193" s="80"/>
      <c r="C193" s="67" t="s">
        <v>164</v>
      </c>
      <c r="D193" s="45" t="s">
        <v>33</v>
      </c>
      <c r="E193" s="45" t="str">
        <f>IF(Table25781014[[#This Row],[Line Section]]="","",VLOOKUP(Table25781014[[#This Row],[Line Section]],Reference!$A$2:$B$47,2,FALSE))</f>
        <v>C172</v>
      </c>
      <c r="F193" s="157">
        <v>43240</v>
      </c>
      <c r="G193" s="440"/>
      <c r="H193" s="247"/>
      <c r="I193" s="54" t="s">
        <v>96</v>
      </c>
      <c r="J193" s="60">
        <v>1.1499999999999999</v>
      </c>
      <c r="K193" s="43">
        <v>1.6</v>
      </c>
      <c r="L193" s="53">
        <f>IF(Table25781014[[#This Row],[End
(km)]]="","",Table25781014[[#This Row],[End
(km)]]-Table25781014[[#This Row],[Start
(km)]])</f>
        <v>0.45000000000000018</v>
      </c>
      <c r="M193" s="61" t="s">
        <v>126</v>
      </c>
      <c r="N193" s="59" t="s">
        <v>112</v>
      </c>
      <c r="O193" s="295"/>
      <c r="P193" s="64">
        <v>43207</v>
      </c>
      <c r="Q193" s="71">
        <v>43243</v>
      </c>
      <c r="R193" s="61" t="s">
        <v>121</v>
      </c>
      <c r="S193" s="55" t="s">
        <v>121</v>
      </c>
      <c r="T193" s="66" t="s">
        <v>121</v>
      </c>
      <c r="U193" s="66"/>
      <c r="V193" s="268"/>
      <c r="W193" s="67" t="s">
        <v>133</v>
      </c>
      <c r="X193" s="77" t="s">
        <v>378</v>
      </c>
      <c r="Y193" s="387"/>
      <c r="Z193" s="159" t="s">
        <v>121</v>
      </c>
      <c r="AA193" s="281"/>
      <c r="AB193" s="96">
        <v>1.3</v>
      </c>
      <c r="AC193" s="96">
        <v>1.6</v>
      </c>
      <c r="AD193" s="226">
        <f>IF(Table25781014[[#This Row],[End Completed Section (km)]]="","",Table25781014[[#This Row],[End Completed Section (km)]]-Table25781014[[#This Row],[Start Completed Section (km)]])</f>
        <v>0.30000000000000004</v>
      </c>
      <c r="AE193" s="161">
        <v>43240</v>
      </c>
      <c r="AF19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2017-18</v>
      </c>
      <c r="AG193" s="229" t="str">
        <f>IF(Table25781014[[#This Row],[Planned Date]]="","",TEXT(Table25781014[[#This Row],[Planned Date]],"mmm"))</f>
        <v>May</v>
      </c>
      <c r="AH193" s="56">
        <f>IF(Table25781014[[#This Row],[Month]]="","",VLOOKUP(Table25781014[[#This Row],[Month]],List!$B$2:$C$13,2,FALSE))</f>
        <v>11</v>
      </c>
    </row>
    <row r="194" spans="1:34" ht="38.25" x14ac:dyDescent="0.2">
      <c r="A194" s="98" t="s">
        <v>116</v>
      </c>
      <c r="B194" s="80"/>
      <c r="C194" s="67" t="s">
        <v>164</v>
      </c>
      <c r="D194" s="99" t="s">
        <v>33</v>
      </c>
      <c r="E194" s="100" t="str">
        <f>IF(Table25781014[[#This Row],[Line Section]]="","",VLOOKUP(Table25781014[[#This Row],[Line Section]],Reference!$A$2:$B$47,2,FALSE))</f>
        <v>C172</v>
      </c>
      <c r="F194" s="157">
        <v>44143</v>
      </c>
      <c r="G194" s="440" t="s">
        <v>430</v>
      </c>
      <c r="H194" s="249" t="s">
        <v>533</v>
      </c>
      <c r="I194" s="54" t="s">
        <v>93</v>
      </c>
      <c r="J194" s="101">
        <v>1.347</v>
      </c>
      <c r="K194" s="60">
        <v>1.5760000000000001</v>
      </c>
      <c r="L194" s="102">
        <f>IF(Table25781014[[#This Row],[End
(km)]]="","",Table25781014[[#This Row],[End
(km)]]-Table25781014[[#This Row],[Start
(km)]])</f>
        <v>0.22900000000000009</v>
      </c>
      <c r="M194" s="61" t="s">
        <v>145</v>
      </c>
      <c r="N194" s="99" t="s">
        <v>113</v>
      </c>
      <c r="O194" s="71" t="s">
        <v>113</v>
      </c>
      <c r="P194" s="64">
        <v>43230</v>
      </c>
      <c r="Q194" s="71">
        <v>43472</v>
      </c>
      <c r="R194" s="57" t="s">
        <v>121</v>
      </c>
      <c r="S194" s="55"/>
      <c r="T194" s="66"/>
      <c r="U194" s="66"/>
      <c r="V194" s="268"/>
      <c r="W194" s="67" t="s">
        <v>241</v>
      </c>
      <c r="X194" s="107" t="s">
        <v>632</v>
      </c>
      <c r="Y194" s="47"/>
      <c r="Z194" s="103" t="s">
        <v>122</v>
      </c>
      <c r="AA194" s="280"/>
      <c r="AB194" s="96"/>
      <c r="AC194" s="96"/>
      <c r="AD194" s="226" t="str">
        <f>IF(Table25781014[[#This Row],[End Completed Section (km)]]="","",Table25781014[[#This Row],[End Completed Section (km)]]-Table25781014[[#This Row],[Start Completed Section (km)]])</f>
        <v/>
      </c>
      <c r="AE194" s="161"/>
      <c r="AF19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194" s="229" t="str">
        <f>IF(Table25781014[[#This Row],[Planned Date]]="","",TEXT(Table25781014[[#This Row],[Planned Date]],"mmm"))</f>
        <v>Nov</v>
      </c>
      <c r="AH194" s="56">
        <f>IF(Table25781014[[#This Row],[Month]]="","",VLOOKUP(Table25781014[[#This Row],[Month]],List!$B$2:$C$13,2,FALSE))</f>
        <v>5</v>
      </c>
    </row>
    <row r="195" spans="1:34" x14ac:dyDescent="0.2">
      <c r="A195" s="98" t="s">
        <v>117</v>
      </c>
      <c r="B195" s="80"/>
      <c r="C195" s="67" t="s">
        <v>164</v>
      </c>
      <c r="D195" s="99" t="s">
        <v>33</v>
      </c>
      <c r="E195" s="100" t="str">
        <f>IF(Table25781014[[#This Row],[Line Section]]="","",VLOOKUP(Table25781014[[#This Row],[Line Section]],Reference!$A$2:$B$47,2,FALSE))</f>
        <v>C172</v>
      </c>
      <c r="F195" s="157"/>
      <c r="G195" s="440"/>
      <c r="H195" s="249"/>
      <c r="I195" s="54" t="s">
        <v>94</v>
      </c>
      <c r="J195" s="60">
        <v>1.38</v>
      </c>
      <c r="K195" s="60">
        <v>1.55</v>
      </c>
      <c r="L195" s="102">
        <f>IF(Table25781014[[#This Row],[End
(km)]]="","",Table25781014[[#This Row],[End
(km)]]-Table25781014[[#This Row],[Start
(km)]])</f>
        <v>0.17000000000000015</v>
      </c>
      <c r="M195" s="61" t="s">
        <v>126</v>
      </c>
      <c r="N195" s="59" t="s">
        <v>113</v>
      </c>
      <c r="O195" s="295"/>
      <c r="P195" s="64">
        <v>43230</v>
      </c>
      <c r="Q195" s="71">
        <v>43252</v>
      </c>
      <c r="R195" s="57" t="s">
        <v>121</v>
      </c>
      <c r="S195" s="55"/>
      <c r="T195" s="66" t="s">
        <v>121</v>
      </c>
      <c r="U195" s="66"/>
      <c r="V195" s="268"/>
      <c r="W195" s="67" t="s">
        <v>241</v>
      </c>
      <c r="X195" s="77" t="s">
        <v>422</v>
      </c>
      <c r="Y195" s="47"/>
      <c r="Z195" s="103" t="s">
        <v>139</v>
      </c>
      <c r="AA195" s="280"/>
      <c r="AB195" s="96"/>
      <c r="AC195" s="96"/>
      <c r="AD195" s="226" t="str">
        <f>IF(Table25781014[[#This Row],[End Completed Section (km)]]="","",Table25781014[[#This Row],[End Completed Section (km)]]-Table25781014[[#This Row],[Start Completed Section (km)]])</f>
        <v/>
      </c>
      <c r="AE195" s="161"/>
      <c r="AF19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95" s="229" t="str">
        <f>IF(Table25781014[[#This Row],[Planned Date]]="","",TEXT(Table25781014[[#This Row],[Planned Date]],"mmm"))</f>
        <v/>
      </c>
      <c r="AH195" s="56" t="str">
        <f>IF(Table25781014[[#This Row],[Month]]="","",VLOOKUP(Table25781014[[#This Row],[Month]],List!$B$2:$C$13,2,FALSE))</f>
        <v/>
      </c>
    </row>
    <row r="196" spans="1:34" ht="89.25" x14ac:dyDescent="0.2">
      <c r="A196" s="98" t="s">
        <v>116</v>
      </c>
      <c r="B196" s="80"/>
      <c r="C196" s="67" t="s">
        <v>164</v>
      </c>
      <c r="D196" s="45" t="s">
        <v>33</v>
      </c>
      <c r="E196" s="45" t="str">
        <f>IF(Table25781014[[#This Row],[Line Section]]="","",VLOOKUP(Table25781014[[#This Row],[Line Section]],Reference!$A$2:$B$47,2,FALSE))</f>
        <v>C172</v>
      </c>
      <c r="F196" s="157">
        <v>43408</v>
      </c>
      <c r="G196" s="440"/>
      <c r="H196" s="247" t="s">
        <v>533</v>
      </c>
      <c r="I196" s="54" t="s">
        <v>95</v>
      </c>
      <c r="J196" s="60">
        <v>1.4</v>
      </c>
      <c r="K196" s="60">
        <v>1.55</v>
      </c>
      <c r="L196" s="53">
        <f>IF(Table25781014[[#This Row],[End
(km)]]="","",Table25781014[[#This Row],[End
(km)]]-Table25781014[[#This Row],[Start
(km)]])</f>
        <v>0.15000000000000013</v>
      </c>
      <c r="M196" s="61" t="s">
        <v>145</v>
      </c>
      <c r="N196" s="59" t="s">
        <v>113</v>
      </c>
      <c r="O196" s="295"/>
      <c r="P196" s="64">
        <v>43207</v>
      </c>
      <c r="Q196" s="71">
        <v>43250</v>
      </c>
      <c r="R196" s="61" t="s">
        <v>121</v>
      </c>
      <c r="S196" s="55" t="s">
        <v>121</v>
      </c>
      <c r="T196" s="266" t="s">
        <v>122</v>
      </c>
      <c r="U196" s="266"/>
      <c r="V196" s="385"/>
      <c r="W196" s="321" t="s">
        <v>123</v>
      </c>
      <c r="X196" s="77" t="s">
        <v>404</v>
      </c>
      <c r="Y196" s="387"/>
      <c r="Z196" s="159" t="s">
        <v>121</v>
      </c>
      <c r="AA196" s="281"/>
      <c r="AB196" s="315">
        <v>1.3</v>
      </c>
      <c r="AC196" s="315">
        <v>1.6</v>
      </c>
      <c r="AD196" s="407">
        <f>IF(Table25781014[[#This Row],[End Completed Section (km)]]="","",Table25781014[[#This Row],[End Completed Section (km)]]-Table25781014[[#This Row],[Start Completed Section (km)]])</f>
        <v>0.30000000000000004</v>
      </c>
      <c r="AE196" s="316">
        <v>43408</v>
      </c>
      <c r="AF19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196" s="229" t="str">
        <f>IF(Table25781014[[#This Row],[Planned Date]]="","",TEXT(Table25781014[[#This Row],[Planned Date]],"mmm"))</f>
        <v>Nov</v>
      </c>
      <c r="AH196" s="56">
        <f>IF(Table25781014[[#This Row],[Month]]="","",VLOOKUP(Table25781014[[#This Row],[Month]],List!$B$2:$C$13,2,FALSE))</f>
        <v>5</v>
      </c>
    </row>
    <row r="197" spans="1:34" s="56" customFormat="1" x14ac:dyDescent="0.2">
      <c r="A197" s="98" t="s">
        <v>117</v>
      </c>
      <c r="B197" s="80"/>
      <c r="C197" s="67" t="s">
        <v>164</v>
      </c>
      <c r="D197" s="45" t="s">
        <v>33</v>
      </c>
      <c r="E197" s="325" t="str">
        <f>IF(Table25781014[[#This Row],[Line Section]]="","",VLOOKUP(Table25781014[[#This Row],[Line Section]],Reference!$A$2:$B$47,2,FALSE))</f>
        <v>C172</v>
      </c>
      <c r="F197" s="157"/>
      <c r="G197" s="440"/>
      <c r="H197" s="247"/>
      <c r="I197" s="54" t="s">
        <v>95</v>
      </c>
      <c r="J197" s="60">
        <v>1.63</v>
      </c>
      <c r="K197" s="60">
        <v>1.68</v>
      </c>
      <c r="L197" s="53">
        <f>IF(Table25781014[[#This Row],[End
(km)]]="","",Table25781014[[#This Row],[End
(km)]]-Table25781014[[#This Row],[Start
(km)]])</f>
        <v>5.0000000000000044E-2</v>
      </c>
      <c r="M197" s="61" t="s">
        <v>129</v>
      </c>
      <c r="N197" s="59" t="s">
        <v>207</v>
      </c>
      <c r="O197" s="295" t="s">
        <v>111</v>
      </c>
      <c r="P197" s="64">
        <v>43243</v>
      </c>
      <c r="Q197" s="71">
        <v>43250</v>
      </c>
      <c r="R197" s="61" t="s">
        <v>121</v>
      </c>
      <c r="S197" s="55"/>
      <c r="T197" s="266"/>
      <c r="U197" s="66"/>
      <c r="V197" s="269"/>
      <c r="W197" s="321"/>
      <c r="X197" s="155"/>
      <c r="Y197" s="46"/>
      <c r="Z197" s="159" t="s">
        <v>122</v>
      </c>
      <c r="AA197" s="281"/>
      <c r="AB197" s="315"/>
      <c r="AC197" s="315"/>
      <c r="AD197" s="485" t="str">
        <f>IF(Table25781014[[#This Row],[End Completed Section (km)]]="","",Table25781014[[#This Row],[End Completed Section (km)]]-Table25781014[[#This Row],[Start Completed Section (km)]])</f>
        <v/>
      </c>
      <c r="AE197" s="316"/>
      <c r="AF19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197" s="229" t="str">
        <f>IF(Table25781014[[#This Row],[Planned Date]]="","",TEXT(Table25781014[[#This Row],[Planned Date]],"mmm"))</f>
        <v/>
      </c>
      <c r="AH197" s="56" t="str">
        <f>IF(Table25781014[[#This Row],[Month]]="","",VLOOKUP(Table25781014[[#This Row],[Month]],List!$B$2:$C$13,2,FALSE))</f>
        <v/>
      </c>
    </row>
    <row r="198" spans="1:34" s="56" customFormat="1" ht="38.25" x14ac:dyDescent="0.2">
      <c r="A198" s="98" t="s">
        <v>118</v>
      </c>
      <c r="B198" s="80"/>
      <c r="C198" s="67" t="s">
        <v>164</v>
      </c>
      <c r="D198" s="99" t="s">
        <v>33</v>
      </c>
      <c r="E198" s="100" t="str">
        <f>IF(Table25781014[[#This Row],[Line Section]]="","",VLOOKUP(Table25781014[[#This Row],[Line Section]],Reference!$A$2:$B$47,2,FALSE))</f>
        <v>C172</v>
      </c>
      <c r="F198" s="157">
        <v>44241</v>
      </c>
      <c r="G198" s="440"/>
      <c r="H198" s="249" t="s">
        <v>534</v>
      </c>
      <c r="I198" s="54" t="s">
        <v>93</v>
      </c>
      <c r="J198" s="101">
        <v>2.3199999999999998</v>
      </c>
      <c r="K198" s="60">
        <v>2.4700000000000002</v>
      </c>
      <c r="L198" s="102">
        <f>IF(Table25781014[[#This Row],[End
(km)]]="","",Table25781014[[#This Row],[End
(km)]]-Table25781014[[#This Row],[Start
(km)]])</f>
        <v>0.15000000000000036</v>
      </c>
      <c r="M198" s="61" t="s">
        <v>126</v>
      </c>
      <c r="N198" s="99" t="s">
        <v>113</v>
      </c>
      <c r="O198" s="71" t="s">
        <v>111</v>
      </c>
      <c r="P198" s="64">
        <v>43230</v>
      </c>
      <c r="Q198" s="71">
        <v>43473</v>
      </c>
      <c r="R198" s="57" t="s">
        <v>121</v>
      </c>
      <c r="S198" s="55"/>
      <c r="T198" s="66"/>
      <c r="U198" s="66"/>
      <c r="V198" s="269"/>
      <c r="W198" s="67"/>
      <c r="X198" s="411" t="s">
        <v>831</v>
      </c>
      <c r="Y198" s="46"/>
      <c r="Z198" s="103" t="s">
        <v>122</v>
      </c>
      <c r="AA198" s="280"/>
      <c r="AB198" s="96"/>
      <c r="AC198" s="96"/>
      <c r="AD198" s="227" t="str">
        <f>IF(Table25781014[[#This Row],[End Completed Section (km)]]="","",Table25781014[[#This Row],[End Completed Section (km)]]-Table25781014[[#This Row],[Start Completed Section (km)]])</f>
        <v/>
      </c>
      <c r="AE198" s="161"/>
      <c r="AF19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198" s="229" t="str">
        <f>IF(Table25781014[[#This Row],[Planned Date]]="","",TEXT(Table25781014[[#This Row],[Planned Date]],"mmm"))</f>
        <v>Feb</v>
      </c>
      <c r="AH198" s="56">
        <f>IF(Table25781014[[#This Row],[Month]]="","",VLOOKUP(Table25781014[[#This Row],[Month]],List!$B$2:$C$13,2,FALSE))</f>
        <v>8</v>
      </c>
    </row>
    <row r="199" spans="1:34" x14ac:dyDescent="0.2">
      <c r="A199" s="98" t="s">
        <v>117</v>
      </c>
      <c r="B199" s="80"/>
      <c r="C199" s="67" t="s">
        <v>164</v>
      </c>
      <c r="D199" s="99" t="s">
        <v>33</v>
      </c>
      <c r="E199" s="100" t="str">
        <f>IF(Table25781014[[#This Row],[Line Section]]="","",VLOOKUP(Table25781014[[#This Row],[Line Section]],Reference!$A$2:$B$47,2,FALSE))</f>
        <v>C172</v>
      </c>
      <c r="F199" s="157">
        <v>44143</v>
      </c>
      <c r="G199" s="440"/>
      <c r="H199" s="249"/>
      <c r="I199" s="54" t="s">
        <v>93</v>
      </c>
      <c r="J199" s="101">
        <v>2.6</v>
      </c>
      <c r="K199" s="60">
        <v>2.85</v>
      </c>
      <c r="L199" s="102">
        <f>IF(Table25781014[[#This Row],[End
(km)]]="","",Table25781014[[#This Row],[End
(km)]]-Table25781014[[#This Row],[Start
(km)]])</f>
        <v>0.25</v>
      </c>
      <c r="M199" s="61" t="s">
        <v>126</v>
      </c>
      <c r="N199" s="99" t="s">
        <v>110</v>
      </c>
      <c r="O199" s="71" t="s">
        <v>112</v>
      </c>
      <c r="P199" s="64">
        <v>43230</v>
      </c>
      <c r="Q199" s="71">
        <v>43474</v>
      </c>
      <c r="R199" s="57"/>
      <c r="S199" s="55"/>
      <c r="T199" s="66"/>
      <c r="U199" s="66"/>
      <c r="V199" s="268"/>
      <c r="W199" s="67" t="s">
        <v>242</v>
      </c>
      <c r="X199" s="107"/>
      <c r="Y199" s="47"/>
      <c r="Z199" s="103" t="s">
        <v>122</v>
      </c>
      <c r="AA199" s="280"/>
      <c r="AB199" s="96"/>
      <c r="AC199" s="96"/>
      <c r="AD199" s="226" t="str">
        <f>IF(Table25781014[[#This Row],[End Completed Section (km)]]="","",Table25781014[[#This Row],[End Completed Section (km)]]-Table25781014[[#This Row],[Start Completed Section (km)]])</f>
        <v/>
      </c>
      <c r="AE199" s="161"/>
      <c r="AF19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199" s="229" t="str">
        <f>IF(Table25781014[[#This Row],[Planned Date]]="","",TEXT(Table25781014[[#This Row],[Planned Date]],"mmm"))</f>
        <v>Nov</v>
      </c>
      <c r="AH199" s="56">
        <f>IF(Table25781014[[#This Row],[Month]]="","",VLOOKUP(Table25781014[[#This Row],[Month]],List!$B$2:$C$13,2,FALSE))</f>
        <v>5</v>
      </c>
    </row>
    <row r="200" spans="1:34" x14ac:dyDescent="0.2">
      <c r="A200" s="98" t="s">
        <v>117</v>
      </c>
      <c r="B200" s="80"/>
      <c r="C200" s="67" t="s">
        <v>164</v>
      </c>
      <c r="D200" s="99" t="s">
        <v>33</v>
      </c>
      <c r="E200" s="100" t="str">
        <f>IF(Table25781014[[#This Row],[Line Section]]="","",VLOOKUP(Table25781014[[#This Row],[Line Section]],Reference!$A$2:$B$47,2,FALSE))</f>
        <v>C172</v>
      </c>
      <c r="F200" s="157"/>
      <c r="G200" s="440"/>
      <c r="H200" s="249"/>
      <c r="I200" s="54" t="s">
        <v>94</v>
      </c>
      <c r="J200" s="60">
        <v>3.5</v>
      </c>
      <c r="K200" s="60">
        <v>3.85</v>
      </c>
      <c r="L200" s="102">
        <f>IF(Table25781014[[#This Row],[End
(km)]]="","",Table25781014[[#This Row],[End
(km)]]-Table25781014[[#This Row],[Start
(km)]])</f>
        <v>0.35000000000000009</v>
      </c>
      <c r="M200" s="61" t="s">
        <v>126</v>
      </c>
      <c r="N200" s="59" t="s">
        <v>113</v>
      </c>
      <c r="O200" s="295" t="s">
        <v>113</v>
      </c>
      <c r="P200" s="64">
        <v>43230</v>
      </c>
      <c r="Q200" s="71">
        <v>43476</v>
      </c>
      <c r="R200" s="57"/>
      <c r="S200" s="55"/>
      <c r="T200" s="66"/>
      <c r="U200" s="66"/>
      <c r="V200" s="268"/>
      <c r="W200" s="67" t="s">
        <v>246</v>
      </c>
      <c r="X200" s="77"/>
      <c r="Y200" s="47"/>
      <c r="Z200" s="103" t="s">
        <v>122</v>
      </c>
      <c r="AA200" s="280"/>
      <c r="AB200" s="96"/>
      <c r="AC200" s="96"/>
      <c r="AD200" s="226" t="str">
        <f>IF(Table25781014[[#This Row],[End Completed Section (km)]]="","",Table25781014[[#This Row],[End Completed Section (km)]]-Table25781014[[#This Row],[Start Completed Section (km)]])</f>
        <v/>
      </c>
      <c r="AE200" s="161"/>
      <c r="AF20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00" s="229" t="str">
        <f>IF(Table25781014[[#This Row],[Planned Date]]="","",TEXT(Table25781014[[#This Row],[Planned Date]],"mmm"))</f>
        <v/>
      </c>
      <c r="AH200" s="56" t="str">
        <f>IF(Table25781014[[#This Row],[Month]]="","",VLOOKUP(Table25781014[[#This Row],[Month]],List!$B$2:$C$13,2,FALSE))</f>
        <v/>
      </c>
    </row>
    <row r="201" spans="1:34" ht="15" x14ac:dyDescent="0.2">
      <c r="A201" s="98" t="s">
        <v>117</v>
      </c>
      <c r="B201" s="80"/>
      <c r="C201" s="67" t="s">
        <v>164</v>
      </c>
      <c r="D201" s="99" t="s">
        <v>33</v>
      </c>
      <c r="E201" s="100" t="str">
        <f>IF(Table25781014[[#This Row],[Line Section]]="","",VLOOKUP(Table25781014[[#This Row],[Line Section]],Reference!$A$2:$B$47,2,FALSE))</f>
        <v>C172</v>
      </c>
      <c r="F201" s="157">
        <v>44241</v>
      </c>
      <c r="G201" s="440"/>
      <c r="H201" s="249" t="s">
        <v>533</v>
      </c>
      <c r="I201" s="54" t="s">
        <v>93</v>
      </c>
      <c r="J201" s="101">
        <v>4.75</v>
      </c>
      <c r="K201" s="60">
        <v>4.95</v>
      </c>
      <c r="L201" s="102">
        <f>IF(Table25781014[[#This Row],[End
(km)]]="","",Table25781014[[#This Row],[End
(km)]]-Table25781014[[#This Row],[Start
(km)]])</f>
        <v>0.20000000000000018</v>
      </c>
      <c r="M201" s="61" t="s">
        <v>126</v>
      </c>
      <c r="N201" s="99" t="s">
        <v>113</v>
      </c>
      <c r="O201" s="71" t="s">
        <v>112</v>
      </c>
      <c r="P201" s="64">
        <v>43230</v>
      </c>
      <c r="Q201" s="71">
        <v>43474</v>
      </c>
      <c r="R201" s="57" t="s">
        <v>121</v>
      </c>
      <c r="S201" s="55"/>
      <c r="T201" s="66" t="s">
        <v>121</v>
      </c>
      <c r="U201" s="66"/>
      <c r="V201" s="268"/>
      <c r="W201" s="67" t="s">
        <v>243</v>
      </c>
      <c r="X201" s="399" t="s">
        <v>832</v>
      </c>
      <c r="Y201" s="47"/>
      <c r="Z201" s="103" t="s">
        <v>122</v>
      </c>
      <c r="AA201" s="280"/>
      <c r="AB201" s="96"/>
      <c r="AC201" s="96"/>
      <c r="AD201" s="226" t="str">
        <f>IF(Table25781014[[#This Row],[End Completed Section (km)]]="","",Table25781014[[#This Row],[End Completed Section (km)]]-Table25781014[[#This Row],[Start Completed Section (km)]])</f>
        <v/>
      </c>
      <c r="AE201" s="161"/>
      <c r="AF20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201" s="229" t="str">
        <f>IF(Table25781014[[#This Row],[Planned Date]]="","",TEXT(Table25781014[[#This Row],[Planned Date]],"mmm"))</f>
        <v>Feb</v>
      </c>
      <c r="AH201" s="56">
        <f>IF(Table25781014[[#This Row],[Month]]="","",VLOOKUP(Table25781014[[#This Row],[Month]],List!$B$2:$C$13,2,FALSE))</f>
        <v>8</v>
      </c>
    </row>
    <row r="202" spans="1:34" x14ac:dyDescent="0.2">
      <c r="A202" s="98" t="s">
        <v>118</v>
      </c>
      <c r="B202" s="80"/>
      <c r="C202" s="67" t="s">
        <v>164</v>
      </c>
      <c r="D202" s="99" t="s">
        <v>33</v>
      </c>
      <c r="E202" s="100" t="str">
        <f>IF(Table25781014[[#This Row],[Line Section]]="","",VLOOKUP(Table25781014[[#This Row],[Line Section]],Reference!$A$2:$B$47,2,FALSE))</f>
        <v>C172</v>
      </c>
      <c r="F202" s="157"/>
      <c r="G202" s="440"/>
      <c r="H202" s="249"/>
      <c r="I202" s="54" t="s">
        <v>94</v>
      </c>
      <c r="J202" s="60">
        <v>5.0999999999999996</v>
      </c>
      <c r="K202" s="60">
        <v>5.3</v>
      </c>
      <c r="L202" s="102">
        <f>IF(Table25781014[[#This Row],[End
(km)]]="","",Table25781014[[#This Row],[End
(km)]]-Table25781014[[#This Row],[Start
(km)]])</f>
        <v>0.20000000000000018</v>
      </c>
      <c r="M202" s="61" t="s">
        <v>126</v>
      </c>
      <c r="N202" s="59" t="s">
        <v>112</v>
      </c>
      <c r="O202" s="295"/>
      <c r="P202" s="64">
        <v>43230</v>
      </c>
      <c r="Q202" s="71">
        <v>43476</v>
      </c>
      <c r="R202" s="57"/>
      <c r="S202" s="55"/>
      <c r="T202" s="66"/>
      <c r="U202" s="66"/>
      <c r="V202" s="268"/>
      <c r="W202" s="67" t="s">
        <v>247</v>
      </c>
      <c r="X202" s="77" t="s">
        <v>645</v>
      </c>
      <c r="Y202" s="47"/>
      <c r="Z202" s="103" t="s">
        <v>139</v>
      </c>
      <c r="AA202" s="280"/>
      <c r="AB202" s="96"/>
      <c r="AC202" s="96"/>
      <c r="AD202" s="226" t="str">
        <f>IF(Table25781014[[#This Row],[End Completed Section (km)]]="","",Table25781014[[#This Row],[End Completed Section (km)]]-Table25781014[[#This Row],[Start Completed Section (km)]])</f>
        <v/>
      </c>
      <c r="AE202" s="161"/>
      <c r="AF20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02" s="229" t="str">
        <f>IF(Table25781014[[#This Row],[Planned Date]]="","",TEXT(Table25781014[[#This Row],[Planned Date]],"mmm"))</f>
        <v/>
      </c>
      <c r="AH202" s="56" t="str">
        <f>IF(Table25781014[[#This Row],[Month]]="","",VLOOKUP(Table25781014[[#This Row],[Month]],List!$B$2:$C$13,2,FALSE))</f>
        <v/>
      </c>
    </row>
    <row r="203" spans="1:34" ht="25.5" x14ac:dyDescent="0.2">
      <c r="A203" s="98" t="s">
        <v>116</v>
      </c>
      <c r="B203" s="80"/>
      <c r="C203" s="67" t="s">
        <v>164</v>
      </c>
      <c r="D203" s="45" t="s">
        <v>33</v>
      </c>
      <c r="E203" s="100" t="str">
        <f>IF(Table25781014[[#This Row],[Line Section]]="","",VLOOKUP(Table25781014[[#This Row],[Line Section]],Reference!$A$2:$B$47,2,FALSE))</f>
        <v>C172</v>
      </c>
      <c r="F203" s="157"/>
      <c r="G203" s="440"/>
      <c r="H203" s="247"/>
      <c r="I203" s="54" t="s">
        <v>95</v>
      </c>
      <c r="J203" s="60">
        <v>5.17</v>
      </c>
      <c r="K203" s="60">
        <v>5.35</v>
      </c>
      <c r="L203" s="53">
        <f>IF(Table25781014[[#This Row],[End
(km)]]="","",Table25781014[[#This Row],[End
(km)]]-Table25781014[[#This Row],[Start
(km)]])</f>
        <v>0.17999999999999972</v>
      </c>
      <c r="M203" s="61" t="s">
        <v>126</v>
      </c>
      <c r="N203" s="59" t="s">
        <v>111</v>
      </c>
      <c r="O203" s="295"/>
      <c r="P203" s="64">
        <v>43207</v>
      </c>
      <c r="Q203" s="71">
        <v>43243</v>
      </c>
      <c r="R203" s="61" t="s">
        <v>121</v>
      </c>
      <c r="S203" s="55"/>
      <c r="T203" s="66" t="s">
        <v>122</v>
      </c>
      <c r="U203" s="66"/>
      <c r="V203" s="268"/>
      <c r="W203" s="67" t="s">
        <v>123</v>
      </c>
      <c r="X203" s="77" t="s">
        <v>373</v>
      </c>
      <c r="Y203" s="387"/>
      <c r="Z203" s="159" t="s">
        <v>139</v>
      </c>
      <c r="AA203" s="281"/>
      <c r="AB203" s="96"/>
      <c r="AC203" s="96"/>
      <c r="AD203" s="226" t="str">
        <f>IF(Table25781014[[#This Row],[End Completed Section (km)]]="","",Table25781014[[#This Row],[End Completed Section (km)]]-Table25781014[[#This Row],[Start Completed Section (km)]])</f>
        <v/>
      </c>
      <c r="AE203" s="161"/>
      <c r="AF20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03" s="229" t="str">
        <f>IF(Table25781014[[#This Row],[Planned Date]]="","",TEXT(Table25781014[[#This Row],[Planned Date]],"mmm"))</f>
        <v/>
      </c>
      <c r="AH203" s="56" t="str">
        <f>IF(Table25781014[[#This Row],[Month]]="","",VLOOKUP(Table25781014[[#This Row],[Month]],List!$B$2:$C$13,2,FALSE))</f>
        <v/>
      </c>
    </row>
    <row r="204" spans="1:34" ht="12.75" customHeight="1" x14ac:dyDescent="0.25">
      <c r="A204" s="98" t="s">
        <v>118</v>
      </c>
      <c r="B204" s="80"/>
      <c r="C204" s="67" t="s">
        <v>164</v>
      </c>
      <c r="D204" s="99" t="s">
        <v>33</v>
      </c>
      <c r="E204" s="100" t="str">
        <f>IF(Table25781014[[#This Row],[Line Section]]="","",VLOOKUP(Table25781014[[#This Row],[Line Section]],Reference!$A$2:$B$47,2,FALSE))</f>
        <v>C172</v>
      </c>
      <c r="F204" s="157">
        <v>44241</v>
      </c>
      <c r="G204" s="440"/>
      <c r="H204" s="247" t="s">
        <v>534</v>
      </c>
      <c r="I204" s="54" t="s">
        <v>93</v>
      </c>
      <c r="J204" s="101">
        <v>5.65</v>
      </c>
      <c r="K204" s="60">
        <v>5.75</v>
      </c>
      <c r="L204" s="102">
        <f>IF(Table25781014[[#This Row],[End
(km)]]="","",Table25781014[[#This Row],[End
(km)]]-Table25781014[[#This Row],[Start
(km)]])</f>
        <v>9.9999999999999645E-2</v>
      </c>
      <c r="M204" s="61" t="s">
        <v>126</v>
      </c>
      <c r="N204" s="99" t="s">
        <v>111</v>
      </c>
      <c r="O204" s="71" t="s">
        <v>111</v>
      </c>
      <c r="P204" s="64">
        <v>43230</v>
      </c>
      <c r="Q204" s="71">
        <v>43474</v>
      </c>
      <c r="R204" s="57" t="s">
        <v>121</v>
      </c>
      <c r="S204" s="55"/>
      <c r="T204" s="66"/>
      <c r="U204" s="66"/>
      <c r="V204" s="268"/>
      <c r="W204" s="67" t="s">
        <v>789</v>
      </c>
      <c r="X204" s="401" t="s">
        <v>833</v>
      </c>
      <c r="Y204" s="47"/>
      <c r="Z204" s="103" t="s">
        <v>122</v>
      </c>
      <c r="AA204" s="280"/>
      <c r="AB204" s="96"/>
      <c r="AC204" s="96"/>
      <c r="AD204" s="226" t="str">
        <f>IF(Table25781014[[#This Row],[End Completed Section (km)]]="","",Table25781014[[#This Row],[End Completed Section (km)]]-Table25781014[[#This Row],[Start Completed Section (km)]])</f>
        <v/>
      </c>
      <c r="AE204" s="161"/>
      <c r="AF20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204" s="229" t="str">
        <f>IF(Table25781014[[#This Row],[Planned Date]]="","",TEXT(Table25781014[[#This Row],[Planned Date]],"mmm"))</f>
        <v>Feb</v>
      </c>
      <c r="AH204" s="56">
        <f>IF(Table25781014[[#This Row],[Month]]="","",VLOOKUP(Table25781014[[#This Row],[Month]],List!$B$2:$C$13,2,FALSE))</f>
        <v>8</v>
      </c>
    </row>
    <row r="205" spans="1:34" x14ac:dyDescent="0.2">
      <c r="A205" s="98" t="s">
        <v>118</v>
      </c>
      <c r="B205" s="80"/>
      <c r="C205" s="67" t="s">
        <v>164</v>
      </c>
      <c r="D205" s="99" t="s">
        <v>33</v>
      </c>
      <c r="E205" s="100" t="str">
        <f>IF(Table25781014[[#This Row],[Line Section]]="","",VLOOKUP(Table25781014[[#This Row],[Line Section]],Reference!$A$2:$B$47,2,FALSE))</f>
        <v>C172</v>
      </c>
      <c r="F205" s="157"/>
      <c r="G205" s="440"/>
      <c r="H205" s="249"/>
      <c r="I205" s="54" t="s">
        <v>94</v>
      </c>
      <c r="J205" s="60">
        <v>5.65</v>
      </c>
      <c r="K205" s="60">
        <v>5.75</v>
      </c>
      <c r="L205" s="102">
        <f>IF(Table25781014[[#This Row],[End
(km)]]="","",Table25781014[[#This Row],[End
(km)]]-Table25781014[[#This Row],[Start
(km)]])</f>
        <v>9.9999999999999645E-2</v>
      </c>
      <c r="M205" s="61" t="s">
        <v>126</v>
      </c>
      <c r="N205" s="59" t="s">
        <v>113</v>
      </c>
      <c r="O205" s="295" t="s">
        <v>112</v>
      </c>
      <c r="P205" s="64">
        <v>43230</v>
      </c>
      <c r="Q205" s="71">
        <v>43476</v>
      </c>
      <c r="R205" s="57" t="s">
        <v>121</v>
      </c>
      <c r="S205" s="55"/>
      <c r="T205" s="66"/>
      <c r="U205" s="66"/>
      <c r="V205" s="268"/>
      <c r="W205" s="67"/>
      <c r="X205" s="77"/>
      <c r="Y205" s="47"/>
      <c r="Z205" s="103" t="s">
        <v>122</v>
      </c>
      <c r="AA205" s="280"/>
      <c r="AB205" s="96"/>
      <c r="AC205" s="96"/>
      <c r="AD205" s="226" t="str">
        <f>IF(Table25781014[[#This Row],[End Completed Section (km)]]="","",Table25781014[[#This Row],[End Completed Section (km)]]-Table25781014[[#This Row],[Start Completed Section (km)]])</f>
        <v/>
      </c>
      <c r="AE205" s="161"/>
      <c r="AF20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05" s="229" t="str">
        <f>IF(Table25781014[[#This Row],[Planned Date]]="","",TEXT(Table25781014[[#This Row],[Planned Date]],"mmm"))</f>
        <v/>
      </c>
      <c r="AH205" s="56" t="str">
        <f>IF(Table25781014[[#This Row],[Month]]="","",VLOOKUP(Table25781014[[#This Row],[Month]],List!$B$2:$C$13,2,FALSE))</f>
        <v/>
      </c>
    </row>
    <row r="206" spans="1:34" x14ac:dyDescent="0.2">
      <c r="A206" s="98" t="s">
        <v>117</v>
      </c>
      <c r="B206" s="80"/>
      <c r="C206" s="67" t="s">
        <v>164</v>
      </c>
      <c r="D206" s="99" t="s">
        <v>33</v>
      </c>
      <c r="E206" s="100" t="str">
        <f>IF(Table25781014[[#This Row],[Line Section]]="","",VLOOKUP(Table25781014[[#This Row],[Line Section]],Reference!$A$2:$B$47,2,FALSE))</f>
        <v>C172</v>
      </c>
      <c r="F206" s="157"/>
      <c r="G206" s="440"/>
      <c r="H206" s="249"/>
      <c r="I206" s="54" t="s">
        <v>94</v>
      </c>
      <c r="J206" s="60">
        <v>6.4</v>
      </c>
      <c r="K206" s="60">
        <v>6.72</v>
      </c>
      <c r="L206" s="102">
        <f>IF(Table25781014[[#This Row],[End
(km)]]="","",Table25781014[[#This Row],[End
(km)]]-Table25781014[[#This Row],[Start
(km)]])</f>
        <v>0.3199999999999994</v>
      </c>
      <c r="M206" s="61" t="s">
        <v>126</v>
      </c>
      <c r="N206" s="59" t="s">
        <v>113</v>
      </c>
      <c r="O206" s="295" t="s">
        <v>113</v>
      </c>
      <c r="P206" s="64">
        <v>43230</v>
      </c>
      <c r="Q206" s="71">
        <v>43476</v>
      </c>
      <c r="R206" s="57"/>
      <c r="S206" s="55"/>
      <c r="T206" s="66"/>
      <c r="U206" s="66"/>
      <c r="V206" s="268"/>
      <c r="W206" s="67" t="s">
        <v>248</v>
      </c>
      <c r="X206" s="77" t="s">
        <v>646</v>
      </c>
      <c r="Y206" s="47"/>
      <c r="Z206" s="103" t="s">
        <v>122</v>
      </c>
      <c r="AA206" s="280"/>
      <c r="AB206" s="96"/>
      <c r="AC206" s="96"/>
      <c r="AD206" s="226" t="str">
        <f>IF(Table25781014[[#This Row],[End Completed Section (km)]]="","",Table25781014[[#This Row],[End Completed Section (km)]]-Table25781014[[#This Row],[Start Completed Section (km)]])</f>
        <v/>
      </c>
      <c r="AE206" s="161"/>
      <c r="AF20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06" s="229" t="str">
        <f>IF(Table25781014[[#This Row],[Planned Date]]="","",TEXT(Table25781014[[#This Row],[Planned Date]],"mmm"))</f>
        <v/>
      </c>
      <c r="AH206" s="56" t="str">
        <f>IF(Table25781014[[#This Row],[Month]]="","",VLOOKUP(Table25781014[[#This Row],[Month]],List!$B$2:$C$13,2,FALSE))</f>
        <v/>
      </c>
    </row>
    <row r="207" spans="1:34" ht="38.25" x14ac:dyDescent="0.2">
      <c r="A207" s="98" t="s">
        <v>116</v>
      </c>
      <c r="B207" s="80"/>
      <c r="C207" s="67" t="s">
        <v>164</v>
      </c>
      <c r="D207" s="45" t="s">
        <v>33</v>
      </c>
      <c r="E207" s="100" t="str">
        <f>IF(Table25781014[[#This Row],[Line Section]]="","",VLOOKUP(Table25781014[[#This Row],[Line Section]],Reference!$A$2:$B$47,2,FALSE))</f>
        <v>C172</v>
      </c>
      <c r="F207" s="157">
        <v>43877</v>
      </c>
      <c r="G207" s="440"/>
      <c r="H207" s="247" t="s">
        <v>533</v>
      </c>
      <c r="I207" s="54" t="s">
        <v>96</v>
      </c>
      <c r="J207" s="60">
        <v>6.46</v>
      </c>
      <c r="K207" s="60">
        <v>6.85</v>
      </c>
      <c r="L207" s="53">
        <f>IF(Table25781014[[#This Row],[End
(km)]]="","",Table25781014[[#This Row],[End
(km)]]-Table25781014[[#This Row],[Start
(km)]])</f>
        <v>0.38999999999999968</v>
      </c>
      <c r="M207" s="61" t="s">
        <v>126</v>
      </c>
      <c r="N207" s="59" t="s">
        <v>113</v>
      </c>
      <c r="O207" s="295"/>
      <c r="P207" s="64">
        <v>43207</v>
      </c>
      <c r="Q207" s="71">
        <v>43255</v>
      </c>
      <c r="R207" s="61" t="s">
        <v>121</v>
      </c>
      <c r="S207" s="55"/>
      <c r="T207" s="66" t="s">
        <v>121</v>
      </c>
      <c r="U207" s="66"/>
      <c r="V207" s="268"/>
      <c r="W207" s="67" t="s">
        <v>248</v>
      </c>
      <c r="X207" s="77" t="s">
        <v>547</v>
      </c>
      <c r="Y207" s="387"/>
      <c r="Z207" s="159" t="s">
        <v>122</v>
      </c>
      <c r="AA207" s="281"/>
      <c r="AB207" s="96"/>
      <c r="AC207" s="96"/>
      <c r="AD207" s="226" t="str">
        <f>IF(Table25781014[[#This Row],[End Completed Section (km)]]="","",Table25781014[[#This Row],[End Completed Section (km)]]-Table25781014[[#This Row],[Start Completed Section (km)]])</f>
        <v/>
      </c>
      <c r="AE207" s="161"/>
      <c r="AF20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207" s="229" t="str">
        <f>IF(Table25781014[[#This Row],[Planned Date]]="","",TEXT(Table25781014[[#This Row],[Planned Date]],"mmm"))</f>
        <v>Feb</v>
      </c>
      <c r="AH207" s="56">
        <f>IF(Table25781014[[#This Row],[Month]]="","",VLOOKUP(Table25781014[[#This Row],[Month]],List!$B$2:$C$13,2,FALSE))</f>
        <v>8</v>
      </c>
    </row>
    <row r="208" spans="1:34" ht="63.75" x14ac:dyDescent="0.2">
      <c r="A208" s="98" t="s">
        <v>116</v>
      </c>
      <c r="B208" s="80"/>
      <c r="C208" s="67" t="s">
        <v>164</v>
      </c>
      <c r="D208" s="45" t="s">
        <v>33</v>
      </c>
      <c r="E208" s="100" t="str">
        <f>IF(Table25781014[[#This Row],[Line Section]]="","",VLOOKUP(Table25781014[[#This Row],[Line Section]],Reference!$A$2:$B$47,2,FALSE))</f>
        <v>C172</v>
      </c>
      <c r="F208" s="157">
        <v>43590</v>
      </c>
      <c r="G208" s="440"/>
      <c r="H208" s="306" t="s">
        <v>533</v>
      </c>
      <c r="I208" s="54" t="s">
        <v>93</v>
      </c>
      <c r="J208" s="60">
        <v>6.5</v>
      </c>
      <c r="K208" s="60">
        <v>6.71</v>
      </c>
      <c r="L208" s="53">
        <f>IF(Table25781014[[#This Row],[End
(km)]]="","",Table25781014[[#This Row],[End
(km)]]-Table25781014[[#This Row],[Start
(km)]])</f>
        <v>0.20999999999999996</v>
      </c>
      <c r="M208" s="61" t="s">
        <v>146</v>
      </c>
      <c r="N208" s="59" t="s">
        <v>113</v>
      </c>
      <c r="O208" s="295"/>
      <c r="P208" s="64">
        <v>43269</v>
      </c>
      <c r="Q208" s="71"/>
      <c r="R208" s="61" t="s">
        <v>121</v>
      </c>
      <c r="S208" s="55" t="s">
        <v>121</v>
      </c>
      <c r="T208" s="66" t="s">
        <v>121</v>
      </c>
      <c r="U208" s="66" t="s">
        <v>121</v>
      </c>
      <c r="V208" s="268"/>
      <c r="W208" s="321" t="s">
        <v>551</v>
      </c>
      <c r="X208" s="62" t="s">
        <v>546</v>
      </c>
      <c r="Y208" s="113"/>
      <c r="Z208" s="159" t="s">
        <v>121</v>
      </c>
      <c r="AA208" s="280"/>
      <c r="AB208" s="96">
        <v>6.5</v>
      </c>
      <c r="AC208" s="96">
        <v>6.74</v>
      </c>
      <c r="AD208" s="226">
        <f>IF(Table25781014[[#This Row],[End Completed Section (km)]]="","",Table25781014[[#This Row],[End Completed Section (km)]]-Table25781014[[#This Row],[Start Completed Section (km)]])</f>
        <v>0.24000000000000021</v>
      </c>
      <c r="AE208" s="72">
        <v>43589</v>
      </c>
      <c r="AF20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208" s="229" t="str">
        <f>IF(Table25781014[[#This Row],[Planned Date]]="","",TEXT(Table25781014[[#This Row],[Planned Date]],"mmm"))</f>
        <v>May</v>
      </c>
      <c r="AH208" s="56">
        <f>IF(Table25781014[[#This Row],[Month]]="","",VLOOKUP(Table25781014[[#This Row],[Month]],List!$B$2:$C$13,2,FALSE))</f>
        <v>11</v>
      </c>
    </row>
    <row r="209" spans="1:34" ht="51" x14ac:dyDescent="0.2">
      <c r="A209" s="98" t="s">
        <v>116</v>
      </c>
      <c r="B209" s="80"/>
      <c r="C209" s="67" t="s">
        <v>164</v>
      </c>
      <c r="D209" s="45" t="s">
        <v>33</v>
      </c>
      <c r="E209" s="100" t="str">
        <f>IF(Table25781014[[#This Row],[Line Section]]="","",VLOOKUP(Table25781014[[#This Row],[Line Section]],Reference!$A$2:$B$47,2,FALSE))</f>
        <v>C172</v>
      </c>
      <c r="F209" s="157"/>
      <c r="G209" s="440"/>
      <c r="H209" s="247" t="s">
        <v>534</v>
      </c>
      <c r="I209" s="54" t="s">
        <v>95</v>
      </c>
      <c r="J209" s="60">
        <v>6.7</v>
      </c>
      <c r="K209" s="60">
        <v>6.8</v>
      </c>
      <c r="L209" s="53">
        <f>IF(Table25781014[[#This Row],[End
(km)]]="","",Table25781014[[#This Row],[End
(km)]]-Table25781014[[#This Row],[Start
(km)]])</f>
        <v>9.9999999999999645E-2</v>
      </c>
      <c r="M209" s="61" t="s">
        <v>663</v>
      </c>
      <c r="N209" s="59"/>
      <c r="O209" s="295" t="s">
        <v>113</v>
      </c>
      <c r="P209" s="64">
        <v>43476</v>
      </c>
      <c r="Q209" s="71"/>
      <c r="R209" s="61" t="s">
        <v>121</v>
      </c>
      <c r="S209" s="55" t="s">
        <v>121</v>
      </c>
      <c r="T209" s="66"/>
      <c r="U209" s="66"/>
      <c r="V209" s="268"/>
      <c r="W209" s="67" t="s">
        <v>150</v>
      </c>
      <c r="X209" s="77" t="s">
        <v>664</v>
      </c>
      <c r="Y209" s="47"/>
      <c r="Z209" s="159" t="s">
        <v>573</v>
      </c>
      <c r="AA209" s="392">
        <v>43779</v>
      </c>
      <c r="AB209" s="96"/>
      <c r="AC209" s="96"/>
      <c r="AD209" s="226" t="str">
        <f>IF(Table25781014[[#This Row],[End Completed Section (km)]]="","",Table25781014[[#This Row],[End Completed Section (km)]]-Table25781014[[#This Row],[Start Completed Section (km)]])</f>
        <v/>
      </c>
      <c r="AE209" s="161"/>
      <c r="AF20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09" s="229" t="str">
        <f>IF(Table25781014[[#This Row],[Planned Date]]="","",TEXT(Table25781014[[#This Row],[Planned Date]],"mmm"))</f>
        <v/>
      </c>
      <c r="AH209" s="252" t="str">
        <f>IF(Table25781014[[#This Row],[Month]]="","",VLOOKUP(Table25781014[[#This Row],[Month]],List!$B$2:$C$13,2,FALSE))</f>
        <v/>
      </c>
    </row>
    <row r="210" spans="1:34" x14ac:dyDescent="0.2">
      <c r="A210" s="98" t="s">
        <v>117</v>
      </c>
      <c r="B210" s="80"/>
      <c r="C210" s="67" t="s">
        <v>164</v>
      </c>
      <c r="D210" s="99" t="s">
        <v>33</v>
      </c>
      <c r="E210" s="100" t="str">
        <f>IF(Table25781014[[#This Row],[Line Section]]="","",VLOOKUP(Table25781014[[#This Row],[Line Section]],Reference!$A$2:$B$47,2,FALSE))</f>
        <v>C172</v>
      </c>
      <c r="F210" s="157"/>
      <c r="G210" s="440"/>
      <c r="H210" s="306"/>
      <c r="I210" s="54" t="s">
        <v>94</v>
      </c>
      <c r="J210" s="60">
        <v>7.12</v>
      </c>
      <c r="K210" s="60">
        <v>7.4</v>
      </c>
      <c r="L210" s="102">
        <f>IF(Table25781014[[#This Row],[End
(km)]]="","",Table25781014[[#This Row],[End
(km)]]-Table25781014[[#This Row],[Start
(km)]])</f>
        <v>0.28000000000000025</v>
      </c>
      <c r="M210" s="61" t="s">
        <v>126</v>
      </c>
      <c r="N210" s="59" t="s">
        <v>113</v>
      </c>
      <c r="O210" s="295"/>
      <c r="P210" s="64">
        <v>43230</v>
      </c>
      <c r="Q210" s="71">
        <v>43250</v>
      </c>
      <c r="R210" s="57"/>
      <c r="S210" s="55"/>
      <c r="T210" s="66"/>
      <c r="U210" s="66"/>
      <c r="V210" s="268"/>
      <c r="W210" s="67"/>
      <c r="X210" s="155" t="s">
        <v>800</v>
      </c>
      <c r="Y210" s="47"/>
      <c r="Z210" s="103" t="s">
        <v>573</v>
      </c>
      <c r="AA210" s="280">
        <v>43590</v>
      </c>
      <c r="AB210" s="96"/>
      <c r="AC210" s="96"/>
      <c r="AD210" s="226" t="str">
        <f>IF(Table25781014[[#This Row],[End Completed Section (km)]]="","",Table25781014[[#This Row],[End Completed Section (km)]]-Table25781014[[#This Row],[Start Completed Section (km)]])</f>
        <v/>
      </c>
      <c r="AE210" s="161"/>
      <c r="AF21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10" s="229" t="str">
        <f>IF(Table25781014[[#This Row],[Planned Date]]="","",TEXT(Table25781014[[#This Row],[Planned Date]],"mmm"))</f>
        <v/>
      </c>
      <c r="AH210" s="56" t="str">
        <f>IF(Table25781014[[#This Row],[Month]]="","",VLOOKUP(Table25781014[[#This Row],[Month]],List!$B$2:$C$13,2,FALSE))</f>
        <v/>
      </c>
    </row>
    <row r="211" spans="1:34" x14ac:dyDescent="0.2">
      <c r="A211" s="98" t="s">
        <v>117</v>
      </c>
      <c r="B211" s="80"/>
      <c r="C211" s="67" t="s">
        <v>164</v>
      </c>
      <c r="D211" s="99" t="s">
        <v>33</v>
      </c>
      <c r="E211" s="100" t="str">
        <f>IF(Table25781014[[#This Row],[Line Section]]="","",VLOOKUP(Table25781014[[#This Row],[Line Section]],Reference!$A$2:$B$47,2,FALSE))</f>
        <v>C172</v>
      </c>
      <c r="F211" s="157"/>
      <c r="G211" s="440"/>
      <c r="H211" s="249"/>
      <c r="I211" s="54" t="s">
        <v>93</v>
      </c>
      <c r="J211" s="101">
        <v>7.13</v>
      </c>
      <c r="K211" s="60">
        <v>7.42</v>
      </c>
      <c r="L211" s="102">
        <f>IF(Table25781014[[#This Row],[End
(km)]]="","",Table25781014[[#This Row],[End
(km)]]-Table25781014[[#This Row],[Start
(km)]])</f>
        <v>0.29000000000000004</v>
      </c>
      <c r="M211" s="61" t="s">
        <v>126</v>
      </c>
      <c r="N211" s="99" t="s">
        <v>113</v>
      </c>
      <c r="O211" s="71" t="s">
        <v>110</v>
      </c>
      <c r="P211" s="64">
        <v>43230</v>
      </c>
      <c r="Q211" s="71">
        <v>43474</v>
      </c>
      <c r="R211" s="57"/>
      <c r="S211" s="55"/>
      <c r="T211" s="66"/>
      <c r="U211" s="66"/>
      <c r="V211" s="268"/>
      <c r="W211" s="67"/>
      <c r="X211" s="180" t="s">
        <v>633</v>
      </c>
      <c r="Y211" s="47"/>
      <c r="Z211" s="103" t="s">
        <v>233</v>
      </c>
      <c r="AA211" s="280"/>
      <c r="AB211" s="96"/>
      <c r="AC211" s="96"/>
      <c r="AD211" s="226" t="str">
        <f>IF(Table25781014[[#This Row],[End Completed Section (km)]]="","",Table25781014[[#This Row],[End Completed Section (km)]]-Table25781014[[#This Row],[Start Completed Section (km)]])</f>
        <v/>
      </c>
      <c r="AE211" s="161"/>
      <c r="AF21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11" s="229" t="str">
        <f>IF(Table25781014[[#This Row],[Planned Date]]="","",TEXT(Table25781014[[#This Row],[Planned Date]],"mmm"))</f>
        <v/>
      </c>
      <c r="AH211" s="56" t="str">
        <f>IF(Table25781014[[#This Row],[Month]]="","",VLOOKUP(Table25781014[[#This Row],[Month]],List!$B$2:$C$13,2,FALSE))</f>
        <v/>
      </c>
    </row>
    <row r="212" spans="1:34" ht="25.5" x14ac:dyDescent="0.2">
      <c r="A212" s="98" t="s">
        <v>116</v>
      </c>
      <c r="B212" s="80"/>
      <c r="C212" s="67" t="s">
        <v>164</v>
      </c>
      <c r="D212" s="45" t="s">
        <v>33</v>
      </c>
      <c r="E212" s="100" t="str">
        <f>IF(Table25781014[[#This Row],[Line Section]]="","",VLOOKUP(Table25781014[[#This Row],[Line Section]],Reference!$A$2:$B$47,2,FALSE))</f>
        <v>C172</v>
      </c>
      <c r="F212" s="157">
        <v>43303</v>
      </c>
      <c r="G212" s="440"/>
      <c r="H212" s="247"/>
      <c r="I212" s="54" t="s">
        <v>96</v>
      </c>
      <c r="J212" s="60">
        <v>7.9</v>
      </c>
      <c r="K212" s="60">
        <v>8.15</v>
      </c>
      <c r="L212" s="53">
        <f>IF(Table25781014[[#This Row],[End
(km)]]="","",Table25781014[[#This Row],[End
(km)]]-Table25781014[[#This Row],[Start
(km)]])</f>
        <v>0.25</v>
      </c>
      <c r="M212" s="61" t="s">
        <v>126</v>
      </c>
      <c r="N212" s="59" t="s">
        <v>113</v>
      </c>
      <c r="O212" s="295"/>
      <c r="P212" s="64">
        <v>43207</v>
      </c>
      <c r="Q212" s="71">
        <v>43250</v>
      </c>
      <c r="R212" s="61" t="s">
        <v>121</v>
      </c>
      <c r="S212" s="55" t="s">
        <v>121</v>
      </c>
      <c r="T212" s="66" t="s">
        <v>122</v>
      </c>
      <c r="U212" s="66" t="s">
        <v>121</v>
      </c>
      <c r="V212" s="268"/>
      <c r="W212" s="67"/>
      <c r="X212" s="77" t="s">
        <v>380</v>
      </c>
      <c r="Y212" s="387"/>
      <c r="Z212" s="159" t="s">
        <v>121</v>
      </c>
      <c r="AA212" s="281"/>
      <c r="AB212" s="96">
        <v>7.98</v>
      </c>
      <c r="AC212" s="96">
        <v>8.4</v>
      </c>
      <c r="AD212" s="226">
        <f>IF(Table25781014[[#This Row],[End Completed Section (km)]]="","",Table25781014[[#This Row],[End Completed Section (km)]]-Table25781014[[#This Row],[Start Completed Section (km)]])</f>
        <v>0.41999999999999993</v>
      </c>
      <c r="AE212" s="161">
        <v>43302</v>
      </c>
      <c r="AF21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212" s="229" t="str">
        <f>IF(Table25781014[[#This Row],[Planned Date]]="","",TEXT(Table25781014[[#This Row],[Planned Date]],"mmm"))</f>
        <v>Jul</v>
      </c>
      <c r="AH212" s="56">
        <f>IF(Table25781014[[#This Row],[Month]]="","",VLOOKUP(Table25781014[[#This Row],[Month]],List!$B$2:$C$13,2,FALSE))</f>
        <v>1</v>
      </c>
    </row>
    <row r="213" spans="1:34" ht="25.5" x14ac:dyDescent="0.2">
      <c r="A213" s="98" t="s">
        <v>118</v>
      </c>
      <c r="B213" s="80"/>
      <c r="C213" s="67" t="s">
        <v>164</v>
      </c>
      <c r="D213" s="99" t="s">
        <v>33</v>
      </c>
      <c r="E213" s="100" t="str">
        <f>IF(Table25781014[[#This Row],[Line Section]]="","",VLOOKUP(Table25781014[[#This Row],[Line Section]],Reference!$A$2:$B$47,2,FALSE))</f>
        <v>C172</v>
      </c>
      <c r="F213" s="157"/>
      <c r="G213" s="440"/>
      <c r="H213" s="249"/>
      <c r="I213" s="54" t="s">
        <v>94</v>
      </c>
      <c r="J213" s="60">
        <v>7.9</v>
      </c>
      <c r="K213" s="60">
        <v>8.4</v>
      </c>
      <c r="L213" s="102">
        <f>IF(Table25781014[[#This Row],[End
(km)]]="","",Table25781014[[#This Row],[End
(km)]]-Table25781014[[#This Row],[Start
(km)]])</f>
        <v>0.5</v>
      </c>
      <c r="M213" s="61" t="s">
        <v>126</v>
      </c>
      <c r="N213" s="59" t="s">
        <v>111</v>
      </c>
      <c r="O213" s="295" t="s">
        <v>112</v>
      </c>
      <c r="P213" s="64">
        <v>43230</v>
      </c>
      <c r="Q213" s="71">
        <v>43476</v>
      </c>
      <c r="R213" s="57" t="s">
        <v>121</v>
      </c>
      <c r="S213" s="55"/>
      <c r="T213" s="66"/>
      <c r="U213" s="66"/>
      <c r="V213" s="268"/>
      <c r="W213" s="67"/>
      <c r="X213" s="77" t="s">
        <v>647</v>
      </c>
      <c r="Y213" s="47"/>
      <c r="Z213" s="103" t="s">
        <v>122</v>
      </c>
      <c r="AA213" s="280"/>
      <c r="AB213" s="96"/>
      <c r="AC213" s="96"/>
      <c r="AD213" s="226" t="str">
        <f>IF(Table25781014[[#This Row],[End Completed Section (km)]]="","",Table25781014[[#This Row],[End Completed Section (km)]]-Table25781014[[#This Row],[Start Completed Section (km)]])</f>
        <v/>
      </c>
      <c r="AE213" s="161"/>
      <c r="AF21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13" s="229" t="str">
        <f>IF(Table25781014[[#This Row],[Planned Date]]="","",TEXT(Table25781014[[#This Row],[Planned Date]],"mmm"))</f>
        <v/>
      </c>
      <c r="AH213" s="56" t="str">
        <f>IF(Table25781014[[#This Row],[Month]]="","",VLOOKUP(Table25781014[[#This Row],[Month]],List!$B$2:$C$13,2,FALSE))</f>
        <v/>
      </c>
    </row>
    <row r="214" spans="1:34" x14ac:dyDescent="0.2">
      <c r="A214" s="98" t="s">
        <v>117</v>
      </c>
      <c r="B214" s="80"/>
      <c r="C214" s="67" t="s">
        <v>164</v>
      </c>
      <c r="D214" s="99" t="s">
        <v>33</v>
      </c>
      <c r="E214" s="100" t="str">
        <f>IF(Table25781014[[#This Row],[Line Section]]="","",VLOOKUP(Table25781014[[#This Row],[Line Section]],Reference!$A$2:$B$47,2,FALSE))</f>
        <v>C172</v>
      </c>
      <c r="F214" s="157">
        <v>44332</v>
      </c>
      <c r="G214" s="440" t="s">
        <v>430</v>
      </c>
      <c r="H214" s="249" t="s">
        <v>533</v>
      </c>
      <c r="I214" s="54" t="s">
        <v>93</v>
      </c>
      <c r="J214" s="101">
        <v>8.15</v>
      </c>
      <c r="K214" s="60">
        <v>8.5</v>
      </c>
      <c r="L214" s="102">
        <f>IF(Table25781014[[#This Row],[End
(km)]]="","",Table25781014[[#This Row],[End
(km)]]-Table25781014[[#This Row],[Start
(km)]])</f>
        <v>0.34999999999999964</v>
      </c>
      <c r="M214" s="61" t="s">
        <v>126</v>
      </c>
      <c r="N214" s="99" t="s">
        <v>113</v>
      </c>
      <c r="O214" s="71" t="s">
        <v>113</v>
      </c>
      <c r="P214" s="64">
        <v>43230</v>
      </c>
      <c r="Q214" s="71">
        <v>43474</v>
      </c>
      <c r="R214" s="57" t="s">
        <v>121</v>
      </c>
      <c r="S214" s="55"/>
      <c r="T214" s="66"/>
      <c r="U214" s="66"/>
      <c r="V214" s="268"/>
      <c r="W214" s="67"/>
      <c r="X214" s="107"/>
      <c r="Y214" s="47"/>
      <c r="Z214" s="103" t="s">
        <v>122</v>
      </c>
      <c r="AA214" s="280"/>
      <c r="AB214" s="96"/>
      <c r="AC214" s="96"/>
      <c r="AD214" s="226" t="str">
        <f>IF(Table25781014[[#This Row],[End Completed Section (km)]]="","",Table25781014[[#This Row],[End Completed Section (km)]]-Table25781014[[#This Row],[Start Completed Section (km)]])</f>
        <v/>
      </c>
      <c r="AE214" s="161"/>
      <c r="AF21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214" s="229" t="str">
        <f>IF(Table25781014[[#This Row],[Planned Date]]="","",TEXT(Table25781014[[#This Row],[Planned Date]],"mmm"))</f>
        <v>May</v>
      </c>
      <c r="AH214" s="56">
        <f>IF(Table25781014[[#This Row],[Month]]="","",VLOOKUP(Table25781014[[#This Row],[Month]],List!$B$2:$C$13,2,FALSE))</f>
        <v>11</v>
      </c>
    </row>
    <row r="215" spans="1:34" ht="25.5" x14ac:dyDescent="0.2">
      <c r="A215" s="98" t="s">
        <v>116</v>
      </c>
      <c r="B215" s="80"/>
      <c r="C215" s="67" t="s">
        <v>164</v>
      </c>
      <c r="D215" s="99" t="s">
        <v>33</v>
      </c>
      <c r="E215" s="100" t="str">
        <f>IF(Table25781014[[#This Row],[Line Section]]="","",VLOOKUP(Table25781014[[#This Row],[Line Section]],Reference!$A$2:$B$47,2,FALSE))</f>
        <v>C172</v>
      </c>
      <c r="F215" s="157"/>
      <c r="G215" s="440"/>
      <c r="H215" s="249"/>
      <c r="I215" s="54" t="s">
        <v>94</v>
      </c>
      <c r="J215" s="60">
        <v>8.18</v>
      </c>
      <c r="K215" s="60">
        <v>8.3000000000000007</v>
      </c>
      <c r="L215" s="102">
        <f>IF(Table25781014[[#This Row],[End
(km)]]="","",Table25781014[[#This Row],[End
(km)]]-Table25781014[[#This Row],[Start
(km)]])</f>
        <v>0.12000000000000099</v>
      </c>
      <c r="M215" s="61" t="s">
        <v>126</v>
      </c>
      <c r="N215" s="59" t="s">
        <v>110</v>
      </c>
      <c r="O215" s="295"/>
      <c r="P215" s="64">
        <v>43230</v>
      </c>
      <c r="Q215" s="71">
        <v>43243</v>
      </c>
      <c r="R215" s="57" t="s">
        <v>121</v>
      </c>
      <c r="S215" s="55"/>
      <c r="T215" s="66"/>
      <c r="U215" s="66"/>
      <c r="V215" s="268"/>
      <c r="W215" s="67"/>
      <c r="X215" s="77" t="s">
        <v>372</v>
      </c>
      <c r="Y215" s="47"/>
      <c r="Z215" s="103" t="s">
        <v>139</v>
      </c>
      <c r="AA215" s="280"/>
      <c r="AB215" s="96"/>
      <c r="AC215" s="96"/>
      <c r="AD215" s="226" t="str">
        <f>IF(Table25781014[[#This Row],[End Completed Section (km)]]="","",Table25781014[[#This Row],[End Completed Section (km)]]-Table25781014[[#This Row],[Start Completed Section (km)]])</f>
        <v/>
      </c>
      <c r="AE215" s="161"/>
      <c r="AF21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15" s="229" t="str">
        <f>IF(Table25781014[[#This Row],[Planned Date]]="","",TEXT(Table25781014[[#This Row],[Planned Date]],"mmm"))</f>
        <v/>
      </c>
      <c r="AH215" s="56" t="str">
        <f>IF(Table25781014[[#This Row],[Month]]="","",VLOOKUP(Table25781014[[#This Row],[Month]],List!$B$2:$C$13,2,FALSE))</f>
        <v/>
      </c>
    </row>
    <row r="216" spans="1:34" s="56" customFormat="1" x14ac:dyDescent="0.2">
      <c r="A216" s="98" t="s">
        <v>117</v>
      </c>
      <c r="B216" s="80"/>
      <c r="C216" s="67" t="s">
        <v>164</v>
      </c>
      <c r="D216" s="99" t="s">
        <v>33</v>
      </c>
      <c r="E216" s="100" t="str">
        <f>IF(Table25781014[[#This Row],[Line Section]]="","",VLOOKUP(Table25781014[[#This Row],[Line Section]],Reference!$A$2:$B$47,2,FALSE))</f>
        <v>C172</v>
      </c>
      <c r="F216" s="157"/>
      <c r="G216" s="440"/>
      <c r="H216" s="249"/>
      <c r="I216" s="54" t="s">
        <v>93</v>
      </c>
      <c r="J216" s="101">
        <v>8.5</v>
      </c>
      <c r="K216" s="60">
        <v>8.6</v>
      </c>
      <c r="L216" s="102">
        <f>IF(Table25781014[[#This Row],[End
(km)]]="","",Table25781014[[#This Row],[End
(km)]]-Table25781014[[#This Row],[Start
(km)]])</f>
        <v>9.9999999999999645E-2</v>
      </c>
      <c r="M216" s="61" t="s">
        <v>126</v>
      </c>
      <c r="N216" s="99" t="s">
        <v>111</v>
      </c>
      <c r="O216" s="71" t="s">
        <v>113</v>
      </c>
      <c r="P216" s="64">
        <v>43230</v>
      </c>
      <c r="Q216" s="71">
        <v>43474</v>
      </c>
      <c r="R216" s="57" t="s">
        <v>121</v>
      </c>
      <c r="S216" s="55"/>
      <c r="T216" s="66"/>
      <c r="U216" s="66"/>
      <c r="V216" s="268"/>
      <c r="W216" s="67"/>
      <c r="X216" s="107"/>
      <c r="Y216" s="46"/>
      <c r="Z216" s="103" t="s">
        <v>122</v>
      </c>
      <c r="AA216" s="280"/>
      <c r="AB216" s="96"/>
      <c r="AC216" s="96"/>
      <c r="AD216" s="226" t="str">
        <f>IF(Table25781014[[#This Row],[End Completed Section (km)]]="","",Table25781014[[#This Row],[End Completed Section (km)]]-Table25781014[[#This Row],[Start Completed Section (km)]])</f>
        <v/>
      </c>
      <c r="AE216" s="161"/>
      <c r="AF21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16" s="229" t="str">
        <f>IF(Table25781014[[#This Row],[Planned Date]]="","",TEXT(Table25781014[[#This Row],[Planned Date]],"mmm"))</f>
        <v/>
      </c>
      <c r="AH216" s="56" t="str">
        <f>IF(Table25781014[[#This Row],[Month]]="","",VLOOKUP(Table25781014[[#This Row],[Month]],List!$B$2:$C$13,2,FALSE))</f>
        <v/>
      </c>
    </row>
    <row r="217" spans="1:34" ht="63.75" x14ac:dyDescent="0.2">
      <c r="A217" s="98" t="s">
        <v>116</v>
      </c>
      <c r="B217" s="305"/>
      <c r="C217" s="67" t="s">
        <v>164</v>
      </c>
      <c r="D217" s="99" t="s">
        <v>33</v>
      </c>
      <c r="E217" s="100" t="str">
        <f>IF(Table25781014[[#This Row],[Line Section]]="","",VLOOKUP(Table25781014[[#This Row],[Line Section]],Reference!$A$2:$B$47,2,FALSE))</f>
        <v>C172</v>
      </c>
      <c r="F217" s="157" t="s">
        <v>651</v>
      </c>
      <c r="G217" s="440"/>
      <c r="H217" s="306"/>
      <c r="I217" s="54" t="s">
        <v>94</v>
      </c>
      <c r="J217" s="60">
        <v>8.6</v>
      </c>
      <c r="K217" s="60">
        <v>8.8000000000000007</v>
      </c>
      <c r="L217" s="102">
        <f>IF(Table25781014[[#This Row],[End
(km)]]="","",Table25781014[[#This Row],[End
(km)]]-Table25781014[[#This Row],[Start
(km)]])</f>
        <v>0.20000000000000107</v>
      </c>
      <c r="M217" s="61" t="s">
        <v>145</v>
      </c>
      <c r="N217" s="59" t="s">
        <v>113</v>
      </c>
      <c r="O217" s="295" t="s">
        <v>113</v>
      </c>
      <c r="P217" s="64">
        <v>43230</v>
      </c>
      <c r="Q217" s="307">
        <v>43476</v>
      </c>
      <c r="R217" s="57" t="s">
        <v>121</v>
      </c>
      <c r="S217" s="55"/>
      <c r="T217" s="66"/>
      <c r="U217" s="308"/>
      <c r="V217" s="312"/>
      <c r="W217" s="67" t="s">
        <v>249</v>
      </c>
      <c r="X217" s="77" t="s">
        <v>648</v>
      </c>
      <c r="Y217" s="332"/>
      <c r="Z217" s="103" t="s">
        <v>122</v>
      </c>
      <c r="AA217" s="320"/>
      <c r="AB217" s="96"/>
      <c r="AC217" s="96"/>
      <c r="AD217" s="314" t="str">
        <f>IF(Table25781014[[#This Row],[End Completed Section (km)]]="","",Table25781014[[#This Row],[End Completed Section (km)]]-Table25781014[[#This Row],[Start Completed Section (km)]])</f>
        <v/>
      </c>
      <c r="AE217" s="161"/>
      <c r="AF217"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217" s="229" t="str">
        <f>IF(Table25781014[[#This Row],[Planned Date]]="","",TEXT(Table25781014[[#This Row],[Planned Date]],"mmm"))</f>
        <v>21/22</v>
      </c>
      <c r="AH217" s="252" t="e">
        <f>IF(Table25781014[[#This Row],[Month]]="","",VLOOKUP(Table25781014[[#This Row],[Month]],List!$B$2:$C$13,2,FALSE))</f>
        <v>#N/A</v>
      </c>
    </row>
    <row r="218" spans="1:34" x14ac:dyDescent="0.2">
      <c r="A218" s="98" t="s">
        <v>117</v>
      </c>
      <c r="B218" s="80"/>
      <c r="C218" s="67" t="s">
        <v>164</v>
      </c>
      <c r="D218" s="45" t="s">
        <v>33</v>
      </c>
      <c r="E218" s="100" t="str">
        <f>IF(Table25781014[[#This Row],[Line Section]]="","",VLOOKUP(Table25781014[[#This Row],[Line Section]],Reference!$A$2:$B$47,2,FALSE))</f>
        <v>C172</v>
      </c>
      <c r="F218" s="157"/>
      <c r="G218" s="440"/>
      <c r="H218" s="247"/>
      <c r="I218" s="54" t="s">
        <v>96</v>
      </c>
      <c r="J218" s="60">
        <v>8.6</v>
      </c>
      <c r="K218" s="60">
        <v>8.8000000000000007</v>
      </c>
      <c r="L218" s="53">
        <f>IF(Table25781014[[#This Row],[End
(km)]]="","",Table25781014[[#This Row],[End
(km)]]-Table25781014[[#This Row],[Start
(km)]])</f>
        <v>0.20000000000000107</v>
      </c>
      <c r="M218" s="61" t="s">
        <v>126</v>
      </c>
      <c r="N218" s="59" t="s">
        <v>113</v>
      </c>
      <c r="O218" s="295"/>
      <c r="P218" s="64">
        <v>43207</v>
      </c>
      <c r="Q218" s="71"/>
      <c r="R218" s="61" t="s">
        <v>121</v>
      </c>
      <c r="S218" s="55" t="s">
        <v>121</v>
      </c>
      <c r="T218" s="66" t="s">
        <v>121</v>
      </c>
      <c r="U218" s="66"/>
      <c r="V218" s="268"/>
      <c r="W218" s="67" t="s">
        <v>123</v>
      </c>
      <c r="X218" s="77" t="s">
        <v>374</v>
      </c>
      <c r="Y218" s="387"/>
      <c r="Z218" s="159" t="s">
        <v>139</v>
      </c>
      <c r="AA218" s="281"/>
      <c r="AB218" s="96"/>
      <c r="AC218" s="96"/>
      <c r="AD218" s="226" t="str">
        <f>IF(Table25781014[[#This Row],[End Completed Section (km)]]="","",Table25781014[[#This Row],[End Completed Section (km)]]-Table25781014[[#This Row],[Start Completed Section (km)]])</f>
        <v/>
      </c>
      <c r="AE218" s="161"/>
      <c r="AF21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18" s="229" t="str">
        <f>IF(Table25781014[[#This Row],[Planned Date]]="","",TEXT(Table25781014[[#This Row],[Planned Date]],"mmm"))</f>
        <v/>
      </c>
      <c r="AH218" s="56" t="str">
        <f>IF(Table25781014[[#This Row],[Month]]="","",VLOOKUP(Table25781014[[#This Row],[Month]],List!$B$2:$C$13,2,FALSE))</f>
        <v/>
      </c>
    </row>
    <row r="219" spans="1:34" ht="25.5" x14ac:dyDescent="0.2">
      <c r="A219" s="98" t="s">
        <v>117</v>
      </c>
      <c r="B219" s="305"/>
      <c r="C219" s="67" t="s">
        <v>164</v>
      </c>
      <c r="D219" s="45" t="s">
        <v>33</v>
      </c>
      <c r="E219" s="100" t="str">
        <f>IF(Table25781014[[#This Row],[Line Section]]="","",VLOOKUP(Table25781014[[#This Row],[Line Section]],Reference!$A$2:$B$47,2,FALSE))</f>
        <v>C172</v>
      </c>
      <c r="F219" s="157"/>
      <c r="G219" s="440"/>
      <c r="H219" s="306"/>
      <c r="I219" s="54" t="s">
        <v>93</v>
      </c>
      <c r="J219" s="60">
        <v>8.6</v>
      </c>
      <c r="K219" s="60">
        <v>8.93</v>
      </c>
      <c r="L219" s="53">
        <f>IF(Table25781014[[#This Row],[End
(km)]]="","",Table25781014[[#This Row],[End
(km)]]-Table25781014[[#This Row],[Start
(km)]])</f>
        <v>0.33000000000000007</v>
      </c>
      <c r="M219" s="61" t="s">
        <v>129</v>
      </c>
      <c r="N219" s="59" t="s">
        <v>113</v>
      </c>
      <c r="O219" s="295"/>
      <c r="P219" s="64">
        <v>43243</v>
      </c>
      <c r="Q219" s="307">
        <v>43252</v>
      </c>
      <c r="R219" s="61" t="s">
        <v>121</v>
      </c>
      <c r="S219" s="55"/>
      <c r="T219" s="66" t="s">
        <v>121</v>
      </c>
      <c r="U219" s="308"/>
      <c r="V219" s="312"/>
      <c r="W219" s="67" t="s">
        <v>244</v>
      </c>
      <c r="X219" s="77" t="s">
        <v>423</v>
      </c>
      <c r="Y219" s="332"/>
      <c r="Z219" s="159" t="s">
        <v>139</v>
      </c>
      <c r="AA219" s="323"/>
      <c r="AB219" s="96"/>
      <c r="AC219" s="96"/>
      <c r="AD219" s="314" t="str">
        <f>IF(Table25781014[[#This Row],[End Completed Section (km)]]="","",Table25781014[[#This Row],[End Completed Section (km)]]-Table25781014[[#This Row],[Start Completed Section (km)]])</f>
        <v/>
      </c>
      <c r="AE219" s="161"/>
      <c r="AF21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19" s="229" t="str">
        <f>IF(Table25781014[[#This Row],[Planned Date]]="","",TEXT(Table25781014[[#This Row],[Planned Date]],"mmm"))</f>
        <v/>
      </c>
      <c r="AH219" s="252" t="str">
        <f>IF(Table25781014[[#This Row],[Month]]="","",VLOOKUP(Table25781014[[#This Row],[Month]],List!$B$2:$C$13,2,FALSE))</f>
        <v/>
      </c>
    </row>
    <row r="220" spans="1:34" s="56" customFormat="1" ht="51" customHeight="1" x14ac:dyDescent="0.2">
      <c r="A220" s="98" t="s">
        <v>116</v>
      </c>
      <c r="B220" s="80"/>
      <c r="C220" s="67" t="s">
        <v>164</v>
      </c>
      <c r="D220" s="45" t="s">
        <v>33</v>
      </c>
      <c r="E220" s="100" t="str">
        <f>IF(Table25781014[[#This Row],[Line Section]]="","",VLOOKUP(Table25781014[[#This Row],[Line Section]],Reference!$A$2:$B$47,2,FALSE))</f>
        <v>C172</v>
      </c>
      <c r="F220" s="157"/>
      <c r="G220" s="440"/>
      <c r="H220" s="247"/>
      <c r="I220" s="54" t="s">
        <v>95</v>
      </c>
      <c r="J220" s="60">
        <v>8.6</v>
      </c>
      <c r="K220" s="60">
        <v>8.8000000000000007</v>
      </c>
      <c r="L220" s="53">
        <f>IF(Table25781014[[#This Row],[End
(km)]]="","",Table25781014[[#This Row],[End
(km)]]-Table25781014[[#This Row],[Start
(km)]])</f>
        <v>0.20000000000000107</v>
      </c>
      <c r="M220" s="61" t="s">
        <v>145</v>
      </c>
      <c r="N220" s="59" t="s">
        <v>113</v>
      </c>
      <c r="O220" s="295" t="s">
        <v>113</v>
      </c>
      <c r="P220" s="64">
        <v>43207</v>
      </c>
      <c r="Q220" s="71">
        <v>43476</v>
      </c>
      <c r="R220" s="61" t="s">
        <v>121</v>
      </c>
      <c r="S220" s="55"/>
      <c r="T220" s="66" t="s">
        <v>121</v>
      </c>
      <c r="U220" s="66"/>
      <c r="V220" s="268"/>
      <c r="W220" s="67" t="s">
        <v>123</v>
      </c>
      <c r="X220" s="77" t="s">
        <v>429</v>
      </c>
      <c r="Y220" s="402"/>
      <c r="Z220" s="159" t="s">
        <v>139</v>
      </c>
      <c r="AA220" s="281"/>
      <c r="AB220" s="96"/>
      <c r="AC220" s="96"/>
      <c r="AD220" s="226" t="str">
        <f>IF(Table25781014[[#This Row],[End Completed Section (km)]]="","",Table25781014[[#This Row],[End Completed Section (km)]]-Table25781014[[#This Row],[Start Completed Section (km)]])</f>
        <v/>
      </c>
      <c r="AE220" s="161"/>
      <c r="AF22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20" s="229" t="str">
        <f>IF(Table25781014[[#This Row],[Planned Date]]="","",TEXT(Table25781014[[#This Row],[Planned Date]],"mmm"))</f>
        <v/>
      </c>
      <c r="AH220" s="56" t="str">
        <f>IF(Table25781014[[#This Row],[Month]]="","",VLOOKUP(Table25781014[[#This Row],[Month]],List!$B$2:$C$13,2,FALSE))</f>
        <v/>
      </c>
    </row>
    <row r="221" spans="1:34" ht="25.5" x14ac:dyDescent="0.2">
      <c r="A221" s="98" t="s">
        <v>118</v>
      </c>
      <c r="B221" s="305"/>
      <c r="C221" s="67" t="s">
        <v>164</v>
      </c>
      <c r="D221" s="99" t="s">
        <v>33</v>
      </c>
      <c r="E221" s="100" t="str">
        <f>IF(Table25781014[[#This Row],[Line Section]]="","",VLOOKUP(Table25781014[[#This Row],[Line Section]],Reference!$A$2:$B$47,2,FALSE))</f>
        <v>C172</v>
      </c>
      <c r="F221" s="157"/>
      <c r="G221" s="440"/>
      <c r="H221" s="306"/>
      <c r="I221" s="54" t="s">
        <v>94</v>
      </c>
      <c r="J221" s="60">
        <v>8.9</v>
      </c>
      <c r="K221" s="60">
        <v>9.16</v>
      </c>
      <c r="L221" s="102">
        <f>IF(Table25781014[[#This Row],[End
(km)]]="","",Table25781014[[#This Row],[End
(km)]]-Table25781014[[#This Row],[Start
(km)]])</f>
        <v>0.25999999999999979</v>
      </c>
      <c r="M221" s="61" t="s">
        <v>126</v>
      </c>
      <c r="N221" s="59" t="s">
        <v>112</v>
      </c>
      <c r="O221" s="295"/>
      <c r="P221" s="64">
        <v>43230</v>
      </c>
      <c r="Q221" s="307">
        <v>43243</v>
      </c>
      <c r="R221" s="57" t="s">
        <v>121</v>
      </c>
      <c r="S221" s="55"/>
      <c r="T221" s="66"/>
      <c r="U221" s="308"/>
      <c r="V221" s="312"/>
      <c r="W221" s="67"/>
      <c r="X221" s="77" t="s">
        <v>372</v>
      </c>
      <c r="Y221" s="332"/>
      <c r="Z221" s="103" t="s">
        <v>139</v>
      </c>
      <c r="AA221" s="320"/>
      <c r="AB221" s="96"/>
      <c r="AC221" s="96"/>
      <c r="AD221" s="314" t="str">
        <f>IF(Table25781014[[#This Row],[End Completed Section (km)]]="","",Table25781014[[#This Row],[End Completed Section (km)]]-Table25781014[[#This Row],[Start Completed Section (km)]])</f>
        <v/>
      </c>
      <c r="AE221" s="161"/>
      <c r="AF22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21" s="229" t="str">
        <f>IF(Table25781014[[#This Row],[Planned Date]]="","",TEXT(Table25781014[[#This Row],[Planned Date]],"mmm"))</f>
        <v/>
      </c>
      <c r="AH221" s="252" t="str">
        <f>IF(Table25781014[[#This Row],[Month]]="","",VLOOKUP(Table25781014[[#This Row],[Month]],List!$B$2:$C$13,2,FALSE))</f>
        <v/>
      </c>
    </row>
    <row r="222" spans="1:34" ht="38.25" x14ac:dyDescent="0.2">
      <c r="A222" s="98" t="s">
        <v>117</v>
      </c>
      <c r="B222" s="305"/>
      <c r="C222" s="67" t="s">
        <v>164</v>
      </c>
      <c r="D222" s="45" t="s">
        <v>33</v>
      </c>
      <c r="E222" s="100" t="str">
        <f>IF(Table25781014[[#This Row],[Line Section]]="","",VLOOKUP(Table25781014[[#This Row],[Line Section]],Reference!$A$2:$B$47,2,FALSE))</f>
        <v>C172</v>
      </c>
      <c r="F222" s="157"/>
      <c r="G222" s="440"/>
      <c r="H222" s="306"/>
      <c r="I222" s="54" t="s">
        <v>96</v>
      </c>
      <c r="J222" s="60">
        <v>9.35</v>
      </c>
      <c r="K222" s="60">
        <v>9.43</v>
      </c>
      <c r="L222" s="53">
        <f>IF(Table25781014[[#This Row],[End
(km)]]="","",Table25781014[[#This Row],[End
(km)]]-Table25781014[[#This Row],[Start
(km)]])</f>
        <v>8.0000000000000071E-2</v>
      </c>
      <c r="M222" s="61" t="s">
        <v>126</v>
      </c>
      <c r="N222" s="59" t="s">
        <v>113</v>
      </c>
      <c r="O222" s="295"/>
      <c r="P222" s="64">
        <v>43207</v>
      </c>
      <c r="Q222" s="307">
        <v>43250</v>
      </c>
      <c r="R222" s="61"/>
      <c r="S222" s="55" t="s">
        <v>121</v>
      </c>
      <c r="T222" s="66" t="s">
        <v>122</v>
      </c>
      <c r="U222" s="308"/>
      <c r="V222" s="312"/>
      <c r="W222" s="67"/>
      <c r="X222" s="77" t="s">
        <v>531</v>
      </c>
      <c r="Y222" s="332"/>
      <c r="Z222" s="159" t="s">
        <v>121</v>
      </c>
      <c r="AA222" s="323"/>
      <c r="AB222" s="96">
        <v>9.32</v>
      </c>
      <c r="AC222" s="96">
        <v>9.5</v>
      </c>
      <c r="AD222" s="314">
        <f>IF(Table25781014[[#This Row],[End Completed Section (km)]]="","",Table25781014[[#This Row],[End Completed Section (km)]]-Table25781014[[#This Row],[Start Completed Section (km)]])</f>
        <v>0.17999999999999972</v>
      </c>
      <c r="AE222" s="161">
        <v>43302</v>
      </c>
      <c r="AF22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222" s="229" t="str">
        <f>IF(Table25781014[[#This Row],[Planned Date]]="","",TEXT(Table25781014[[#This Row],[Planned Date]],"mmm"))</f>
        <v/>
      </c>
      <c r="AH222" s="252" t="str">
        <f>IF(Table25781014[[#This Row],[Month]]="","",VLOOKUP(Table25781014[[#This Row],[Month]],List!$B$2:$C$13,2,FALSE))</f>
        <v/>
      </c>
    </row>
    <row r="223" spans="1:34" x14ac:dyDescent="0.2">
      <c r="A223" s="98" t="s">
        <v>118</v>
      </c>
      <c r="B223" s="305"/>
      <c r="C223" s="67" t="s">
        <v>164</v>
      </c>
      <c r="D223" s="99" t="s">
        <v>33</v>
      </c>
      <c r="E223" s="100" t="str">
        <f>IF(Table25781014[[#This Row],[Line Section]]="","",VLOOKUP(Table25781014[[#This Row],[Line Section]],Reference!$A$2:$B$47,2,FALSE))</f>
        <v>C172</v>
      </c>
      <c r="F223" s="157"/>
      <c r="G223" s="440"/>
      <c r="H223" s="306"/>
      <c r="I223" s="54" t="s">
        <v>93</v>
      </c>
      <c r="J223" s="101">
        <v>9.35</v>
      </c>
      <c r="K223" s="60">
        <v>9.7200000000000006</v>
      </c>
      <c r="L223" s="102">
        <f>IF(Table25781014[[#This Row],[End
(km)]]="","",Table25781014[[#This Row],[End
(km)]]-Table25781014[[#This Row],[Start
(km)]])</f>
        <v>0.37000000000000099</v>
      </c>
      <c r="M223" s="61" t="s">
        <v>126</v>
      </c>
      <c r="N223" s="99" t="s">
        <v>111</v>
      </c>
      <c r="O223" s="71" t="s">
        <v>113</v>
      </c>
      <c r="P223" s="64">
        <v>43230</v>
      </c>
      <c r="Q223" s="307">
        <v>43474</v>
      </c>
      <c r="R223" s="57"/>
      <c r="S223" s="55"/>
      <c r="T223" s="66"/>
      <c r="U223" s="308"/>
      <c r="V223" s="312"/>
      <c r="W223" s="67"/>
      <c r="X223" s="107"/>
      <c r="Y223" s="332"/>
      <c r="Z223" s="103" t="s">
        <v>122</v>
      </c>
      <c r="AA223" s="320"/>
      <c r="AB223" s="96"/>
      <c r="AC223" s="96"/>
      <c r="AD223" s="314" t="str">
        <f>IF(Table25781014[[#This Row],[End Completed Section (km)]]="","",Table25781014[[#This Row],[End Completed Section (km)]]-Table25781014[[#This Row],[Start Completed Section (km)]])</f>
        <v/>
      </c>
      <c r="AE223" s="161"/>
      <c r="AF22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23" s="229" t="str">
        <f>IF(Table25781014[[#This Row],[Planned Date]]="","",TEXT(Table25781014[[#This Row],[Planned Date]],"mmm"))</f>
        <v/>
      </c>
      <c r="AH223" s="252" t="str">
        <f>IF(Table25781014[[#This Row],[Month]]="","",VLOOKUP(Table25781014[[#This Row],[Month]],List!$B$2:$C$13,2,FALSE))</f>
        <v/>
      </c>
    </row>
    <row r="224" spans="1:34" ht="96.95" customHeight="1" x14ac:dyDescent="0.2">
      <c r="A224" s="98" t="s">
        <v>118</v>
      </c>
      <c r="B224" s="305"/>
      <c r="C224" s="67" t="s">
        <v>164</v>
      </c>
      <c r="D224" s="99" t="s">
        <v>33</v>
      </c>
      <c r="E224" s="100" t="str">
        <f>IF(Table25781014[[#This Row],[Line Section]]="","",VLOOKUP(Table25781014[[#This Row],[Line Section]],Reference!$A$2:$B$47,2,FALSE))</f>
        <v>C172</v>
      </c>
      <c r="F224" s="157"/>
      <c r="G224" s="440"/>
      <c r="H224" s="306"/>
      <c r="I224" s="54" t="s">
        <v>94</v>
      </c>
      <c r="J224" s="60">
        <v>9.65</v>
      </c>
      <c r="K224" s="60">
        <v>9.85</v>
      </c>
      <c r="L224" s="102">
        <f>IF(Table25781014[[#This Row],[End
(km)]]="","",Table25781014[[#This Row],[End
(km)]]-Table25781014[[#This Row],[Start
(km)]])</f>
        <v>0.19999999999999929</v>
      </c>
      <c r="M224" s="61" t="s">
        <v>126</v>
      </c>
      <c r="N224" s="59" t="s">
        <v>112</v>
      </c>
      <c r="O224" s="295" t="s">
        <v>111</v>
      </c>
      <c r="P224" s="64">
        <v>43230</v>
      </c>
      <c r="Q224" s="307">
        <v>43476</v>
      </c>
      <c r="R224" s="57"/>
      <c r="S224" s="55"/>
      <c r="T224" s="66"/>
      <c r="U224" s="308"/>
      <c r="V224" s="312"/>
      <c r="W224" s="67" t="s">
        <v>250</v>
      </c>
      <c r="X224" s="77" t="s">
        <v>649</v>
      </c>
      <c r="Y224" s="332"/>
      <c r="Z224" s="103" t="s">
        <v>122</v>
      </c>
      <c r="AA224" s="320"/>
      <c r="AB224" s="96"/>
      <c r="AC224" s="96"/>
      <c r="AD224" s="314" t="str">
        <f>IF(Table25781014[[#This Row],[End Completed Section (km)]]="","",Table25781014[[#This Row],[End Completed Section (km)]]-Table25781014[[#This Row],[Start Completed Section (km)]])</f>
        <v/>
      </c>
      <c r="AE224" s="161"/>
      <c r="AF22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24" s="229" t="str">
        <f>IF(Table25781014[[#This Row],[Planned Date]]="","",TEXT(Table25781014[[#This Row],[Planned Date]],"mmm"))</f>
        <v/>
      </c>
      <c r="AH224" s="252" t="str">
        <f>IF(Table25781014[[#This Row],[Month]]="","",VLOOKUP(Table25781014[[#This Row],[Month]],List!$B$2:$C$13,2,FALSE))</f>
        <v/>
      </c>
    </row>
    <row r="225" spans="1:34" ht="25.5" x14ac:dyDescent="0.2">
      <c r="A225" s="98" t="s">
        <v>117</v>
      </c>
      <c r="B225" s="305"/>
      <c r="C225" s="67" t="s">
        <v>164</v>
      </c>
      <c r="D225" s="99" t="s">
        <v>33</v>
      </c>
      <c r="E225" s="100" t="str">
        <f>IF(Table25781014[[#This Row],[Line Section]]="","",VLOOKUP(Table25781014[[#This Row],[Line Section]],Reference!$A$2:$B$47,2,FALSE))</f>
        <v>C172</v>
      </c>
      <c r="F225" s="157" t="s">
        <v>651</v>
      </c>
      <c r="G225" s="440"/>
      <c r="H225" s="306"/>
      <c r="I225" s="54" t="s">
        <v>94</v>
      </c>
      <c r="J225" s="60">
        <v>10.1</v>
      </c>
      <c r="K225" s="60">
        <v>10.42</v>
      </c>
      <c r="L225" s="102">
        <f>IF(Table25781014[[#This Row],[End
(km)]]="","",Table25781014[[#This Row],[End
(km)]]-Table25781014[[#This Row],[Start
(km)]])</f>
        <v>0.32000000000000028</v>
      </c>
      <c r="M225" s="61" t="s">
        <v>126</v>
      </c>
      <c r="N225" s="59" t="s">
        <v>112</v>
      </c>
      <c r="O225" s="295" t="s">
        <v>113</v>
      </c>
      <c r="P225" s="64">
        <v>43230</v>
      </c>
      <c r="Q225" s="307">
        <v>43476</v>
      </c>
      <c r="R225" s="57"/>
      <c r="S225" s="55"/>
      <c r="T225" s="66"/>
      <c r="U225" s="308"/>
      <c r="V225" s="312"/>
      <c r="W225" s="67" t="s">
        <v>251</v>
      </c>
      <c r="X225" s="77" t="s">
        <v>650</v>
      </c>
      <c r="Y225" s="332"/>
      <c r="Z225" s="103" t="s">
        <v>122</v>
      </c>
      <c r="AA225" s="320"/>
      <c r="AB225" s="96"/>
      <c r="AC225" s="96"/>
      <c r="AD225" s="314" t="str">
        <f>IF(Table25781014[[#This Row],[End Completed Section (km)]]="","",Table25781014[[#This Row],[End Completed Section (km)]]-Table25781014[[#This Row],[Start Completed Section (km)]])</f>
        <v/>
      </c>
      <c r="AE225" s="161"/>
      <c r="AF225"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225" s="229" t="str">
        <f>IF(Table25781014[[#This Row],[Planned Date]]="","",TEXT(Table25781014[[#This Row],[Planned Date]],"mmm"))</f>
        <v>21/22</v>
      </c>
      <c r="AH225" s="252" t="e">
        <f>IF(Table25781014[[#This Row],[Month]]="","",VLOOKUP(Table25781014[[#This Row],[Month]],List!$B$2:$C$13,2,FALSE))</f>
        <v>#N/A</v>
      </c>
    </row>
    <row r="226" spans="1:34" x14ac:dyDescent="0.2">
      <c r="A226" s="98" t="s">
        <v>116</v>
      </c>
      <c r="B226" s="305"/>
      <c r="C226" s="67" t="s">
        <v>164</v>
      </c>
      <c r="D226" s="45" t="s">
        <v>33</v>
      </c>
      <c r="E226" s="100" t="str">
        <f>IF(Table25781014[[#This Row],[Line Section]]="","",VLOOKUP(Table25781014[[#This Row],[Line Section]],Reference!$A$2:$B$47,2,FALSE))</f>
        <v>C172</v>
      </c>
      <c r="F226" s="157"/>
      <c r="G226" s="440"/>
      <c r="H226" s="306"/>
      <c r="I226" s="54" t="s">
        <v>95</v>
      </c>
      <c r="J226" s="60">
        <v>10.1</v>
      </c>
      <c r="K226" s="60">
        <v>10.45</v>
      </c>
      <c r="L226" s="53">
        <f>IF(Table25781014[[#This Row],[End
(km)]]="","",Table25781014[[#This Row],[End
(km)]]-Table25781014[[#This Row],[Start
(km)]])</f>
        <v>0.34999999999999964</v>
      </c>
      <c r="M226" s="61" t="s">
        <v>126</v>
      </c>
      <c r="N226" s="59" t="s">
        <v>113</v>
      </c>
      <c r="O226" s="295" t="s">
        <v>113</v>
      </c>
      <c r="P226" s="64">
        <v>43207</v>
      </c>
      <c r="Q226" s="307">
        <v>43502</v>
      </c>
      <c r="R226" s="61"/>
      <c r="S226" s="55"/>
      <c r="T226" s="66" t="s">
        <v>122</v>
      </c>
      <c r="U226" s="308"/>
      <c r="V226" s="312"/>
      <c r="W226" s="67" t="s">
        <v>602</v>
      </c>
      <c r="X226" s="77" t="s">
        <v>778</v>
      </c>
      <c r="Y226" s="332"/>
      <c r="Z226" s="159" t="s">
        <v>139</v>
      </c>
      <c r="AA226" s="323"/>
      <c r="AB226" s="96"/>
      <c r="AC226" s="96"/>
      <c r="AD226" s="314" t="str">
        <f>IF(Table25781014[[#This Row],[End Completed Section (km)]]="","",Table25781014[[#This Row],[End Completed Section (km)]]-Table25781014[[#This Row],[Start Completed Section (km)]])</f>
        <v/>
      </c>
      <c r="AE226" s="161"/>
      <c r="AF22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26" s="229" t="str">
        <f>IF(Table25781014[[#This Row],[Planned Date]]="","",TEXT(Table25781014[[#This Row],[Planned Date]],"mmm"))</f>
        <v/>
      </c>
      <c r="AH226" s="252" t="str">
        <f>IF(Table25781014[[#This Row],[Month]]="","",VLOOKUP(Table25781014[[#This Row],[Month]],List!$B$2:$C$13,2,FALSE))</f>
        <v/>
      </c>
    </row>
    <row r="227" spans="1:34" ht="63.75" x14ac:dyDescent="0.2">
      <c r="A227" s="98" t="s">
        <v>116</v>
      </c>
      <c r="B227" s="305"/>
      <c r="C227" s="67" t="s">
        <v>164</v>
      </c>
      <c r="D227" s="45" t="s">
        <v>33</v>
      </c>
      <c r="E227" s="100" t="str">
        <f>IF(Table25781014[[#This Row],[Line Section]]="","",VLOOKUP(Table25781014[[#This Row],[Line Section]],Reference!$A$2:$B$47,2,FALSE))</f>
        <v>C172</v>
      </c>
      <c r="F227" s="157"/>
      <c r="G227" s="440"/>
      <c r="H227" s="306"/>
      <c r="I227" s="54" t="s">
        <v>95</v>
      </c>
      <c r="J227" s="60">
        <v>10.65</v>
      </c>
      <c r="K227" s="60">
        <v>10.76</v>
      </c>
      <c r="L227" s="53">
        <f>IF(Table25781014[[#This Row],[End
(km)]]="","",Table25781014[[#This Row],[End
(km)]]-Table25781014[[#This Row],[Start
(km)]])</f>
        <v>0.10999999999999943</v>
      </c>
      <c r="M227" s="61" t="s">
        <v>126</v>
      </c>
      <c r="N227" s="59" t="s">
        <v>113</v>
      </c>
      <c r="O227" s="295"/>
      <c r="P227" s="64">
        <v>43252</v>
      </c>
      <c r="Q227" s="307">
        <v>43476</v>
      </c>
      <c r="R227" s="61"/>
      <c r="S227" s="55"/>
      <c r="T227" s="66"/>
      <c r="U227" s="308"/>
      <c r="V227" s="312"/>
      <c r="W227" s="67"/>
      <c r="X227" s="77" t="s">
        <v>665</v>
      </c>
      <c r="Y227" s="332"/>
      <c r="Z227" s="159" t="s">
        <v>139</v>
      </c>
      <c r="AA227" s="323"/>
      <c r="AB227" s="96"/>
      <c r="AC227" s="96"/>
      <c r="AD227" s="314" t="str">
        <f>IF(Table25781014[[#This Row],[End Completed Section (km)]]="","",Table25781014[[#This Row],[End Completed Section (km)]]-Table25781014[[#This Row],[Start Completed Section (km)]])</f>
        <v/>
      </c>
      <c r="AE227" s="161"/>
      <c r="AF22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27" s="229" t="str">
        <f>IF(Table25781014[[#This Row],[Planned Date]]="","",TEXT(Table25781014[[#This Row],[Planned Date]],"mmm"))</f>
        <v/>
      </c>
      <c r="AH227" s="252" t="str">
        <f>IF(Table25781014[[#This Row],[Month]]="","",VLOOKUP(Table25781014[[#This Row],[Month]],List!$B$2:$C$13,2,FALSE))</f>
        <v/>
      </c>
    </row>
    <row r="228" spans="1:34" ht="63.75" x14ac:dyDescent="0.2">
      <c r="A228" s="98" t="s">
        <v>116</v>
      </c>
      <c r="B228" s="305"/>
      <c r="C228" s="67" t="s">
        <v>164</v>
      </c>
      <c r="D228" s="45" t="s">
        <v>33</v>
      </c>
      <c r="E228" s="100" t="str">
        <f>IF(Table25781014[[#This Row],[Line Section]]="","",VLOOKUP(Table25781014[[#This Row],[Line Section]],Reference!$A$2:$B$47,2,FALSE))</f>
        <v>C172</v>
      </c>
      <c r="F228" s="157"/>
      <c r="G228" s="440"/>
      <c r="H228" s="306"/>
      <c r="I228" s="54" t="s">
        <v>95</v>
      </c>
      <c r="J228" s="60">
        <v>10.65</v>
      </c>
      <c r="K228" s="60">
        <v>11</v>
      </c>
      <c r="L228" s="53">
        <f>IF(Table25781014[[#This Row],[End
(km)]]="","",Table25781014[[#This Row],[End
(km)]]-Table25781014[[#This Row],[Start
(km)]])</f>
        <v>0.34999999999999964</v>
      </c>
      <c r="M228" s="61" t="s">
        <v>126</v>
      </c>
      <c r="N228" s="59" t="s">
        <v>113</v>
      </c>
      <c r="O228" s="295"/>
      <c r="P228" s="64">
        <v>43207</v>
      </c>
      <c r="Q228" s="307">
        <v>43476</v>
      </c>
      <c r="R228" s="61"/>
      <c r="S228" s="55"/>
      <c r="T228" s="66" t="s">
        <v>121</v>
      </c>
      <c r="U228" s="308"/>
      <c r="V228" s="312"/>
      <c r="W228" s="67" t="s">
        <v>132</v>
      </c>
      <c r="X228" s="77" t="s">
        <v>424</v>
      </c>
      <c r="Y228" s="332"/>
      <c r="Z228" s="159" t="s">
        <v>139</v>
      </c>
      <c r="AA228" s="323"/>
      <c r="AB228" s="96"/>
      <c r="AC228" s="96"/>
      <c r="AD228" s="314" t="str">
        <f>IF(Table25781014[[#This Row],[End Completed Section (km)]]="","",Table25781014[[#This Row],[End Completed Section (km)]]-Table25781014[[#This Row],[Start Completed Section (km)]])</f>
        <v/>
      </c>
      <c r="AE228" s="161"/>
      <c r="AF22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28" s="229" t="str">
        <f>IF(Table25781014[[#This Row],[Planned Date]]="","",TEXT(Table25781014[[#This Row],[Planned Date]],"mmm"))</f>
        <v/>
      </c>
      <c r="AH228" s="252" t="str">
        <f>IF(Table25781014[[#This Row],[Month]]="","",VLOOKUP(Table25781014[[#This Row],[Month]],List!$B$2:$C$13,2,FALSE))</f>
        <v/>
      </c>
    </row>
    <row r="229" spans="1:34" x14ac:dyDescent="0.2">
      <c r="A229" s="98" t="s">
        <v>116</v>
      </c>
      <c r="B229" s="305">
        <v>5</v>
      </c>
      <c r="C229" s="67" t="s">
        <v>164</v>
      </c>
      <c r="D229" s="99" t="s">
        <v>33</v>
      </c>
      <c r="E229" s="100" t="str">
        <f>IF(Table25781014[[#This Row],[Line Section]]="","",VLOOKUP(Table25781014[[#This Row],[Line Section]],Reference!$A$2:$B$47,2,FALSE))</f>
        <v>C172</v>
      </c>
      <c r="F229" s="157">
        <v>43968</v>
      </c>
      <c r="G229" s="440"/>
      <c r="H229" s="247" t="s">
        <v>533</v>
      </c>
      <c r="I229" s="54" t="s">
        <v>93</v>
      </c>
      <c r="J229" s="101">
        <v>10.7</v>
      </c>
      <c r="K229" s="60">
        <v>10.95</v>
      </c>
      <c r="L229" s="102">
        <f>IF(Table25781014[[#This Row],[End
(km)]]="","",Table25781014[[#This Row],[End
(km)]]-Table25781014[[#This Row],[Start
(km)]])</f>
        <v>0.25</v>
      </c>
      <c r="M229" s="61" t="s">
        <v>126</v>
      </c>
      <c r="N229" s="99" t="s">
        <v>113</v>
      </c>
      <c r="O229" s="71"/>
      <c r="P229" s="64">
        <v>43230</v>
      </c>
      <c r="Q229" s="307">
        <v>43250</v>
      </c>
      <c r="R229" s="57" t="s">
        <v>121</v>
      </c>
      <c r="S229" s="55"/>
      <c r="T229" s="66"/>
      <c r="U229" s="308"/>
      <c r="V229" s="312"/>
      <c r="W229" s="67" t="s">
        <v>245</v>
      </c>
      <c r="X229" s="107" t="s">
        <v>776</v>
      </c>
      <c r="Y229" s="332"/>
      <c r="Z229" s="103" t="s">
        <v>573</v>
      </c>
      <c r="AA229" s="280">
        <v>43591</v>
      </c>
      <c r="AB229" s="96"/>
      <c r="AC229" s="96"/>
      <c r="AD229" s="314" t="str">
        <f>IF(Table25781014[[#This Row],[End Completed Section (km)]]="","",Table25781014[[#This Row],[End Completed Section (km)]]-Table25781014[[#This Row],[Start Completed Section (km)]])</f>
        <v/>
      </c>
      <c r="AE229" s="161"/>
      <c r="AF22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229" s="229" t="str">
        <f>IF(Table25781014[[#This Row],[Planned Date]]="","",TEXT(Table25781014[[#This Row],[Planned Date]],"mmm"))</f>
        <v>May</v>
      </c>
      <c r="AH229" s="252">
        <f>IF(Table25781014[[#This Row],[Month]]="","",VLOOKUP(Table25781014[[#This Row],[Month]],List!$B$2:$C$13,2,FALSE))</f>
        <v>11</v>
      </c>
    </row>
    <row r="230" spans="1:34" x14ac:dyDescent="0.2">
      <c r="A230" s="98" t="s">
        <v>117</v>
      </c>
      <c r="B230" s="305">
        <v>6</v>
      </c>
      <c r="C230" s="67" t="s">
        <v>164</v>
      </c>
      <c r="D230" s="99" t="s">
        <v>33</v>
      </c>
      <c r="E230" s="100" t="str">
        <f>IF(Table25781014[[#This Row],[Line Section]]="","",VLOOKUP(Table25781014[[#This Row],[Line Section]],Reference!$A$2:$B$47,2,FALSE))</f>
        <v>C172</v>
      </c>
      <c r="F230" s="157">
        <v>43968</v>
      </c>
      <c r="G230" s="440"/>
      <c r="H230" s="247" t="s">
        <v>533</v>
      </c>
      <c r="I230" s="54" t="s">
        <v>94</v>
      </c>
      <c r="J230" s="60">
        <v>10.7</v>
      </c>
      <c r="K230" s="60">
        <v>10.85</v>
      </c>
      <c r="L230" s="102">
        <f>IF(Table25781014[[#This Row],[End
(km)]]="","",Table25781014[[#This Row],[End
(km)]]-Table25781014[[#This Row],[Start
(km)]])</f>
        <v>0.15000000000000036</v>
      </c>
      <c r="M230" s="61" t="s">
        <v>126</v>
      </c>
      <c r="N230" s="59" t="s">
        <v>113</v>
      </c>
      <c r="O230" s="295" t="s">
        <v>207</v>
      </c>
      <c r="P230" s="64">
        <v>43230</v>
      </c>
      <c r="Q230" s="307">
        <v>43502</v>
      </c>
      <c r="R230" s="57" t="s">
        <v>121</v>
      </c>
      <c r="S230" s="55"/>
      <c r="T230" s="66"/>
      <c r="U230" s="308"/>
      <c r="V230" s="312"/>
      <c r="W230" s="67" t="s">
        <v>245</v>
      </c>
      <c r="X230" s="107" t="s">
        <v>776</v>
      </c>
      <c r="Y230" s="332"/>
      <c r="Z230" s="103" t="s">
        <v>573</v>
      </c>
      <c r="AA230" s="320">
        <v>43591</v>
      </c>
      <c r="AB230" s="96"/>
      <c r="AC230" s="96"/>
      <c r="AD230" s="314" t="str">
        <f>IF(Table25781014[[#This Row],[End Completed Section (km)]]="","",Table25781014[[#This Row],[End Completed Section (km)]]-Table25781014[[#This Row],[Start Completed Section (km)]])</f>
        <v/>
      </c>
      <c r="AE230" s="161"/>
      <c r="AF23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230" s="229" t="str">
        <f>IF(Table25781014[[#This Row],[Planned Date]]="","",TEXT(Table25781014[[#This Row],[Planned Date]],"mmm"))</f>
        <v>May</v>
      </c>
      <c r="AH230" s="252">
        <f>IF(Table25781014[[#This Row],[Month]]="","",VLOOKUP(Table25781014[[#This Row],[Month]],List!$B$2:$C$13,2,FALSE))</f>
        <v>11</v>
      </c>
    </row>
    <row r="231" spans="1:34" x14ac:dyDescent="0.2">
      <c r="A231" s="98" t="s">
        <v>118</v>
      </c>
      <c r="B231" s="305"/>
      <c r="C231" s="67" t="s">
        <v>164</v>
      </c>
      <c r="D231" s="45" t="s">
        <v>33</v>
      </c>
      <c r="E231" s="100" t="str">
        <f>IF(Table25781014[[#This Row],[Line Section]]="","",VLOOKUP(Table25781014[[#This Row],[Line Section]],Reference!$A$2:$B$47,2,FALSE))</f>
        <v>C172</v>
      </c>
      <c r="F231" s="157"/>
      <c r="G231" s="440"/>
      <c r="H231" s="306"/>
      <c r="I231" s="54" t="s">
        <v>96</v>
      </c>
      <c r="J231" s="60">
        <v>10.9</v>
      </c>
      <c r="K231" s="60">
        <v>11</v>
      </c>
      <c r="L231" s="53">
        <f>IF(Table25781014[[#This Row],[End
(km)]]="","",Table25781014[[#This Row],[End
(km)]]-Table25781014[[#This Row],[Start
(km)]])</f>
        <v>9.9999999999999645E-2</v>
      </c>
      <c r="M231" s="61" t="s">
        <v>126</v>
      </c>
      <c r="N231" s="59" t="s">
        <v>113</v>
      </c>
      <c r="O231" s="295" t="s">
        <v>207</v>
      </c>
      <c r="P231" s="64">
        <v>43207</v>
      </c>
      <c r="Q231" s="307">
        <v>43476</v>
      </c>
      <c r="R231" s="61" t="s">
        <v>121</v>
      </c>
      <c r="S231" s="55"/>
      <c r="T231" s="66" t="s">
        <v>122</v>
      </c>
      <c r="U231" s="308"/>
      <c r="V231" s="312"/>
      <c r="W231" s="67" t="s">
        <v>484</v>
      </c>
      <c r="X231" s="77"/>
      <c r="Y231" s="332"/>
      <c r="Z231" s="159" t="s">
        <v>122</v>
      </c>
      <c r="AA231" s="323"/>
      <c r="AB231" s="96"/>
      <c r="AC231" s="96"/>
      <c r="AD231" s="314" t="str">
        <f>IF(Table25781014[[#This Row],[End Completed Section (km)]]="","",Table25781014[[#This Row],[End Completed Section (km)]]-Table25781014[[#This Row],[Start Completed Section (km)]])</f>
        <v/>
      </c>
      <c r="AE231" s="161"/>
      <c r="AF23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31" s="229" t="str">
        <f>IF(Table25781014[[#This Row],[Planned Date]]="","",TEXT(Table25781014[[#This Row],[Planned Date]],"mmm"))</f>
        <v/>
      </c>
      <c r="AH231" s="252" t="str">
        <f>IF(Table25781014[[#This Row],[Month]]="","",VLOOKUP(Table25781014[[#This Row],[Month]],List!$B$2:$C$13,2,FALSE))</f>
        <v/>
      </c>
    </row>
    <row r="232" spans="1:34" ht="38.25" x14ac:dyDescent="0.2">
      <c r="A232" s="98" t="s">
        <v>118</v>
      </c>
      <c r="B232" s="305"/>
      <c r="C232" s="67" t="s">
        <v>164</v>
      </c>
      <c r="D232" s="45" t="s">
        <v>33</v>
      </c>
      <c r="E232" s="100" t="str">
        <f>IF(Table25781014[[#This Row],[Line Section]]="","",VLOOKUP(Table25781014[[#This Row],[Line Section]],Reference!$A$2:$B$47,2,FALSE))</f>
        <v>C172</v>
      </c>
      <c r="F232" s="157"/>
      <c r="G232" s="440"/>
      <c r="H232" s="306"/>
      <c r="I232" s="54" t="s">
        <v>95</v>
      </c>
      <c r="J232" s="60">
        <v>10.944000000000001</v>
      </c>
      <c r="K232" s="60">
        <v>11.03</v>
      </c>
      <c r="L232" s="53">
        <f>IF(Table25781014[[#This Row],[End
(km)]]="","",Table25781014[[#This Row],[End
(km)]]-Table25781014[[#This Row],[Start
(km)]])</f>
        <v>8.5999999999998522E-2</v>
      </c>
      <c r="M232" s="61" t="s">
        <v>126</v>
      </c>
      <c r="N232" s="59" t="s">
        <v>113</v>
      </c>
      <c r="O232" s="295"/>
      <c r="P232" s="64">
        <v>43252</v>
      </c>
      <c r="Q232" s="307">
        <v>43318</v>
      </c>
      <c r="R232" s="61" t="s">
        <v>121</v>
      </c>
      <c r="S232" s="55"/>
      <c r="T232" s="66"/>
      <c r="U232" s="308"/>
      <c r="V232" s="312"/>
      <c r="W232" s="67"/>
      <c r="X232" s="77" t="s">
        <v>425</v>
      </c>
      <c r="Y232" s="332"/>
      <c r="Z232" s="159" t="s">
        <v>122</v>
      </c>
      <c r="AA232" s="323"/>
      <c r="AB232" s="96"/>
      <c r="AC232" s="96"/>
      <c r="AD232" s="314" t="str">
        <f>IF(Table25781014[[#This Row],[End Completed Section (km)]]="","",Table25781014[[#This Row],[End Completed Section (km)]]-Table25781014[[#This Row],[Start Completed Section (km)]])</f>
        <v/>
      </c>
      <c r="AE232" s="161"/>
      <c r="AF23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32" s="229" t="str">
        <f>IF(Table25781014[[#This Row],[Planned Date]]="","",TEXT(Table25781014[[#This Row],[Planned Date]],"mmm"))</f>
        <v/>
      </c>
      <c r="AH232" s="252" t="str">
        <f>IF(Table25781014[[#This Row],[Month]]="","",VLOOKUP(Table25781014[[#This Row],[Month]],List!$B$2:$C$13,2,FALSE))</f>
        <v/>
      </c>
    </row>
    <row r="233" spans="1:34" ht="25.5" x14ac:dyDescent="0.2">
      <c r="A233" s="98" t="s">
        <v>118</v>
      </c>
      <c r="B233" s="305"/>
      <c r="C233" s="67" t="s">
        <v>164</v>
      </c>
      <c r="D233" s="45" t="s">
        <v>33</v>
      </c>
      <c r="E233" s="100" t="str">
        <f>IF(Table25781014[[#This Row],[Line Section]]="","",VLOOKUP(Table25781014[[#This Row],[Line Section]],Reference!$A$2:$B$47,2,FALSE))</f>
        <v>C172</v>
      </c>
      <c r="F233" s="157"/>
      <c r="G233" s="440"/>
      <c r="H233" s="306"/>
      <c r="I233" s="54" t="s">
        <v>96</v>
      </c>
      <c r="J233" s="60">
        <v>11</v>
      </c>
      <c r="K233" s="60">
        <v>11.1</v>
      </c>
      <c r="L233" s="53">
        <f>IF(Table25781014[[#This Row],[End
(km)]]="","",Table25781014[[#This Row],[End
(km)]]-Table25781014[[#This Row],[Start
(km)]])</f>
        <v>9.9999999999999645E-2</v>
      </c>
      <c r="M233" s="61" t="s">
        <v>126</v>
      </c>
      <c r="N233" s="59" t="s">
        <v>113</v>
      </c>
      <c r="O233" s="295" t="s">
        <v>207</v>
      </c>
      <c r="P233" s="64">
        <v>43318</v>
      </c>
      <c r="Q233" s="307"/>
      <c r="R233" s="61" t="s">
        <v>121</v>
      </c>
      <c r="S233" s="55"/>
      <c r="T233" s="66"/>
      <c r="U233" s="308"/>
      <c r="V233" s="309"/>
      <c r="W233" s="67"/>
      <c r="X233" s="77" t="s">
        <v>666</v>
      </c>
      <c r="Y233" s="332"/>
      <c r="Z233" s="159" t="s">
        <v>122</v>
      </c>
      <c r="AA233" s="323"/>
      <c r="AB233" s="96"/>
      <c r="AC233" s="96"/>
      <c r="AD233" s="310" t="str">
        <f>IF(Table25781014[[#This Row],[End Completed Section (km)]]="","",Table25781014[[#This Row],[End Completed Section (km)]]-Table25781014[[#This Row],[Start Completed Section (km)]])</f>
        <v/>
      </c>
      <c r="AE233" s="161"/>
      <c r="AF23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33" s="229" t="str">
        <f>IF(Table25781014[[#This Row],[Planned Date]]="","",TEXT(Table25781014[[#This Row],[Planned Date]],"mmm"))</f>
        <v/>
      </c>
      <c r="AH233" s="252" t="str">
        <f>IF(Table25781014[[#This Row],[Month]]="","",VLOOKUP(Table25781014[[#This Row],[Month]],List!$B$2:$C$13,2,FALSE))</f>
        <v/>
      </c>
    </row>
    <row r="234" spans="1:34" ht="25.5" x14ac:dyDescent="0.2">
      <c r="A234" s="98" t="s">
        <v>116</v>
      </c>
      <c r="B234" s="305"/>
      <c r="C234" s="67" t="s">
        <v>164</v>
      </c>
      <c r="D234" s="99" t="s">
        <v>24</v>
      </c>
      <c r="E234" s="100" t="str">
        <f>IF(Table25781014[[#This Row],[Line Section]]="","",VLOOKUP(Table25781014[[#This Row],[Line Section]],Reference!$A$2:$B$47,2,FALSE))</f>
        <v>C047</v>
      </c>
      <c r="F234" s="157"/>
      <c r="G234" s="440"/>
      <c r="H234" s="306"/>
      <c r="I234" s="54" t="s">
        <v>94</v>
      </c>
      <c r="J234" s="60">
        <v>11.02</v>
      </c>
      <c r="K234" s="60">
        <v>11.08</v>
      </c>
      <c r="L234" s="53">
        <f>IF(Table25781014[[#This Row],[End
(km)]]="","",Table25781014[[#This Row],[End
(km)]]-Table25781014[[#This Row],[Start
(km)]])</f>
        <v>6.0000000000000497E-2</v>
      </c>
      <c r="M234" s="61" t="s">
        <v>129</v>
      </c>
      <c r="N234" s="59" t="s">
        <v>112</v>
      </c>
      <c r="O234" s="295" t="s">
        <v>207</v>
      </c>
      <c r="P234" s="64">
        <v>43318</v>
      </c>
      <c r="Q234" s="307">
        <v>43476</v>
      </c>
      <c r="R234" s="57" t="s">
        <v>121</v>
      </c>
      <c r="S234" s="55"/>
      <c r="T234" s="66"/>
      <c r="U234" s="308"/>
      <c r="V234" s="309"/>
      <c r="W234" s="67"/>
      <c r="X234" s="77" t="s">
        <v>491</v>
      </c>
      <c r="Y234" s="327"/>
      <c r="Z234" s="80" t="s">
        <v>573</v>
      </c>
      <c r="AA234" s="342">
        <v>43591</v>
      </c>
      <c r="AB234" s="96"/>
      <c r="AC234" s="96"/>
      <c r="AD234" s="310" t="str">
        <f>IF(Table25781014[[#This Row],[End Completed Section (km)]]="","",Table25781014[[#This Row],[End Completed Section (km)]]-Table25781014[[#This Row],[Start Completed Section (km)]])</f>
        <v/>
      </c>
      <c r="AE234" s="161"/>
      <c r="AF23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34" s="229" t="str">
        <f>IF(Table25781014[[#This Row],[Planned Date]]="","",TEXT(Table25781014[[#This Row],[Planned Date]],"mmm"))</f>
        <v/>
      </c>
      <c r="AH234" s="252" t="str">
        <f>IF(Table25781014[[#This Row],[Month]]="","",VLOOKUP(Table25781014[[#This Row],[Month]],List!$B$2:$C$13,2,FALSE))</f>
        <v/>
      </c>
    </row>
    <row r="235" spans="1:34" ht="89.25" x14ac:dyDescent="0.2">
      <c r="A235" s="98" t="s">
        <v>116</v>
      </c>
      <c r="B235" s="305">
        <v>1</v>
      </c>
      <c r="C235" s="67" t="s">
        <v>164</v>
      </c>
      <c r="D235" s="99" t="s">
        <v>24</v>
      </c>
      <c r="E235" s="100" t="str">
        <f>IF(Table25781014[[#This Row],[Line Section]]="","",VLOOKUP(Table25781014[[#This Row],[Line Section]],Reference!$A$2:$B$47,2,FALSE))</f>
        <v>C047</v>
      </c>
      <c r="F235" s="157">
        <v>43751</v>
      </c>
      <c r="G235" s="440" t="s">
        <v>430</v>
      </c>
      <c r="H235" s="247" t="s">
        <v>533</v>
      </c>
      <c r="I235" s="54" t="s">
        <v>94</v>
      </c>
      <c r="J235" s="101">
        <v>11.3</v>
      </c>
      <c r="K235" s="60">
        <v>11.85</v>
      </c>
      <c r="L235" s="102">
        <f>IF(Table25781014[[#This Row],[End
(km)]]="","",Table25781014[[#This Row],[End
(km)]]-Table25781014[[#This Row],[Start
(km)]])</f>
        <v>0.54999999999999893</v>
      </c>
      <c r="M235" s="61" t="s">
        <v>189</v>
      </c>
      <c r="N235" s="99" t="s">
        <v>113</v>
      </c>
      <c r="O235" s="71" t="s">
        <v>113</v>
      </c>
      <c r="P235" s="64">
        <v>43230</v>
      </c>
      <c r="Q235" s="307">
        <v>43476</v>
      </c>
      <c r="R235" s="57" t="s">
        <v>121</v>
      </c>
      <c r="S235" s="106"/>
      <c r="T235" s="66" t="s">
        <v>122</v>
      </c>
      <c r="U235" s="308" t="s">
        <v>121</v>
      </c>
      <c r="V235" s="309"/>
      <c r="W235" s="67"/>
      <c r="X235" s="107" t="s">
        <v>790</v>
      </c>
      <c r="Y235" s="326"/>
      <c r="Z235" s="103" t="s">
        <v>573</v>
      </c>
      <c r="AA235" s="320">
        <v>43604</v>
      </c>
      <c r="AB235" s="96"/>
      <c r="AC235" s="96"/>
      <c r="AD235" s="310" t="str">
        <f>IF(Table25781014[[#This Row],[End Completed Section (km)]]="","",Table25781014[[#This Row],[End Completed Section (km)]]-Table25781014[[#This Row],[Start Completed Section (km)]])</f>
        <v/>
      </c>
      <c r="AE235" s="72"/>
      <c r="AF23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235" s="229" t="str">
        <f>IF(Table25781014[[#This Row],[Planned Date]]="","",TEXT(Table25781014[[#This Row],[Planned Date]],"mmm"))</f>
        <v>Oct</v>
      </c>
      <c r="AH235" s="252">
        <f>IF(Table25781014[[#This Row],[Month]]="","",VLOOKUP(Table25781014[[#This Row],[Month]],List!$B$2:$C$13,2,FALSE))</f>
        <v>4</v>
      </c>
    </row>
    <row r="236" spans="1:34" ht="25.5" x14ac:dyDescent="0.2">
      <c r="A236" s="98" t="s">
        <v>118</v>
      </c>
      <c r="B236" s="305"/>
      <c r="C236" s="67" t="s">
        <v>164</v>
      </c>
      <c r="D236" s="99" t="s">
        <v>24</v>
      </c>
      <c r="E236" s="100" t="str">
        <f>IF(Table25781014[[#This Row],[Line Section]]="","",VLOOKUP(Table25781014[[#This Row],[Line Section]],Reference!$A$2:$B$47,2,FALSE))</f>
        <v>C047</v>
      </c>
      <c r="F236" s="157"/>
      <c r="G236" s="440"/>
      <c r="H236" s="306"/>
      <c r="I236" s="54" t="s">
        <v>93</v>
      </c>
      <c r="J236" s="101">
        <v>12.15</v>
      </c>
      <c r="K236" s="60">
        <v>12.35</v>
      </c>
      <c r="L236" s="102">
        <f>IF(Table25781014[[#This Row],[End
(km)]]="","",Table25781014[[#This Row],[End
(km)]]-Table25781014[[#This Row],[Start
(km)]])</f>
        <v>0.19999999999999929</v>
      </c>
      <c r="M236" s="61" t="s">
        <v>126</v>
      </c>
      <c r="N236" s="99" t="s">
        <v>112</v>
      </c>
      <c r="O236" s="71" t="s">
        <v>110</v>
      </c>
      <c r="P236" s="64">
        <v>43229</v>
      </c>
      <c r="Q236" s="307">
        <v>43474</v>
      </c>
      <c r="R236" s="57"/>
      <c r="S236" s="106" t="s">
        <v>121</v>
      </c>
      <c r="T236" s="66" t="s">
        <v>122</v>
      </c>
      <c r="U236" s="308"/>
      <c r="V236" s="309"/>
      <c r="W236" s="67"/>
      <c r="X236" s="107" t="s">
        <v>634</v>
      </c>
      <c r="Y236" s="333" t="s">
        <v>214</v>
      </c>
      <c r="Z236" s="103" t="s">
        <v>139</v>
      </c>
      <c r="AA236" s="320"/>
      <c r="AB236" s="96"/>
      <c r="AC236" s="96"/>
      <c r="AD236" s="310" t="str">
        <f>IF(Table25781014[[#This Row],[End Completed Section (km)]]="","",Table25781014[[#This Row],[End Completed Section (km)]]-Table25781014[[#This Row],[Start Completed Section (km)]])</f>
        <v/>
      </c>
      <c r="AE236" s="72"/>
      <c r="AF23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36" s="229" t="str">
        <f>IF(Table25781014[[#This Row],[Planned Date]]="","",TEXT(Table25781014[[#This Row],[Planned Date]],"mmm"))</f>
        <v/>
      </c>
      <c r="AH236" s="252" t="str">
        <f>IF(Table25781014[[#This Row],[Month]]="","",VLOOKUP(Table25781014[[#This Row],[Month]],List!$B$2:$C$13,2,FALSE))</f>
        <v/>
      </c>
    </row>
    <row r="237" spans="1:34" s="56" customFormat="1" ht="25.5" x14ac:dyDescent="0.2">
      <c r="A237" s="98" t="s">
        <v>118</v>
      </c>
      <c r="B237" s="305"/>
      <c r="C237" s="67" t="s">
        <v>164</v>
      </c>
      <c r="D237" s="99" t="s">
        <v>24</v>
      </c>
      <c r="E237" s="100" t="str">
        <f>IF(Table25781014[[#This Row],[Line Section]]="","",VLOOKUP(Table25781014[[#This Row],[Line Section]],Reference!$A$2:$B$47,2,FALSE))</f>
        <v>C047</v>
      </c>
      <c r="F237" s="157"/>
      <c r="G237" s="440"/>
      <c r="H237" s="306"/>
      <c r="I237" s="54" t="s">
        <v>94</v>
      </c>
      <c r="J237" s="101">
        <v>12.45</v>
      </c>
      <c r="K237" s="60">
        <v>12.6</v>
      </c>
      <c r="L237" s="102">
        <f>IF(Table25781014[[#This Row],[End
(km)]]="","",Table25781014[[#This Row],[End
(km)]]-Table25781014[[#This Row],[Start
(km)]])</f>
        <v>0.15000000000000036</v>
      </c>
      <c r="M237" s="61" t="s">
        <v>189</v>
      </c>
      <c r="N237" s="99" t="s">
        <v>113</v>
      </c>
      <c r="O237" s="71" t="s">
        <v>111</v>
      </c>
      <c r="P237" s="64">
        <v>43230</v>
      </c>
      <c r="Q237" s="307">
        <v>43476</v>
      </c>
      <c r="R237" s="57"/>
      <c r="S237" s="106"/>
      <c r="T237" s="66" t="s">
        <v>122</v>
      </c>
      <c r="U237" s="308"/>
      <c r="V237" s="309"/>
      <c r="W237" s="49" t="s">
        <v>652</v>
      </c>
      <c r="X237" s="322" t="s">
        <v>653</v>
      </c>
      <c r="Y237" s="326"/>
      <c r="Z237" s="103" t="s">
        <v>139</v>
      </c>
      <c r="AA237" s="320"/>
      <c r="AB237" s="96"/>
      <c r="AC237" s="96"/>
      <c r="AD237" s="310" t="str">
        <f>IF(Table25781014[[#This Row],[End Completed Section (km)]]="","",Table25781014[[#This Row],[End Completed Section (km)]]-Table25781014[[#This Row],[Start Completed Section (km)]])</f>
        <v/>
      </c>
      <c r="AE237" s="72"/>
      <c r="AF23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37" s="229" t="str">
        <f>IF(Table25781014[[#This Row],[Planned Date]]="","",TEXT(Table25781014[[#This Row],[Planned Date]],"mmm"))</f>
        <v/>
      </c>
      <c r="AH237" s="252" t="str">
        <f>IF(Table25781014[[#This Row],[Month]]="","",VLOOKUP(Table25781014[[#This Row],[Month]],List!$B$2:$C$13,2,FALSE))</f>
        <v/>
      </c>
    </row>
    <row r="238" spans="1:34" s="56" customFormat="1" ht="25.5" x14ac:dyDescent="0.2">
      <c r="A238" s="98" t="s">
        <v>117</v>
      </c>
      <c r="B238" s="305"/>
      <c r="C238" s="67" t="s">
        <v>164</v>
      </c>
      <c r="D238" s="99" t="s">
        <v>24</v>
      </c>
      <c r="E238" s="100" t="str">
        <f>IF(Table25781014[[#This Row],[Line Section]]="","",VLOOKUP(Table25781014[[#This Row],[Line Section]],Reference!$A$2:$B$47,2,FALSE))</f>
        <v>C047</v>
      </c>
      <c r="F238" s="157"/>
      <c r="G238" s="440"/>
      <c r="H238" s="306"/>
      <c r="I238" s="54" t="s">
        <v>93</v>
      </c>
      <c r="J238" s="101">
        <v>12.8</v>
      </c>
      <c r="K238" s="60">
        <v>13</v>
      </c>
      <c r="L238" s="102">
        <f>IF(Table25781014[[#This Row],[End
(km)]]="","",Table25781014[[#This Row],[End
(km)]]-Table25781014[[#This Row],[Start
(km)]])</f>
        <v>0.19999999999999929</v>
      </c>
      <c r="M238" s="61" t="s">
        <v>126</v>
      </c>
      <c r="N238" s="99" t="s">
        <v>111</v>
      </c>
      <c r="O238" s="71" t="s">
        <v>109</v>
      </c>
      <c r="P238" s="64">
        <v>43229</v>
      </c>
      <c r="Q238" s="307">
        <v>43474</v>
      </c>
      <c r="R238" s="57"/>
      <c r="S238" s="106" t="s">
        <v>121</v>
      </c>
      <c r="T238" s="66" t="s">
        <v>122</v>
      </c>
      <c r="U238" s="308"/>
      <c r="V238" s="309"/>
      <c r="W238" s="67"/>
      <c r="X238" s="107" t="s">
        <v>635</v>
      </c>
      <c r="Y238" s="333" t="s">
        <v>213</v>
      </c>
      <c r="Z238" s="103" t="s">
        <v>139</v>
      </c>
      <c r="AA238" s="320"/>
      <c r="AB238" s="96"/>
      <c r="AC238" s="96"/>
      <c r="AD238" s="310" t="str">
        <f>IF(Table25781014[[#This Row],[End Completed Section (km)]]="","",Table25781014[[#This Row],[End Completed Section (km)]]-Table25781014[[#This Row],[Start Completed Section (km)]])</f>
        <v/>
      </c>
      <c r="AE238" s="72"/>
      <c r="AF23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38" s="229" t="str">
        <f>IF(Table25781014[[#This Row],[Planned Date]]="","",TEXT(Table25781014[[#This Row],[Planned Date]],"mmm"))</f>
        <v/>
      </c>
      <c r="AH238" s="252" t="str">
        <f>IF(Table25781014[[#This Row],[Month]]="","",VLOOKUP(Table25781014[[#This Row],[Month]],List!$B$2:$C$13,2,FALSE))</f>
        <v/>
      </c>
    </row>
    <row r="239" spans="1:34" s="56" customFormat="1" ht="25.5" x14ac:dyDescent="0.2">
      <c r="A239" s="98" t="s">
        <v>117</v>
      </c>
      <c r="B239" s="305"/>
      <c r="C239" s="67" t="s">
        <v>164</v>
      </c>
      <c r="D239" s="99" t="s">
        <v>24</v>
      </c>
      <c r="E239" s="100" t="str">
        <f>IF(Table25781014[[#This Row],[Line Section]]="","",VLOOKUP(Table25781014[[#This Row],[Line Section]],Reference!$A$2:$B$47,2,FALSE))</f>
        <v>C047</v>
      </c>
      <c r="F239" s="157"/>
      <c r="G239" s="440"/>
      <c r="H239" s="306"/>
      <c r="I239" s="54" t="s">
        <v>94</v>
      </c>
      <c r="J239" s="101">
        <v>14.3</v>
      </c>
      <c r="K239" s="60">
        <v>14.5</v>
      </c>
      <c r="L239" s="102">
        <f>IF(Table25781014[[#This Row],[End
(km)]]="","",Table25781014[[#This Row],[End
(km)]]-Table25781014[[#This Row],[Start
(km)]])</f>
        <v>0.19999999999999929</v>
      </c>
      <c r="M239" s="61" t="s">
        <v>189</v>
      </c>
      <c r="N239" s="99" t="s">
        <v>112</v>
      </c>
      <c r="O239" s="71" t="s">
        <v>111</v>
      </c>
      <c r="P239" s="64">
        <v>43230</v>
      </c>
      <c r="Q239" s="307">
        <v>43476</v>
      </c>
      <c r="R239" s="57"/>
      <c r="S239" s="106"/>
      <c r="T239" s="66" t="s">
        <v>122</v>
      </c>
      <c r="U239" s="308"/>
      <c r="V239" s="309"/>
      <c r="W239" s="67"/>
      <c r="X239" s="107" t="s">
        <v>654</v>
      </c>
      <c r="Y239" s="326"/>
      <c r="Z239" s="103" t="s">
        <v>139</v>
      </c>
      <c r="AA239" s="320"/>
      <c r="AB239" s="96"/>
      <c r="AC239" s="96"/>
      <c r="AD239" s="310" t="str">
        <f>IF(Table25781014[[#This Row],[End Completed Section (km)]]="","",Table25781014[[#This Row],[End Completed Section (km)]]-Table25781014[[#This Row],[Start Completed Section (km)]])</f>
        <v/>
      </c>
      <c r="AE239" s="72"/>
      <c r="AF23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39" s="229" t="str">
        <f>IF(Table25781014[[#This Row],[Planned Date]]="","",TEXT(Table25781014[[#This Row],[Planned Date]],"mmm"))</f>
        <v/>
      </c>
      <c r="AH239" s="252" t="str">
        <f>IF(Table25781014[[#This Row],[Month]]="","",VLOOKUP(Table25781014[[#This Row],[Month]],List!$B$2:$C$13,2,FALSE))</f>
        <v/>
      </c>
    </row>
    <row r="240" spans="1:34" s="56" customFormat="1" ht="25.5" x14ac:dyDescent="0.2">
      <c r="A240" s="98" t="s">
        <v>116</v>
      </c>
      <c r="B240" s="305">
        <v>9</v>
      </c>
      <c r="C240" s="67" t="s">
        <v>164</v>
      </c>
      <c r="D240" s="99" t="s">
        <v>24</v>
      </c>
      <c r="E240" s="100" t="str">
        <f>IF(Table25781014[[#This Row],[Line Section]]="","",VLOOKUP(Table25781014[[#This Row],[Line Section]],Reference!$A$2:$B$47,2,FALSE))</f>
        <v>C047</v>
      </c>
      <c r="F240" s="157">
        <v>43961</v>
      </c>
      <c r="G240" s="440"/>
      <c r="H240" s="247" t="s">
        <v>534</v>
      </c>
      <c r="I240" s="54" t="s">
        <v>94</v>
      </c>
      <c r="J240" s="101">
        <v>15.28</v>
      </c>
      <c r="K240" s="60">
        <v>15.38</v>
      </c>
      <c r="L240" s="102">
        <f>IF(Table25781014[[#This Row],[End
(km)]]="","",Table25781014[[#This Row],[End
(km)]]-Table25781014[[#This Row],[Start
(km)]])</f>
        <v>0.10000000000000142</v>
      </c>
      <c r="M240" s="61" t="s">
        <v>189</v>
      </c>
      <c r="N240" s="99" t="s">
        <v>113</v>
      </c>
      <c r="O240" s="71" t="s">
        <v>113</v>
      </c>
      <c r="P240" s="64">
        <v>43230</v>
      </c>
      <c r="Q240" s="307">
        <v>43476</v>
      </c>
      <c r="R240" s="57" t="s">
        <v>121</v>
      </c>
      <c r="S240" s="106"/>
      <c r="T240" s="66" t="s">
        <v>122</v>
      </c>
      <c r="U240" s="308"/>
      <c r="V240" s="309"/>
      <c r="W240" s="49" t="s">
        <v>655</v>
      </c>
      <c r="X240" s="107" t="s">
        <v>485</v>
      </c>
      <c r="Y240" s="326"/>
      <c r="Z240" s="103" t="s">
        <v>122</v>
      </c>
      <c r="AA240" s="320"/>
      <c r="AB240" s="96"/>
      <c r="AC240" s="96"/>
      <c r="AD240" s="310" t="str">
        <f>IF(Table25781014[[#This Row],[End Completed Section (km)]]="","",Table25781014[[#This Row],[End Completed Section (km)]]-Table25781014[[#This Row],[Start Completed Section (km)]])</f>
        <v/>
      </c>
      <c r="AE240" s="72"/>
      <c r="AF24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240" s="229" t="str">
        <f>IF(Table25781014[[#This Row],[Planned Date]]="","",TEXT(Table25781014[[#This Row],[Planned Date]],"mmm"))</f>
        <v>May</v>
      </c>
      <c r="AH240" s="252">
        <f>IF(Table25781014[[#This Row],[Month]]="","",VLOOKUP(Table25781014[[#This Row],[Month]],List!$B$2:$C$13,2,FALSE))</f>
        <v>11</v>
      </c>
    </row>
    <row r="241" spans="1:34" s="56" customFormat="1" ht="25.5" x14ac:dyDescent="0.2">
      <c r="A241" s="98" t="s">
        <v>117</v>
      </c>
      <c r="B241" s="305"/>
      <c r="C241" s="67" t="s">
        <v>164</v>
      </c>
      <c r="D241" s="99" t="s">
        <v>24</v>
      </c>
      <c r="E241" s="100" t="str">
        <f>IF(Table25781014[[#This Row],[Line Section]]="","",VLOOKUP(Table25781014[[#This Row],[Line Section]],Reference!$A$2:$B$47,2,FALSE))</f>
        <v>C047</v>
      </c>
      <c r="F241" s="157"/>
      <c r="G241" s="440"/>
      <c r="H241" s="306"/>
      <c r="I241" s="54" t="s">
        <v>94</v>
      </c>
      <c r="J241" s="101">
        <v>16.100000000000001</v>
      </c>
      <c r="K241" s="60">
        <v>17</v>
      </c>
      <c r="L241" s="102">
        <f>IF(Table25781014[[#This Row],[End
(km)]]="","",Table25781014[[#This Row],[End
(km)]]-Table25781014[[#This Row],[Start
(km)]])</f>
        <v>0.89999999999999858</v>
      </c>
      <c r="M241" s="61" t="s">
        <v>189</v>
      </c>
      <c r="N241" s="99" t="s">
        <v>113</v>
      </c>
      <c r="O241" s="71"/>
      <c r="P241" s="64">
        <v>43230</v>
      </c>
      <c r="Q241" s="307">
        <v>43318</v>
      </c>
      <c r="R241" s="57" t="s">
        <v>121</v>
      </c>
      <c r="S241" s="106"/>
      <c r="T241" s="66" t="s">
        <v>122</v>
      </c>
      <c r="U241" s="308" t="s">
        <v>121</v>
      </c>
      <c r="V241" s="309"/>
      <c r="W241" s="49" t="s">
        <v>396</v>
      </c>
      <c r="X241" s="107" t="s">
        <v>486</v>
      </c>
      <c r="Y241" s="326"/>
      <c r="Z241" s="103" t="s">
        <v>139</v>
      </c>
      <c r="AA241" s="320"/>
      <c r="AB241" s="96"/>
      <c r="AC241" s="96"/>
      <c r="AD241" s="310" t="str">
        <f>IF(Table25781014[[#This Row],[End Completed Section (km)]]="","",Table25781014[[#This Row],[End Completed Section (km)]]-Table25781014[[#This Row],[Start Completed Section (km)]])</f>
        <v/>
      </c>
      <c r="AE241" s="72"/>
      <c r="AF24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41" s="229" t="str">
        <f>IF(Table25781014[[#This Row],[Planned Date]]="","",TEXT(Table25781014[[#This Row],[Planned Date]],"mmm"))</f>
        <v/>
      </c>
      <c r="AH241" s="252" t="str">
        <f>IF(Table25781014[[#This Row],[Month]]="","",VLOOKUP(Table25781014[[#This Row],[Month]],List!$B$2:$C$13,2,FALSE))</f>
        <v/>
      </c>
    </row>
    <row r="242" spans="1:34" s="56" customFormat="1" ht="38.25" x14ac:dyDescent="0.2">
      <c r="A242" s="98" t="s">
        <v>116</v>
      </c>
      <c r="B242" s="305"/>
      <c r="C242" s="67" t="s">
        <v>164</v>
      </c>
      <c r="D242" s="99" t="s">
        <v>24</v>
      </c>
      <c r="E242" s="100" t="str">
        <f>IF(Table25781014[[#This Row],[Line Section]]="","",VLOOKUP(Table25781014[[#This Row],[Line Section]],Reference!$A$2:$B$47,2,FALSE))</f>
        <v>C047</v>
      </c>
      <c r="F242" s="157"/>
      <c r="G242" s="440"/>
      <c r="H242" s="306"/>
      <c r="I242" s="54" t="s">
        <v>93</v>
      </c>
      <c r="J242" s="101">
        <v>16.399999999999999</v>
      </c>
      <c r="K242" s="60">
        <v>16.55</v>
      </c>
      <c r="L242" s="102">
        <f>IF(Table25781014[[#This Row],[End
(km)]]="","",Table25781014[[#This Row],[End
(km)]]-Table25781014[[#This Row],[Start
(km)]])</f>
        <v>0.15000000000000213</v>
      </c>
      <c r="M242" s="61" t="s">
        <v>126</v>
      </c>
      <c r="N242" s="99" t="s">
        <v>113</v>
      </c>
      <c r="O242" s="71"/>
      <c r="P242" s="64">
        <v>43229</v>
      </c>
      <c r="Q242" s="307">
        <v>43318</v>
      </c>
      <c r="R242" s="57" t="s">
        <v>121</v>
      </c>
      <c r="S242" s="106" t="s">
        <v>121</v>
      </c>
      <c r="T242" s="66" t="s">
        <v>122</v>
      </c>
      <c r="U242" s="308"/>
      <c r="V242" s="309"/>
      <c r="W242" s="49" t="s">
        <v>411</v>
      </c>
      <c r="X242" s="107" t="s">
        <v>487</v>
      </c>
      <c r="Y242" s="333" t="s">
        <v>212</v>
      </c>
      <c r="Z242" s="103" t="s">
        <v>139</v>
      </c>
      <c r="AA242" s="320"/>
      <c r="AB242" s="96"/>
      <c r="AC242" s="96"/>
      <c r="AD242" s="310" t="str">
        <f>IF(Table25781014[[#This Row],[End Completed Section (km)]]="","",Table25781014[[#This Row],[End Completed Section (km)]]-Table25781014[[#This Row],[Start Completed Section (km)]])</f>
        <v/>
      </c>
      <c r="AE242" s="72"/>
      <c r="AF24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42" s="229" t="str">
        <f>IF(Table25781014[[#This Row],[Planned Date]]="","",TEXT(Table25781014[[#This Row],[Planned Date]],"mmm"))</f>
        <v/>
      </c>
      <c r="AH242" s="252" t="str">
        <f>IF(Table25781014[[#This Row],[Month]]="","",VLOOKUP(Table25781014[[#This Row],[Month]],List!$B$2:$C$13,2,FALSE))</f>
        <v/>
      </c>
    </row>
    <row r="243" spans="1:34" s="56" customFormat="1" x14ac:dyDescent="0.2">
      <c r="A243" s="98" t="s">
        <v>116</v>
      </c>
      <c r="B243" s="305"/>
      <c r="C243" s="67" t="s">
        <v>164</v>
      </c>
      <c r="D243" s="99" t="s">
        <v>24</v>
      </c>
      <c r="E243" s="100" t="str">
        <f>IF(Table25781014[[#This Row],[Line Section]]="","",VLOOKUP(Table25781014[[#This Row],[Line Section]],Reference!$A$2:$B$47,2,FALSE))</f>
        <v>C047</v>
      </c>
      <c r="F243" s="157"/>
      <c r="G243" s="440"/>
      <c r="H243" s="306"/>
      <c r="I243" s="54" t="s">
        <v>93</v>
      </c>
      <c r="J243" s="101">
        <v>16.57</v>
      </c>
      <c r="K243" s="60">
        <v>16.72</v>
      </c>
      <c r="L243" s="102">
        <f>IF(Table25781014[[#This Row],[End
(km)]]="","",Table25781014[[#This Row],[End
(km)]]-Table25781014[[#This Row],[Start
(km)]])</f>
        <v>0.14999999999999858</v>
      </c>
      <c r="M243" s="61" t="s">
        <v>126</v>
      </c>
      <c r="N243" s="99" t="s">
        <v>113</v>
      </c>
      <c r="O243" s="71"/>
      <c r="P243" s="64">
        <v>43229</v>
      </c>
      <c r="Q243" s="307">
        <v>43250</v>
      </c>
      <c r="R243" s="57" t="s">
        <v>121</v>
      </c>
      <c r="S243" s="106" t="s">
        <v>121</v>
      </c>
      <c r="T243" s="66" t="s">
        <v>122</v>
      </c>
      <c r="U243" s="308"/>
      <c r="V243" s="309"/>
      <c r="W243" s="67"/>
      <c r="X243" s="107"/>
      <c r="Y243" s="333"/>
      <c r="Z243" s="103" t="s">
        <v>139</v>
      </c>
      <c r="AA243" s="320"/>
      <c r="AB243" s="96"/>
      <c r="AC243" s="96"/>
      <c r="AD243" s="310" t="str">
        <f>IF(Table25781014[[#This Row],[End Completed Section (km)]]="","",Table25781014[[#This Row],[End Completed Section (km)]]-Table25781014[[#This Row],[Start Completed Section (km)]])</f>
        <v/>
      </c>
      <c r="AE243" s="72"/>
      <c r="AF24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43" s="229" t="str">
        <f>IF(Table25781014[[#This Row],[Planned Date]]="","",TEXT(Table25781014[[#This Row],[Planned Date]],"mmm"))</f>
        <v/>
      </c>
      <c r="AH243" s="252" t="str">
        <f>IF(Table25781014[[#This Row],[Month]]="","",VLOOKUP(Table25781014[[#This Row],[Month]],List!$B$2:$C$13,2,FALSE))</f>
        <v/>
      </c>
    </row>
    <row r="244" spans="1:34" s="56" customFormat="1" ht="25.5" x14ac:dyDescent="0.2">
      <c r="A244" s="98" t="s">
        <v>118</v>
      </c>
      <c r="B244" s="305"/>
      <c r="C244" s="67" t="s">
        <v>164</v>
      </c>
      <c r="D244" s="99" t="s">
        <v>24</v>
      </c>
      <c r="E244" s="100" t="str">
        <f>IF(Table25781014[[#This Row],[Line Section]]="","",VLOOKUP(Table25781014[[#This Row],[Line Section]],Reference!$A$2:$B$47,2,FALSE))</f>
        <v>C047</v>
      </c>
      <c r="F244" s="283"/>
      <c r="G244" s="441"/>
      <c r="H244" s="331"/>
      <c r="I244" s="54" t="s">
        <v>94</v>
      </c>
      <c r="J244" s="60">
        <v>17</v>
      </c>
      <c r="K244" s="60">
        <v>17.350000000000001</v>
      </c>
      <c r="L244" s="102">
        <f>IF(Table25781014[[#This Row],[End
(km)]]="","",Table25781014[[#This Row],[End
(km)]]-Table25781014[[#This Row],[Start
(km)]])</f>
        <v>0.35000000000000142</v>
      </c>
      <c r="M244" s="61" t="s">
        <v>189</v>
      </c>
      <c r="N244" s="99" t="s">
        <v>113</v>
      </c>
      <c r="O244" s="71" t="s">
        <v>113</v>
      </c>
      <c r="P244" s="64">
        <v>43230</v>
      </c>
      <c r="Q244" s="307">
        <v>43476</v>
      </c>
      <c r="R244" s="57" t="s">
        <v>121</v>
      </c>
      <c r="S244" s="55"/>
      <c r="T244" s="66" t="s">
        <v>122</v>
      </c>
      <c r="U244" s="308"/>
      <c r="V244" s="312"/>
      <c r="W244" s="67"/>
      <c r="X244" s="77" t="s">
        <v>452</v>
      </c>
      <c r="Y244" s="326"/>
      <c r="Z244" s="103" t="s">
        <v>573</v>
      </c>
      <c r="AA244" s="320">
        <v>43682</v>
      </c>
      <c r="AB244" s="96"/>
      <c r="AC244" s="96"/>
      <c r="AD244" s="314" t="str">
        <f>IF(Table25781014[[#This Row],[End Completed Section (km)]]="","",Table25781014[[#This Row],[End Completed Section (km)]]-Table25781014[[#This Row],[Start Completed Section (km)]])</f>
        <v/>
      </c>
      <c r="AE244" s="72"/>
      <c r="AF24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44" s="229" t="str">
        <f>IF(Table25781014[[#This Row],[Planned Date]]="","",TEXT(Table25781014[[#This Row],[Planned Date]],"mmm"))</f>
        <v/>
      </c>
      <c r="AH244" s="252" t="str">
        <f>IF(Table25781014[[#This Row],[Month]]="","",VLOOKUP(Table25781014[[#This Row],[Month]],List!$B$2:$C$13,2,FALSE))</f>
        <v/>
      </c>
    </row>
    <row r="245" spans="1:34" s="56" customFormat="1" ht="38.25" x14ac:dyDescent="0.2">
      <c r="A245" s="98" t="s">
        <v>116</v>
      </c>
      <c r="B245" s="305"/>
      <c r="C245" s="67" t="s">
        <v>164</v>
      </c>
      <c r="D245" s="99" t="s">
        <v>24</v>
      </c>
      <c r="E245" s="100" t="str">
        <f>IF(Table25781014[[#This Row],[Line Section]]="","",VLOOKUP(Table25781014[[#This Row],[Line Section]],Reference!$A$2:$B$47,2,FALSE))</f>
        <v>C047</v>
      </c>
      <c r="F245" s="157">
        <v>43317</v>
      </c>
      <c r="G245" s="440"/>
      <c r="H245" s="306"/>
      <c r="I245" s="54" t="s">
        <v>94</v>
      </c>
      <c r="J245" s="101">
        <v>17.350000000000001</v>
      </c>
      <c r="K245" s="60">
        <v>18.28</v>
      </c>
      <c r="L245" s="102">
        <f>IF(Table25781014[[#This Row],[End
(km)]]="","",Table25781014[[#This Row],[End
(km)]]-Table25781014[[#This Row],[Start
(km)]])</f>
        <v>0.92999999999999972</v>
      </c>
      <c r="M245" s="61" t="s">
        <v>189</v>
      </c>
      <c r="N245" s="99" t="s">
        <v>113</v>
      </c>
      <c r="O245" s="71"/>
      <c r="P245" s="64">
        <v>43230</v>
      </c>
      <c r="Q245" s="307">
        <v>43314</v>
      </c>
      <c r="R245" s="57" t="s">
        <v>121</v>
      </c>
      <c r="S245" s="106"/>
      <c r="T245" s="66" t="s">
        <v>121</v>
      </c>
      <c r="U245" s="308"/>
      <c r="V245" s="312"/>
      <c r="W245" s="67"/>
      <c r="X245" s="107" t="s">
        <v>474</v>
      </c>
      <c r="Y245" s="332"/>
      <c r="Z245" s="103" t="s">
        <v>121</v>
      </c>
      <c r="AA245" s="320"/>
      <c r="AB245" s="96">
        <v>17.350000000000001</v>
      </c>
      <c r="AC245" s="96">
        <v>18.28</v>
      </c>
      <c r="AD245" s="314">
        <f>IF(Table25781014[[#This Row],[End Completed Section (km)]]="","",Table25781014[[#This Row],[End Completed Section (km)]]-Table25781014[[#This Row],[Start Completed Section (km)]])</f>
        <v>0.92999999999999972</v>
      </c>
      <c r="AE245" s="72">
        <v>43317</v>
      </c>
      <c r="AF24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245" s="229" t="str">
        <f>IF(Table25781014[[#This Row],[Planned Date]]="","",TEXT(Table25781014[[#This Row],[Planned Date]],"mmm"))</f>
        <v>Aug</v>
      </c>
      <c r="AH245" s="252">
        <f>IF(Table25781014[[#This Row],[Month]]="","",VLOOKUP(Table25781014[[#This Row],[Month]],List!$B$2:$C$13,2,FALSE))</f>
        <v>2</v>
      </c>
    </row>
    <row r="246" spans="1:34" s="56" customFormat="1" ht="51" x14ac:dyDescent="0.2">
      <c r="A246" s="98" t="s">
        <v>118</v>
      </c>
      <c r="B246" s="305"/>
      <c r="C246" s="67" t="s">
        <v>164</v>
      </c>
      <c r="D246" s="99" t="s">
        <v>24</v>
      </c>
      <c r="E246" s="100" t="str">
        <f>IF(Table25781014[[#This Row],[Line Section]]="","",VLOOKUP(Table25781014[[#This Row],[Line Section]],Reference!$A$2:$B$47,2,FALSE))</f>
        <v>C047</v>
      </c>
      <c r="F246" s="157"/>
      <c r="G246" s="440"/>
      <c r="H246" s="306"/>
      <c r="I246" s="54" t="s">
        <v>93</v>
      </c>
      <c r="J246" s="101">
        <v>18.45</v>
      </c>
      <c r="K246" s="60">
        <v>18.600000000000001</v>
      </c>
      <c r="L246" s="102">
        <f>IF(Table25781014[[#This Row],[End
(km)]]="","",Table25781014[[#This Row],[End
(km)]]-Table25781014[[#This Row],[Start
(km)]])</f>
        <v>0.15000000000000213</v>
      </c>
      <c r="M246" s="61" t="s">
        <v>126</v>
      </c>
      <c r="N246" s="99" t="s">
        <v>113</v>
      </c>
      <c r="O246" s="71"/>
      <c r="P246" s="64">
        <v>43229</v>
      </c>
      <c r="Q246" s="307">
        <v>43318</v>
      </c>
      <c r="R246" s="57" t="s">
        <v>121</v>
      </c>
      <c r="S246" s="106"/>
      <c r="T246" s="66" t="s">
        <v>122</v>
      </c>
      <c r="U246" s="308"/>
      <c r="V246" s="312"/>
      <c r="W246" s="67"/>
      <c r="X246" s="107" t="s">
        <v>743</v>
      </c>
      <c r="Y246" s="334" t="s">
        <v>216</v>
      </c>
      <c r="Z246" s="103" t="s">
        <v>122</v>
      </c>
      <c r="AA246" s="320"/>
      <c r="AB246" s="96"/>
      <c r="AC246" s="96"/>
      <c r="AD246" s="314" t="str">
        <f>IF(Table25781014[[#This Row],[End Completed Section (km)]]="","",Table25781014[[#This Row],[End Completed Section (km)]]-Table25781014[[#This Row],[Start Completed Section (km)]])</f>
        <v/>
      </c>
      <c r="AE246" s="72"/>
      <c r="AF24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46" s="229" t="str">
        <f>IF(Table25781014[[#This Row],[Planned Date]]="","",TEXT(Table25781014[[#This Row],[Planned Date]],"mmm"))</f>
        <v/>
      </c>
      <c r="AH246" s="252" t="str">
        <f>IF(Table25781014[[#This Row],[Month]]="","",VLOOKUP(Table25781014[[#This Row],[Month]],List!$B$2:$C$13,2,FALSE))</f>
        <v/>
      </c>
    </row>
    <row r="247" spans="1:34" s="56" customFormat="1" ht="25.5" x14ac:dyDescent="0.2">
      <c r="A247" s="98" t="s">
        <v>118</v>
      </c>
      <c r="B247" s="305"/>
      <c r="C247" s="67" t="s">
        <v>164</v>
      </c>
      <c r="D247" s="99" t="s">
        <v>24</v>
      </c>
      <c r="E247" s="100" t="str">
        <f>IF(Table25781014[[#This Row],[Line Section]]="","",VLOOKUP(Table25781014[[#This Row],[Line Section]],Reference!$A$2:$B$47,2,FALSE))</f>
        <v>C047</v>
      </c>
      <c r="F247" s="157"/>
      <c r="G247" s="440"/>
      <c r="H247" s="306"/>
      <c r="I247" s="54" t="s">
        <v>94</v>
      </c>
      <c r="J247" s="101">
        <v>18.5</v>
      </c>
      <c r="K247" s="60">
        <v>19.100000000000001</v>
      </c>
      <c r="L247" s="102">
        <f>IF(Table25781014[[#This Row],[End
(km)]]="","",Table25781014[[#This Row],[End
(km)]]-Table25781014[[#This Row],[Start
(km)]])</f>
        <v>0.60000000000000142</v>
      </c>
      <c r="M247" s="61" t="s">
        <v>189</v>
      </c>
      <c r="N247" s="99" t="s">
        <v>113</v>
      </c>
      <c r="O247" s="71" t="s">
        <v>113</v>
      </c>
      <c r="P247" s="64">
        <v>43230</v>
      </c>
      <c r="Q247" s="307">
        <v>43476</v>
      </c>
      <c r="R247" s="57"/>
      <c r="S247" s="106"/>
      <c r="T247" s="66" t="s">
        <v>122</v>
      </c>
      <c r="U247" s="308"/>
      <c r="V247" s="312"/>
      <c r="W247" s="67"/>
      <c r="X247" s="107"/>
      <c r="Y247" s="332"/>
      <c r="Z247" s="103" t="s">
        <v>122</v>
      </c>
      <c r="AA247" s="320"/>
      <c r="AB247" s="96"/>
      <c r="AC247" s="96"/>
      <c r="AD247" s="314" t="str">
        <f>IF(Table25781014[[#This Row],[End Completed Section (km)]]="","",Table25781014[[#This Row],[End Completed Section (km)]]-Table25781014[[#This Row],[Start Completed Section (km)]])</f>
        <v/>
      </c>
      <c r="AE247" s="72"/>
      <c r="AF24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47" s="229" t="str">
        <f>IF(Table25781014[[#This Row],[Planned Date]]="","",TEXT(Table25781014[[#This Row],[Planned Date]],"mmm"))</f>
        <v/>
      </c>
      <c r="AH247" s="252" t="str">
        <f>IF(Table25781014[[#This Row],[Month]]="","",VLOOKUP(Table25781014[[#This Row],[Month]],List!$B$2:$C$13,2,FALSE))</f>
        <v/>
      </c>
    </row>
    <row r="248" spans="1:34" s="56" customFormat="1" ht="127.5" x14ac:dyDescent="0.2">
      <c r="A248" s="98" t="s">
        <v>116</v>
      </c>
      <c r="B248" s="305"/>
      <c r="C248" s="67" t="s">
        <v>164</v>
      </c>
      <c r="D248" s="99" t="s">
        <v>24</v>
      </c>
      <c r="E248" s="100" t="str">
        <f>IF(Table25781014[[#This Row],[Line Section]]="","",VLOOKUP(Table25781014[[#This Row],[Line Section]],Reference!$A$2:$B$47,2,FALSE))</f>
        <v>C047</v>
      </c>
      <c r="F248" s="157" t="s">
        <v>651</v>
      </c>
      <c r="G248" s="440"/>
      <c r="H248" s="247"/>
      <c r="I248" s="54" t="s">
        <v>93</v>
      </c>
      <c r="J248" s="101">
        <v>19</v>
      </c>
      <c r="K248" s="60">
        <v>20</v>
      </c>
      <c r="L248" s="102">
        <f>IF(Table25781014[[#This Row],[End
(km)]]="","",Table25781014[[#This Row],[End
(km)]]-Table25781014[[#This Row],[Start
(km)]])</f>
        <v>1</v>
      </c>
      <c r="M248" s="61" t="s">
        <v>126</v>
      </c>
      <c r="N248" s="99" t="s">
        <v>113</v>
      </c>
      <c r="O248" s="71" t="s">
        <v>113</v>
      </c>
      <c r="P248" s="64">
        <v>43229</v>
      </c>
      <c r="Q248" s="307">
        <v>43474</v>
      </c>
      <c r="R248" s="57" t="s">
        <v>121</v>
      </c>
      <c r="S248" s="106" t="s">
        <v>121</v>
      </c>
      <c r="T248" s="66" t="s">
        <v>121</v>
      </c>
      <c r="U248" s="308"/>
      <c r="V248" s="312"/>
      <c r="W248" s="67" t="s">
        <v>636</v>
      </c>
      <c r="X248" s="107" t="s">
        <v>797</v>
      </c>
      <c r="Y248" s="334" t="s">
        <v>215</v>
      </c>
      <c r="Z248" s="103" t="s">
        <v>122</v>
      </c>
      <c r="AA248" s="320"/>
      <c r="AB248" s="96"/>
      <c r="AC248" s="96"/>
      <c r="AD248" s="314" t="str">
        <f>IF(Table25781014[[#This Row],[End Completed Section (km)]]="","",Table25781014[[#This Row],[End Completed Section (km)]]-Table25781014[[#This Row],[Start Completed Section (km)]])</f>
        <v/>
      </c>
      <c r="AE248" s="72"/>
      <c r="AF248"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248" s="229" t="str">
        <f>IF(Table25781014[[#This Row],[Planned Date]]="","",TEXT(Table25781014[[#This Row],[Planned Date]],"mmm"))</f>
        <v>21/22</v>
      </c>
      <c r="AH248" s="252" t="e">
        <f>IF(Table25781014[[#This Row],[Month]]="","",VLOOKUP(Table25781014[[#This Row],[Month]],List!$B$2:$C$13,2,FALSE))</f>
        <v>#N/A</v>
      </c>
    </row>
    <row r="249" spans="1:34" s="56" customFormat="1" ht="25.5" x14ac:dyDescent="0.2">
      <c r="A249" s="98" t="s">
        <v>116</v>
      </c>
      <c r="B249" s="305">
        <v>2</v>
      </c>
      <c r="C249" s="67" t="s">
        <v>164</v>
      </c>
      <c r="D249" s="99" t="s">
        <v>24</v>
      </c>
      <c r="E249" s="100" t="str">
        <f>IF(Table25781014[[#This Row],[Line Section]]="","",VLOOKUP(Table25781014[[#This Row],[Line Section]],Reference!$A$2:$B$47,2,FALSE))</f>
        <v>C047</v>
      </c>
      <c r="F249" s="157">
        <v>43961</v>
      </c>
      <c r="G249" s="440" t="s">
        <v>430</v>
      </c>
      <c r="H249" s="247" t="s">
        <v>533</v>
      </c>
      <c r="I249" s="54" t="s">
        <v>94</v>
      </c>
      <c r="J249" s="101">
        <v>19.215</v>
      </c>
      <c r="K249" s="60">
        <v>19.5</v>
      </c>
      <c r="L249" s="102">
        <f>IF(Table25781014[[#This Row],[End
(km)]]="","",Table25781014[[#This Row],[End
(km)]]-Table25781014[[#This Row],[Start
(km)]])</f>
        <v>0.28500000000000014</v>
      </c>
      <c r="M249" s="61" t="s">
        <v>189</v>
      </c>
      <c r="N249" s="99" t="s">
        <v>113</v>
      </c>
      <c r="O249" s="71" t="s">
        <v>113</v>
      </c>
      <c r="P249" s="64">
        <v>43230</v>
      </c>
      <c r="Q249" s="307">
        <v>43476</v>
      </c>
      <c r="R249" s="57" t="s">
        <v>121</v>
      </c>
      <c r="S249" s="106" t="s">
        <v>121</v>
      </c>
      <c r="T249" s="66" t="s">
        <v>122</v>
      </c>
      <c r="U249" s="308"/>
      <c r="V249" s="312"/>
      <c r="W249" s="49" t="s">
        <v>656</v>
      </c>
      <c r="X249" s="107" t="s">
        <v>822</v>
      </c>
      <c r="Y249" s="332"/>
      <c r="Z249" s="103" t="s">
        <v>122</v>
      </c>
      <c r="AA249" s="320"/>
      <c r="AB249" s="96"/>
      <c r="AC249" s="96"/>
      <c r="AD249" s="314" t="str">
        <f>IF(Table25781014[[#This Row],[End Completed Section (km)]]="","",Table25781014[[#This Row],[End Completed Section (km)]]-Table25781014[[#This Row],[Start Completed Section (km)]])</f>
        <v/>
      </c>
      <c r="AE249" s="72"/>
      <c r="AF24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249" s="229" t="str">
        <f>IF(Table25781014[[#This Row],[Planned Date]]="","",TEXT(Table25781014[[#This Row],[Planned Date]],"mmm"))</f>
        <v>May</v>
      </c>
      <c r="AH249" s="252">
        <f>IF(Table25781014[[#This Row],[Month]]="","",VLOOKUP(Table25781014[[#This Row],[Month]],List!$B$2:$C$13,2,FALSE))</f>
        <v>11</v>
      </c>
    </row>
    <row r="250" spans="1:34" s="56" customFormat="1" ht="25.5" x14ac:dyDescent="0.2">
      <c r="A250" s="98" t="s">
        <v>118</v>
      </c>
      <c r="B250" s="305"/>
      <c r="C250" s="67" t="s">
        <v>164</v>
      </c>
      <c r="D250" s="99" t="s">
        <v>24</v>
      </c>
      <c r="E250" s="100" t="str">
        <f>IF(Table25781014[[#This Row],[Line Section]]="","",VLOOKUP(Table25781014[[#This Row],[Line Section]],Reference!$A$2:$B$47,2,FALSE))</f>
        <v>C047</v>
      </c>
      <c r="F250" s="157"/>
      <c r="G250" s="440"/>
      <c r="H250" s="306"/>
      <c r="I250" s="54" t="s">
        <v>94</v>
      </c>
      <c r="J250" s="101">
        <v>19.8</v>
      </c>
      <c r="K250" s="60">
        <v>20</v>
      </c>
      <c r="L250" s="102">
        <f>IF(Table25781014[[#This Row],[End
(km)]]="","",Table25781014[[#This Row],[End
(km)]]-Table25781014[[#This Row],[Start
(km)]])</f>
        <v>0.19999999999999929</v>
      </c>
      <c r="M250" s="61" t="s">
        <v>189</v>
      </c>
      <c r="N250" s="99" t="s">
        <v>113</v>
      </c>
      <c r="O250" s="71" t="s">
        <v>113</v>
      </c>
      <c r="P250" s="64">
        <v>43230</v>
      </c>
      <c r="Q250" s="307">
        <v>43476</v>
      </c>
      <c r="R250" s="57"/>
      <c r="S250" s="106"/>
      <c r="T250" s="66" t="s">
        <v>122</v>
      </c>
      <c r="U250" s="308"/>
      <c r="V250" s="312"/>
      <c r="W250" s="67"/>
      <c r="X250" s="107"/>
      <c r="Y250" s="332"/>
      <c r="Z250" s="103" t="s">
        <v>122</v>
      </c>
      <c r="AA250" s="320"/>
      <c r="AB250" s="96"/>
      <c r="AC250" s="96"/>
      <c r="AD250" s="314" t="str">
        <f>IF(Table25781014[[#This Row],[End Completed Section (km)]]="","",Table25781014[[#This Row],[End Completed Section (km)]]-Table25781014[[#This Row],[Start Completed Section (km)]])</f>
        <v/>
      </c>
      <c r="AE250" s="72"/>
      <c r="AF25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50" s="229" t="str">
        <f>IF(Table25781014[[#This Row],[Planned Date]]="","",TEXT(Table25781014[[#This Row],[Planned Date]],"mmm"))</f>
        <v/>
      </c>
      <c r="AH250" s="252" t="str">
        <f>IF(Table25781014[[#This Row],[Month]]="","",VLOOKUP(Table25781014[[#This Row],[Month]],List!$B$2:$C$13,2,FALSE))</f>
        <v/>
      </c>
    </row>
    <row r="251" spans="1:34" s="56" customFormat="1" ht="38.25" x14ac:dyDescent="0.2">
      <c r="A251" s="98" t="s">
        <v>116</v>
      </c>
      <c r="B251" s="305"/>
      <c r="C251" s="67" t="s">
        <v>164</v>
      </c>
      <c r="D251" s="99" t="s">
        <v>24</v>
      </c>
      <c r="E251" s="100" t="str">
        <f>IF(Table25781014[[#This Row],[Line Section]]="","",VLOOKUP(Table25781014[[#This Row],[Line Section]],Reference!$A$2:$B$47,2,FALSE))</f>
        <v>C047</v>
      </c>
      <c r="F251" s="157">
        <v>43527</v>
      </c>
      <c r="G251" s="440"/>
      <c r="H251" s="306" t="s">
        <v>533</v>
      </c>
      <c r="I251" s="54" t="s">
        <v>94</v>
      </c>
      <c r="J251" s="101">
        <v>20.399999999999999</v>
      </c>
      <c r="K251" s="60">
        <v>20.7</v>
      </c>
      <c r="L251" s="102">
        <f>IF(Table25781014[[#This Row],[End
(km)]]="","",Table25781014[[#This Row],[End
(km)]]-Table25781014[[#This Row],[Start
(km)]])</f>
        <v>0.30000000000000071</v>
      </c>
      <c r="M251" s="61" t="s">
        <v>189</v>
      </c>
      <c r="N251" s="99" t="s">
        <v>113</v>
      </c>
      <c r="O251" s="71" t="s">
        <v>113</v>
      </c>
      <c r="P251" s="64">
        <v>43230</v>
      </c>
      <c r="Q251" s="307">
        <v>43476</v>
      </c>
      <c r="R251" s="57" t="s">
        <v>121</v>
      </c>
      <c r="S251" s="106"/>
      <c r="T251" s="66" t="s">
        <v>122</v>
      </c>
      <c r="U251" s="308" t="s">
        <v>121</v>
      </c>
      <c r="V251" s="312"/>
      <c r="W251" s="67"/>
      <c r="X251" s="107" t="s">
        <v>488</v>
      </c>
      <c r="Y251" s="332"/>
      <c r="Z251" s="103" t="s">
        <v>121</v>
      </c>
      <c r="AA251" s="320"/>
      <c r="AB251" s="96">
        <v>20.399999999999999</v>
      </c>
      <c r="AC251" s="96">
        <v>20.69</v>
      </c>
      <c r="AD251" s="314">
        <f>IF(Table25781014[[#This Row],[End Completed Section (km)]]="","",Table25781014[[#This Row],[End Completed Section (km)]]-Table25781014[[#This Row],[Start Completed Section (km)]])</f>
        <v>0.2900000000000027</v>
      </c>
      <c r="AE251" s="72">
        <v>43526</v>
      </c>
      <c r="AF25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251" s="229" t="str">
        <f>IF(Table25781014[[#This Row],[Planned Date]]="","",TEXT(Table25781014[[#This Row],[Planned Date]],"mmm"))</f>
        <v>Mar</v>
      </c>
      <c r="AH251" s="252">
        <f>IF(Table25781014[[#This Row],[Month]]="","",VLOOKUP(Table25781014[[#This Row],[Month]],List!$B$2:$C$13,2,FALSE))</f>
        <v>9</v>
      </c>
    </row>
    <row r="252" spans="1:34" s="56" customFormat="1" ht="38.25" x14ac:dyDescent="0.2">
      <c r="A252" s="98" t="s">
        <v>117</v>
      </c>
      <c r="B252" s="305"/>
      <c r="C252" s="67" t="s">
        <v>164</v>
      </c>
      <c r="D252" s="99" t="s">
        <v>24</v>
      </c>
      <c r="E252" s="100" t="str">
        <f>IF(Table25781014[[#This Row],[Line Section]]="","",VLOOKUP(Table25781014[[#This Row],[Line Section]],Reference!$A$2:$B$47,2,FALSE))</f>
        <v>C047</v>
      </c>
      <c r="F252" s="157"/>
      <c r="G252" s="440"/>
      <c r="H252" s="306"/>
      <c r="I252" s="54" t="s">
        <v>94</v>
      </c>
      <c r="J252" s="101">
        <v>20.7</v>
      </c>
      <c r="K252" s="60">
        <v>20.9</v>
      </c>
      <c r="L252" s="102">
        <f>IF(Table25781014[[#This Row],[End
(km)]]="","",Table25781014[[#This Row],[End
(km)]]-Table25781014[[#This Row],[Start
(km)]])</f>
        <v>0.19999999999999929</v>
      </c>
      <c r="M252" s="61" t="s">
        <v>189</v>
      </c>
      <c r="N252" s="99" t="s">
        <v>113</v>
      </c>
      <c r="O252" s="71"/>
      <c r="P252" s="64">
        <v>43230</v>
      </c>
      <c r="Q252" s="307">
        <v>43318</v>
      </c>
      <c r="R252" s="57" t="s">
        <v>121</v>
      </c>
      <c r="S252" s="106"/>
      <c r="T252" s="66" t="s">
        <v>122</v>
      </c>
      <c r="U252" s="308"/>
      <c r="V252" s="312"/>
      <c r="W252" s="67"/>
      <c r="X252" s="107" t="s">
        <v>489</v>
      </c>
      <c r="Y252" s="332"/>
      <c r="Z252" s="103" t="s">
        <v>139</v>
      </c>
      <c r="AA252" s="320"/>
      <c r="AB252" s="96"/>
      <c r="AC252" s="96"/>
      <c r="AD252" s="314" t="str">
        <f>IF(Table25781014[[#This Row],[End Completed Section (km)]]="","",Table25781014[[#This Row],[End Completed Section (km)]]-Table25781014[[#This Row],[Start Completed Section (km)]])</f>
        <v/>
      </c>
      <c r="AE252" s="72"/>
      <c r="AF25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52" s="229" t="str">
        <f>IF(Table25781014[[#This Row],[Planned Date]]="","",TEXT(Table25781014[[#This Row],[Planned Date]],"mmm"))</f>
        <v/>
      </c>
      <c r="AH252" s="252" t="str">
        <f>IF(Table25781014[[#This Row],[Month]]="","",VLOOKUP(Table25781014[[#This Row],[Month]],List!$B$2:$C$13,2,FALSE))</f>
        <v/>
      </c>
    </row>
    <row r="253" spans="1:34" s="56" customFormat="1" x14ac:dyDescent="0.2">
      <c r="A253" s="98" t="s">
        <v>116</v>
      </c>
      <c r="B253" s="305"/>
      <c r="C253" s="67" t="s">
        <v>164</v>
      </c>
      <c r="D253" s="99" t="s">
        <v>24</v>
      </c>
      <c r="E253" s="100" t="str">
        <f>IF(Table25781014[[#This Row],[Line Section]]="","",VLOOKUP(Table25781014[[#This Row],[Line Section]],Reference!$A$2:$B$47,2,FALSE))</f>
        <v>C047</v>
      </c>
      <c r="F253" s="157">
        <v>43527</v>
      </c>
      <c r="G253" s="440"/>
      <c r="H253" s="306" t="s">
        <v>533</v>
      </c>
      <c r="I253" s="54" t="s">
        <v>94</v>
      </c>
      <c r="J253" s="60">
        <v>20.85</v>
      </c>
      <c r="K253" s="60">
        <v>21.26</v>
      </c>
      <c r="L253" s="53">
        <f>IF(Table25781014[[#This Row],[End
(km)]]="","",Table25781014[[#This Row],[End
(km)]]-Table25781014[[#This Row],[Start
(km)]])</f>
        <v>0.41000000000000014</v>
      </c>
      <c r="M253" s="61" t="s">
        <v>129</v>
      </c>
      <c r="N253" s="59" t="s">
        <v>113</v>
      </c>
      <c r="O253" s="295" t="s">
        <v>110</v>
      </c>
      <c r="P253" s="64">
        <v>43318</v>
      </c>
      <c r="Q253" s="307">
        <v>43476</v>
      </c>
      <c r="R253" s="57" t="s">
        <v>121</v>
      </c>
      <c r="S253" s="55"/>
      <c r="T253" s="66"/>
      <c r="U253" s="308" t="s">
        <v>121</v>
      </c>
      <c r="V253" s="312"/>
      <c r="W253" s="67" t="s">
        <v>587</v>
      </c>
      <c r="X253" s="77" t="s">
        <v>492</v>
      </c>
      <c r="Y253" s="330"/>
      <c r="Z253" s="80" t="s">
        <v>121</v>
      </c>
      <c r="AA253" s="323"/>
      <c r="AB253" s="96">
        <v>20.82</v>
      </c>
      <c r="AC253" s="96">
        <v>21.45</v>
      </c>
      <c r="AD253" s="314">
        <f>IF(Table25781014[[#This Row],[End Completed Section (km)]]="","",Table25781014[[#This Row],[End Completed Section (km)]]-Table25781014[[#This Row],[Start Completed Section (km)]])</f>
        <v>0.62999999999999901</v>
      </c>
      <c r="AE253" s="161">
        <v>43527</v>
      </c>
      <c r="AF25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253" s="229" t="str">
        <f>IF(Table25781014[[#This Row],[Planned Date]]="","",TEXT(Table25781014[[#This Row],[Planned Date]],"mmm"))</f>
        <v>Mar</v>
      </c>
      <c r="AH253" s="252">
        <f>IF(Table25781014[[#This Row],[Month]]="","",VLOOKUP(Table25781014[[#This Row],[Month]],List!$B$2:$C$13,2,FALSE))</f>
        <v>9</v>
      </c>
    </row>
    <row r="254" spans="1:34" s="56" customFormat="1" ht="76.5" x14ac:dyDescent="0.2">
      <c r="A254" s="98" t="s">
        <v>116</v>
      </c>
      <c r="B254" s="305">
        <v>10</v>
      </c>
      <c r="C254" s="67" t="s">
        <v>164</v>
      </c>
      <c r="D254" s="99" t="s">
        <v>24</v>
      </c>
      <c r="E254" s="100" t="str">
        <f>IF(Table25781014[[#This Row],[Line Section]]="","",VLOOKUP(Table25781014[[#This Row],[Line Section]],Reference!$A$2:$B$47,2,FALSE))</f>
        <v>C047</v>
      </c>
      <c r="F254" s="157">
        <v>44045</v>
      </c>
      <c r="G254" s="440" t="s">
        <v>430</v>
      </c>
      <c r="H254" s="247" t="s">
        <v>533</v>
      </c>
      <c r="I254" s="54" t="s">
        <v>93</v>
      </c>
      <c r="J254" s="101">
        <v>20.9</v>
      </c>
      <c r="K254" s="60">
        <v>21.15</v>
      </c>
      <c r="L254" s="102">
        <f>IF(Table25781014[[#This Row],[End
(km)]]="","",Table25781014[[#This Row],[End
(km)]]-Table25781014[[#This Row],[Start
(km)]])</f>
        <v>0.25</v>
      </c>
      <c r="M254" s="61" t="s">
        <v>126</v>
      </c>
      <c r="N254" s="99" t="s">
        <v>113</v>
      </c>
      <c r="O254" s="71" t="s">
        <v>111</v>
      </c>
      <c r="P254" s="64">
        <v>43229</v>
      </c>
      <c r="Q254" s="307">
        <v>43474</v>
      </c>
      <c r="R254" s="57" t="s">
        <v>121</v>
      </c>
      <c r="S254" s="106"/>
      <c r="T254" s="66" t="s">
        <v>122</v>
      </c>
      <c r="U254" s="308"/>
      <c r="V254" s="312"/>
      <c r="W254" s="67"/>
      <c r="X254" s="107" t="s">
        <v>827</v>
      </c>
      <c r="Y254" s="334" t="s">
        <v>217</v>
      </c>
      <c r="Z254" s="103" t="s">
        <v>122</v>
      </c>
      <c r="AA254" s="320"/>
      <c r="AB254" s="96"/>
      <c r="AC254" s="96"/>
      <c r="AD254" s="314" t="str">
        <f>IF(Table25781014[[#This Row],[End Completed Section (km)]]="","",Table25781014[[#This Row],[End Completed Section (km)]]-Table25781014[[#This Row],[Start Completed Section (km)]])</f>
        <v/>
      </c>
      <c r="AE254" s="72"/>
      <c r="AF25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254" s="229" t="str">
        <f>IF(Table25781014[[#This Row],[Planned Date]]="","",TEXT(Table25781014[[#This Row],[Planned Date]],"mmm"))</f>
        <v>Aug</v>
      </c>
      <c r="AH254" s="252">
        <f>IF(Table25781014[[#This Row],[Month]]="","",VLOOKUP(Table25781014[[#This Row],[Month]],List!$B$2:$C$13,2,FALSE))</f>
        <v>2</v>
      </c>
    </row>
    <row r="255" spans="1:34" s="56" customFormat="1" ht="25.5" x14ac:dyDescent="0.2">
      <c r="A255" s="98" t="s">
        <v>116</v>
      </c>
      <c r="B255" s="80">
        <v>8</v>
      </c>
      <c r="C255" s="67" t="s">
        <v>164</v>
      </c>
      <c r="D255" s="99" t="s">
        <v>24</v>
      </c>
      <c r="E255" s="100" t="str">
        <f>IF(Table25781014[[#This Row],[Line Section]]="","",VLOOKUP(Table25781014[[#This Row],[Line Section]],Reference!$A$2:$B$47,2,FALSE))</f>
        <v>C047</v>
      </c>
      <c r="F255" s="157">
        <v>44045</v>
      </c>
      <c r="G255" s="440"/>
      <c r="H255" s="247" t="s">
        <v>533</v>
      </c>
      <c r="I255" s="54" t="s">
        <v>93</v>
      </c>
      <c r="J255" s="101">
        <v>21.55</v>
      </c>
      <c r="K255" s="60">
        <v>21.864999999999998</v>
      </c>
      <c r="L255" s="102">
        <f>IF(Table25781014[[#This Row],[End
(km)]]="","",Table25781014[[#This Row],[End
(km)]]-Table25781014[[#This Row],[Start
(km)]])</f>
        <v>0.31499999999999773</v>
      </c>
      <c r="M255" s="61" t="s">
        <v>725</v>
      </c>
      <c r="N255" s="99"/>
      <c r="O255" s="71" t="s">
        <v>113</v>
      </c>
      <c r="P255" s="64">
        <v>43497</v>
      </c>
      <c r="Q255" s="71"/>
      <c r="R255" s="57" t="s">
        <v>121</v>
      </c>
      <c r="S255" s="106"/>
      <c r="T255" s="66"/>
      <c r="U255" s="66"/>
      <c r="V255" s="268"/>
      <c r="W255" s="67"/>
      <c r="X255" s="107" t="s">
        <v>826</v>
      </c>
      <c r="Y255" s="453"/>
      <c r="Z255" s="103"/>
      <c r="AA255" s="280"/>
      <c r="AB255" s="96"/>
      <c r="AC255" s="96"/>
      <c r="AD255" s="226" t="str">
        <f>IF(Table25781014[[#This Row],[End Completed Section (km)]]="","",Table25781014[[#This Row],[End Completed Section (km)]]-Table25781014[[#This Row],[Start Completed Section (km)]])</f>
        <v/>
      </c>
      <c r="AE255" s="72"/>
      <c r="AF25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255" s="229" t="str">
        <f>IF(Table25781014[[#This Row],[Planned Date]]="","",TEXT(Table25781014[[#This Row],[Planned Date]],"mmm"))</f>
        <v>Aug</v>
      </c>
      <c r="AH255" s="252">
        <f>IF(Table25781014[[#This Row],[Month]]="","",VLOOKUP(Table25781014[[#This Row],[Month]],List!$B$2:$C$13,2,FALSE))</f>
        <v>2</v>
      </c>
    </row>
    <row r="256" spans="1:34" s="56" customFormat="1" ht="38.25" x14ac:dyDescent="0.2">
      <c r="A256" s="98" t="s">
        <v>116</v>
      </c>
      <c r="B256" s="305">
        <v>4</v>
      </c>
      <c r="C256" s="67" t="s">
        <v>164</v>
      </c>
      <c r="D256" s="99" t="s">
        <v>24</v>
      </c>
      <c r="E256" s="100" t="str">
        <f>IF(Table25781014[[#This Row],[Line Section]]="","",VLOOKUP(Table25781014[[#This Row],[Line Section]],Reference!$A$2:$B$47,2,FALSE))</f>
        <v>C047</v>
      </c>
      <c r="F256" s="157">
        <v>43849</v>
      </c>
      <c r="G256" s="440"/>
      <c r="H256" s="247" t="s">
        <v>534</v>
      </c>
      <c r="I256" s="54" t="s">
        <v>94</v>
      </c>
      <c r="J256" s="101">
        <v>21.62</v>
      </c>
      <c r="K256" s="60">
        <v>21.864999999999998</v>
      </c>
      <c r="L256" s="102">
        <f>IF(Table25781014[[#This Row],[End
(km)]]="","",Table25781014[[#This Row],[End
(km)]]-Table25781014[[#This Row],[Start
(km)]])</f>
        <v>0.24499999999999744</v>
      </c>
      <c r="M256" s="61" t="s">
        <v>126</v>
      </c>
      <c r="N256" s="99"/>
      <c r="O256" s="71" t="s">
        <v>113</v>
      </c>
      <c r="P256" s="64">
        <v>43476</v>
      </c>
      <c r="Q256" s="307">
        <v>43497</v>
      </c>
      <c r="R256" s="57" t="s">
        <v>121</v>
      </c>
      <c r="S256" s="106" t="s">
        <v>121</v>
      </c>
      <c r="T256" s="66"/>
      <c r="U256" s="308"/>
      <c r="V256" s="312"/>
      <c r="W256" s="67"/>
      <c r="X256" s="107" t="s">
        <v>796</v>
      </c>
      <c r="Y256" s="332"/>
      <c r="Z256" s="103" t="s">
        <v>122</v>
      </c>
      <c r="AA256" s="320"/>
      <c r="AB256" s="96"/>
      <c r="AC256" s="96"/>
      <c r="AD256" s="314" t="str">
        <f>IF(Table25781014[[#This Row],[End Completed Section (km)]]="","",Table25781014[[#This Row],[End Completed Section (km)]]-Table25781014[[#This Row],[Start Completed Section (km)]])</f>
        <v/>
      </c>
      <c r="AE256" s="72"/>
      <c r="AF25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256" s="229" t="str">
        <f>IF(Table25781014[[#This Row],[Planned Date]]="","",TEXT(Table25781014[[#This Row],[Planned Date]],"mmm"))</f>
        <v>Jan</v>
      </c>
      <c r="AH256" s="252">
        <f>IF(Table25781014[[#This Row],[Month]]="","",VLOOKUP(Table25781014[[#This Row],[Month]],List!$B$2:$C$13,2,FALSE))</f>
        <v>7</v>
      </c>
    </row>
    <row r="257" spans="1:34" s="56" customFormat="1" x14ac:dyDescent="0.2">
      <c r="A257" s="98" t="s">
        <v>118</v>
      </c>
      <c r="B257" s="305"/>
      <c r="C257" s="67" t="s">
        <v>164</v>
      </c>
      <c r="D257" s="99" t="s">
        <v>24</v>
      </c>
      <c r="E257" s="100" t="str">
        <f>IF(Table25781014[[#This Row],[Line Section]]="","",VLOOKUP(Table25781014[[#This Row],[Line Section]],Reference!$A$2:$B$47,2,FALSE))</f>
        <v>C047</v>
      </c>
      <c r="F257" s="157"/>
      <c r="G257" s="440"/>
      <c r="H257" s="306"/>
      <c r="I257" s="54" t="s">
        <v>93</v>
      </c>
      <c r="J257" s="101">
        <v>22.64</v>
      </c>
      <c r="K257" s="60">
        <v>22.88</v>
      </c>
      <c r="L257" s="102">
        <f>IF(Table25781014[[#This Row],[End
(km)]]="","",Table25781014[[#This Row],[End
(km)]]-Table25781014[[#This Row],[Start
(km)]])</f>
        <v>0.23999999999999844</v>
      </c>
      <c r="M257" s="61" t="s">
        <v>126</v>
      </c>
      <c r="N257" s="99" t="s">
        <v>113</v>
      </c>
      <c r="O257" s="71" t="s">
        <v>207</v>
      </c>
      <c r="P257" s="64">
        <v>43229</v>
      </c>
      <c r="Q257" s="307">
        <v>43474</v>
      </c>
      <c r="R257" s="57"/>
      <c r="S257" s="106"/>
      <c r="T257" s="66" t="s">
        <v>122</v>
      </c>
      <c r="U257" s="308"/>
      <c r="V257" s="312"/>
      <c r="W257" s="49" t="s">
        <v>218</v>
      </c>
      <c r="X257" s="107"/>
      <c r="Y257" s="334" t="s">
        <v>219</v>
      </c>
      <c r="Z257" s="103" t="s">
        <v>122</v>
      </c>
      <c r="AA257" s="320"/>
      <c r="AB257" s="96"/>
      <c r="AC257" s="96"/>
      <c r="AD257" s="314" t="str">
        <f>IF(Table25781014[[#This Row],[End Completed Section (km)]]="","",Table25781014[[#This Row],[End Completed Section (km)]]-Table25781014[[#This Row],[Start Completed Section (km)]])</f>
        <v/>
      </c>
      <c r="AE257" s="72"/>
      <c r="AF25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57" s="229" t="str">
        <f>IF(Table25781014[[#This Row],[Planned Date]]="","",TEXT(Table25781014[[#This Row],[Planned Date]],"mmm"))</f>
        <v/>
      </c>
      <c r="AH257" s="252" t="str">
        <f>IF(Table25781014[[#This Row],[Month]]="","",VLOOKUP(Table25781014[[#This Row],[Month]],List!$B$2:$C$13,2,FALSE))</f>
        <v/>
      </c>
    </row>
    <row r="258" spans="1:34" s="56" customFormat="1" ht="89.25" x14ac:dyDescent="0.2">
      <c r="A258" s="98" t="s">
        <v>118</v>
      </c>
      <c r="B258" s="305"/>
      <c r="C258" s="67" t="s">
        <v>164</v>
      </c>
      <c r="D258" s="99" t="s">
        <v>24</v>
      </c>
      <c r="E258" s="100" t="str">
        <f>IF(Table25781014[[#This Row],[Line Section]]="","",VLOOKUP(Table25781014[[#This Row],[Line Section]],Reference!$A$2:$B$47,2,FALSE))</f>
        <v>C047</v>
      </c>
      <c r="F258" s="157"/>
      <c r="G258" s="440"/>
      <c r="H258" s="306"/>
      <c r="I258" s="54" t="s">
        <v>94</v>
      </c>
      <c r="J258" s="101">
        <v>23.1</v>
      </c>
      <c r="K258" s="60">
        <v>23.3</v>
      </c>
      <c r="L258" s="102">
        <f>IF(Table25781014[[#This Row],[End
(km)]]="","",Table25781014[[#This Row],[End
(km)]]-Table25781014[[#This Row],[Start
(km)]])</f>
        <v>0.19999999999999929</v>
      </c>
      <c r="M258" s="61" t="s">
        <v>189</v>
      </c>
      <c r="N258" s="99" t="s">
        <v>109</v>
      </c>
      <c r="O258" s="71"/>
      <c r="P258" s="64">
        <v>43230</v>
      </c>
      <c r="Q258" s="307">
        <v>43318</v>
      </c>
      <c r="R258" s="57" t="s">
        <v>121</v>
      </c>
      <c r="S258" s="106"/>
      <c r="T258" s="66" t="s">
        <v>122</v>
      </c>
      <c r="U258" s="308"/>
      <c r="V258" s="312"/>
      <c r="W258" s="67"/>
      <c r="X258" s="107" t="s">
        <v>490</v>
      </c>
      <c r="Y258" s="332"/>
      <c r="Z258" s="103" t="s">
        <v>139</v>
      </c>
      <c r="AA258" s="320"/>
      <c r="AB258" s="96"/>
      <c r="AC258" s="96"/>
      <c r="AD258" s="314" t="str">
        <f>IF(Table25781014[[#This Row],[End Completed Section (km)]]="","",Table25781014[[#This Row],[End Completed Section (km)]]-Table25781014[[#This Row],[Start Completed Section (km)]])</f>
        <v/>
      </c>
      <c r="AE258" s="72"/>
      <c r="AF25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58" s="229" t="str">
        <f>IF(Table25781014[[#This Row],[Planned Date]]="","",TEXT(Table25781014[[#This Row],[Planned Date]],"mmm"))</f>
        <v/>
      </c>
      <c r="AH258" s="252" t="str">
        <f>IF(Table25781014[[#This Row],[Month]]="","",VLOOKUP(Table25781014[[#This Row],[Month]],List!$B$2:$C$13,2,FALSE))</f>
        <v/>
      </c>
    </row>
    <row r="259" spans="1:34" s="56" customFormat="1" ht="25.5" x14ac:dyDescent="0.2">
      <c r="A259" s="98" t="s">
        <v>117</v>
      </c>
      <c r="B259" s="305">
        <v>11</v>
      </c>
      <c r="C259" s="67" t="s">
        <v>164</v>
      </c>
      <c r="D259" s="99" t="s">
        <v>24</v>
      </c>
      <c r="E259" s="100" t="str">
        <f>IF(Table25781014[[#This Row],[Line Section]]="","",VLOOKUP(Table25781014[[#This Row],[Line Section]],Reference!$A$2:$B$47,2,FALSE))</f>
        <v>C047</v>
      </c>
      <c r="F259" s="157" t="s">
        <v>651</v>
      </c>
      <c r="G259" s="440"/>
      <c r="H259" s="306"/>
      <c r="I259" s="54" t="s">
        <v>94</v>
      </c>
      <c r="J259" s="101">
        <v>24</v>
      </c>
      <c r="K259" s="60">
        <v>24.62</v>
      </c>
      <c r="L259" s="102">
        <f>IF(Table25781014[[#This Row],[End
(km)]]="","",Table25781014[[#This Row],[End
(km)]]-Table25781014[[#This Row],[Start
(km)]])</f>
        <v>0.62000000000000099</v>
      </c>
      <c r="M259" s="61" t="s">
        <v>189</v>
      </c>
      <c r="N259" s="99" t="s">
        <v>113</v>
      </c>
      <c r="O259" s="71" t="s">
        <v>113</v>
      </c>
      <c r="P259" s="64">
        <v>43230</v>
      </c>
      <c r="Q259" s="307">
        <v>43476</v>
      </c>
      <c r="R259" s="57" t="s">
        <v>121</v>
      </c>
      <c r="S259" s="55" t="s">
        <v>121</v>
      </c>
      <c r="T259" s="66" t="s">
        <v>122</v>
      </c>
      <c r="U259" s="308"/>
      <c r="V259" s="312"/>
      <c r="W259" s="67"/>
      <c r="X259" s="107" t="s">
        <v>657</v>
      </c>
      <c r="Y259" s="332"/>
      <c r="Z259" s="103" t="s">
        <v>122</v>
      </c>
      <c r="AA259" s="320"/>
      <c r="AB259" s="96"/>
      <c r="AC259" s="96"/>
      <c r="AD259" s="314" t="str">
        <f>IF(Table25781014[[#This Row],[End Completed Section (km)]]="","",Table25781014[[#This Row],[End Completed Section (km)]]-Table25781014[[#This Row],[Start Completed Section (km)]])</f>
        <v/>
      </c>
      <c r="AE259" s="72"/>
      <c r="AF259"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259" s="229" t="str">
        <f>IF(Table25781014[[#This Row],[Planned Date]]="","",TEXT(Table25781014[[#This Row],[Planned Date]],"mmm"))</f>
        <v>21/22</v>
      </c>
      <c r="AH259" s="252" t="e">
        <f>IF(Table25781014[[#This Row],[Month]]="","",VLOOKUP(Table25781014[[#This Row],[Month]],List!$B$2:$C$13,2,FALSE))</f>
        <v>#N/A</v>
      </c>
    </row>
    <row r="260" spans="1:34" s="56" customFormat="1" ht="25.5" x14ac:dyDescent="0.2">
      <c r="A260" s="98" t="s">
        <v>118</v>
      </c>
      <c r="B260" s="305"/>
      <c r="C260" s="67" t="s">
        <v>164</v>
      </c>
      <c r="D260" s="99" t="s">
        <v>24</v>
      </c>
      <c r="E260" s="100" t="str">
        <f>IF(Table25781014[[#This Row],[Line Section]]="","",VLOOKUP(Table25781014[[#This Row],[Line Section]],Reference!$A$2:$B$47,2,FALSE))</f>
        <v>C047</v>
      </c>
      <c r="F260" s="157"/>
      <c r="G260" s="440"/>
      <c r="H260" s="306"/>
      <c r="I260" s="54" t="s">
        <v>94</v>
      </c>
      <c r="J260" s="60">
        <v>24.62</v>
      </c>
      <c r="K260" s="60">
        <v>25.175000000000001</v>
      </c>
      <c r="L260" s="53">
        <f>IF(Table25781014[[#This Row],[End
(km)]]="","",Table25781014[[#This Row],[End
(km)]]-Table25781014[[#This Row],[Start
(km)]])</f>
        <v>0.55499999999999972</v>
      </c>
      <c r="M260" s="61" t="s">
        <v>189</v>
      </c>
      <c r="N260" s="99" t="s">
        <v>113</v>
      </c>
      <c r="O260" s="71"/>
      <c r="P260" s="64">
        <v>43318</v>
      </c>
      <c r="Q260" s="307"/>
      <c r="R260" s="57" t="s">
        <v>121</v>
      </c>
      <c r="S260" s="55"/>
      <c r="T260" s="66"/>
      <c r="U260" s="308"/>
      <c r="V260" s="312"/>
      <c r="W260" s="67"/>
      <c r="X260" s="77" t="s">
        <v>493</v>
      </c>
      <c r="Y260" s="330"/>
      <c r="Z260" s="80" t="s">
        <v>122</v>
      </c>
      <c r="AA260" s="323"/>
      <c r="AB260" s="96"/>
      <c r="AC260" s="96"/>
      <c r="AD260" s="314" t="str">
        <f>IF(Table25781014[[#This Row],[End Completed Section (km)]]="","",Table25781014[[#This Row],[End Completed Section (km)]]-Table25781014[[#This Row],[Start Completed Section (km)]])</f>
        <v/>
      </c>
      <c r="AE260" s="161"/>
      <c r="AF26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60" s="229" t="str">
        <f>IF(Table25781014[[#This Row],[Planned Date]]="","",TEXT(Table25781014[[#This Row],[Planned Date]],"mmm"))</f>
        <v/>
      </c>
      <c r="AH260" s="252" t="str">
        <f>IF(Table25781014[[#This Row],[Month]]="","",VLOOKUP(Table25781014[[#This Row],[Month]],List!$B$2:$C$13,2,FALSE))</f>
        <v/>
      </c>
    </row>
    <row r="261" spans="1:34" s="56" customFormat="1" x14ac:dyDescent="0.2">
      <c r="A261" s="98" t="s">
        <v>118</v>
      </c>
      <c r="B261" s="305"/>
      <c r="C261" s="67" t="s">
        <v>164</v>
      </c>
      <c r="D261" s="99" t="s">
        <v>24</v>
      </c>
      <c r="E261" s="100" t="str">
        <f>IF(Table25781014[[#This Row],[Line Section]]="","",VLOOKUP(Table25781014[[#This Row],[Line Section]],Reference!$A$2:$B$47,2,FALSE))</f>
        <v>C047</v>
      </c>
      <c r="F261" s="157"/>
      <c r="G261" s="440"/>
      <c r="H261" s="306"/>
      <c r="I261" s="54" t="s">
        <v>93</v>
      </c>
      <c r="J261" s="101">
        <v>25.54</v>
      </c>
      <c r="K261" s="60">
        <v>25.9</v>
      </c>
      <c r="L261" s="102">
        <f>IF(Table25781014[[#This Row],[End
(km)]]="","",Table25781014[[#This Row],[End
(km)]]-Table25781014[[#This Row],[Start
(km)]])</f>
        <v>0.35999999999999943</v>
      </c>
      <c r="M261" s="61" t="s">
        <v>126</v>
      </c>
      <c r="N261" s="99" t="s">
        <v>112</v>
      </c>
      <c r="O261" s="71"/>
      <c r="P261" s="64">
        <v>43229</v>
      </c>
      <c r="Q261" s="307"/>
      <c r="R261" s="57"/>
      <c r="S261" s="106"/>
      <c r="T261" s="66" t="s">
        <v>122</v>
      </c>
      <c r="U261" s="308"/>
      <c r="V261" s="312"/>
      <c r="W261" s="67"/>
      <c r="X261" s="107"/>
      <c r="Y261" s="334" t="s">
        <v>220</v>
      </c>
      <c r="Z261" s="103" t="s">
        <v>139</v>
      </c>
      <c r="AA261" s="320"/>
      <c r="AB261" s="96"/>
      <c r="AC261" s="96"/>
      <c r="AD261" s="314" t="str">
        <f>IF(Table25781014[[#This Row],[End Completed Section (km)]]="","",Table25781014[[#This Row],[End Completed Section (km)]]-Table25781014[[#This Row],[Start Completed Section (km)]])</f>
        <v/>
      </c>
      <c r="AE261" s="72"/>
      <c r="AF26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61" s="229" t="str">
        <f>IF(Table25781014[[#This Row],[Planned Date]]="","",TEXT(Table25781014[[#This Row],[Planned Date]],"mmm"))</f>
        <v/>
      </c>
      <c r="AH261" s="252" t="str">
        <f>IF(Table25781014[[#This Row],[Month]]="","",VLOOKUP(Table25781014[[#This Row],[Month]],List!$B$2:$C$13,2,FALSE))</f>
        <v/>
      </c>
    </row>
    <row r="262" spans="1:34" s="56" customFormat="1" ht="25.5" x14ac:dyDescent="0.2">
      <c r="A262" s="98" t="s">
        <v>117</v>
      </c>
      <c r="B262" s="305">
        <v>16</v>
      </c>
      <c r="C262" s="67" t="s">
        <v>164</v>
      </c>
      <c r="D262" s="99" t="s">
        <v>24</v>
      </c>
      <c r="E262" s="100" t="str">
        <f>IF(Table25781014[[#This Row],[Line Section]]="","",VLOOKUP(Table25781014[[#This Row],[Line Section]],Reference!$A$2:$B$47,2,FALSE))</f>
        <v>C047</v>
      </c>
      <c r="F262" s="157" t="s">
        <v>651</v>
      </c>
      <c r="G262" s="440"/>
      <c r="H262" s="306"/>
      <c r="I262" s="54" t="s">
        <v>94</v>
      </c>
      <c r="J262" s="101">
        <v>26.3</v>
      </c>
      <c r="K262" s="60">
        <v>27.1</v>
      </c>
      <c r="L262" s="102">
        <f>IF(Table25781014[[#This Row],[End
(km)]]="","",Table25781014[[#This Row],[End
(km)]]-Table25781014[[#This Row],[Start
(km)]])</f>
        <v>0.80000000000000071</v>
      </c>
      <c r="M262" s="61" t="s">
        <v>189</v>
      </c>
      <c r="N262" s="99" t="s">
        <v>111</v>
      </c>
      <c r="O262" s="71" t="s">
        <v>113</v>
      </c>
      <c r="P262" s="64">
        <v>43230</v>
      </c>
      <c r="Q262" s="307">
        <v>43497</v>
      </c>
      <c r="R262" s="57" t="s">
        <v>121</v>
      </c>
      <c r="S262" s="55" t="s">
        <v>121</v>
      </c>
      <c r="T262" s="66" t="s">
        <v>122</v>
      </c>
      <c r="U262" s="308"/>
      <c r="V262" s="312"/>
      <c r="W262" s="67"/>
      <c r="X262" s="107" t="s">
        <v>773</v>
      </c>
      <c r="Y262" s="332"/>
      <c r="Z262" s="103" t="s">
        <v>122</v>
      </c>
      <c r="AA262" s="320"/>
      <c r="AB262" s="96"/>
      <c r="AC262" s="96"/>
      <c r="AD262" s="314" t="str">
        <f>IF(Table25781014[[#This Row],[End Completed Section (km)]]="","",Table25781014[[#This Row],[End Completed Section (km)]]-Table25781014[[#This Row],[Start Completed Section (km)]])</f>
        <v/>
      </c>
      <c r="AE262" s="72"/>
      <c r="AF262"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262" s="229" t="str">
        <f>IF(Table25781014[[#This Row],[Planned Date]]="","",TEXT(Table25781014[[#This Row],[Planned Date]],"mmm"))</f>
        <v>21/22</v>
      </c>
      <c r="AH262" s="252" t="e">
        <f>IF(Table25781014[[#This Row],[Month]]="","",VLOOKUP(Table25781014[[#This Row],[Month]],List!$B$2:$C$13,2,FALSE))</f>
        <v>#N/A</v>
      </c>
    </row>
    <row r="263" spans="1:34" s="56" customFormat="1" ht="25.5" x14ac:dyDescent="0.2">
      <c r="A263" s="98" t="s">
        <v>117</v>
      </c>
      <c r="B263" s="305">
        <v>15</v>
      </c>
      <c r="C263" s="67" t="s">
        <v>164</v>
      </c>
      <c r="D263" s="99" t="s">
        <v>24</v>
      </c>
      <c r="E263" s="100" t="str">
        <f>IF(Table25781014[[#This Row],[Line Section]]="","",VLOOKUP(Table25781014[[#This Row],[Line Section]],Reference!$A$2:$B$47,2,FALSE))</f>
        <v>C047</v>
      </c>
      <c r="F263" s="157">
        <v>44311</v>
      </c>
      <c r="G263" s="440"/>
      <c r="H263" s="247" t="s">
        <v>534</v>
      </c>
      <c r="I263" s="54" t="s">
        <v>93</v>
      </c>
      <c r="J263" s="101">
        <v>26.95</v>
      </c>
      <c r="K263" s="60">
        <v>27.12</v>
      </c>
      <c r="L263" s="102">
        <f>IF(Table25781014[[#This Row],[End
(km)]]="","",Table25781014[[#This Row],[End
(km)]]-Table25781014[[#This Row],[Start
(km)]])</f>
        <v>0.17000000000000171</v>
      </c>
      <c r="M263" s="61" t="s">
        <v>126</v>
      </c>
      <c r="N263" s="99" t="s">
        <v>113</v>
      </c>
      <c r="O263" s="71" t="s">
        <v>113</v>
      </c>
      <c r="P263" s="64">
        <v>43229</v>
      </c>
      <c r="Q263" s="307">
        <v>43497</v>
      </c>
      <c r="R263" s="57" t="s">
        <v>121</v>
      </c>
      <c r="S263" s="106"/>
      <c r="T263" s="66" t="s">
        <v>122</v>
      </c>
      <c r="U263" s="308"/>
      <c r="V263" s="312"/>
      <c r="W263" s="67" t="s">
        <v>131</v>
      </c>
      <c r="X263" s="107" t="s">
        <v>772</v>
      </c>
      <c r="Y263" s="334" t="s">
        <v>221</v>
      </c>
      <c r="Z263" s="103" t="s">
        <v>122</v>
      </c>
      <c r="AA263" s="320"/>
      <c r="AB263" s="96"/>
      <c r="AC263" s="96"/>
      <c r="AD263" s="314" t="str">
        <f>IF(Table25781014[[#This Row],[End Completed Section (km)]]="","",Table25781014[[#This Row],[End Completed Section (km)]]-Table25781014[[#This Row],[Start Completed Section (km)]])</f>
        <v/>
      </c>
      <c r="AE263" s="72"/>
      <c r="AF26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263" s="229" t="str">
        <f>IF(Table25781014[[#This Row],[Planned Date]]="","",TEXT(Table25781014[[#This Row],[Planned Date]],"mmm"))</f>
        <v>Apr</v>
      </c>
      <c r="AH263" s="252">
        <f>IF(Table25781014[[#This Row],[Month]]="","",VLOOKUP(Table25781014[[#This Row],[Month]],List!$B$2:$C$13,2,FALSE))</f>
        <v>10</v>
      </c>
    </row>
    <row r="264" spans="1:34" s="56" customFormat="1" x14ac:dyDescent="0.2">
      <c r="A264" s="98" t="s">
        <v>117</v>
      </c>
      <c r="B264" s="353"/>
      <c r="C264" s="67" t="s">
        <v>164</v>
      </c>
      <c r="D264" s="99" t="s">
        <v>24</v>
      </c>
      <c r="E264" s="100" t="str">
        <f>IF(Table25781014[[#This Row],[Line Section]]="","",VLOOKUP(Table25781014[[#This Row],[Line Section]],Reference!$A$2:$B$47,2,FALSE))</f>
        <v>C047</v>
      </c>
      <c r="F264" s="157"/>
      <c r="G264" s="440"/>
      <c r="H264" s="354"/>
      <c r="I264" s="54" t="s">
        <v>93</v>
      </c>
      <c r="J264" s="101">
        <v>27.12</v>
      </c>
      <c r="K264" s="60">
        <v>27.73</v>
      </c>
      <c r="L264" s="102">
        <f>IF(Table25781014[[#This Row],[End
(km)]]="","",Table25781014[[#This Row],[End
(km)]]-Table25781014[[#This Row],[Start
(km)]])</f>
        <v>0.60999999999999943</v>
      </c>
      <c r="M264" s="61" t="s">
        <v>725</v>
      </c>
      <c r="N264" s="99"/>
      <c r="O264" s="71"/>
      <c r="P264" s="64"/>
      <c r="Q264" s="355"/>
      <c r="R264" s="57"/>
      <c r="S264" s="106"/>
      <c r="T264" s="66"/>
      <c r="U264" s="356"/>
      <c r="V264" s="447"/>
      <c r="W264" s="67"/>
      <c r="X264" s="107"/>
      <c r="Y264" s="455"/>
      <c r="Z264" s="103"/>
      <c r="AA264" s="357"/>
      <c r="AB264" s="96"/>
      <c r="AC264" s="96"/>
      <c r="AD264" s="459" t="str">
        <f>IF(Table25781014[[#This Row],[End Completed Section (km)]]="","",Table25781014[[#This Row],[End Completed Section (km)]]-Table25781014[[#This Row],[Start Completed Section (km)]])</f>
        <v/>
      </c>
      <c r="AE264" s="72"/>
      <c r="AF26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64" s="229" t="str">
        <f>IF(Table25781014[[#This Row],[Planned Date]]="","",TEXT(Table25781014[[#This Row],[Planned Date]],"mmm"))</f>
        <v/>
      </c>
      <c r="AH264" s="252" t="str">
        <f>IF(Table25781014[[#This Row],[Month]]="","",VLOOKUP(Table25781014[[#This Row],[Month]],List!$B$2:$C$13,2,FALSE))</f>
        <v/>
      </c>
    </row>
    <row r="265" spans="1:34" s="56" customFormat="1" ht="75" customHeight="1" x14ac:dyDescent="0.2">
      <c r="A265" s="98" t="s">
        <v>117</v>
      </c>
      <c r="B265" s="305"/>
      <c r="C265" s="67" t="s">
        <v>164</v>
      </c>
      <c r="D265" s="99" t="s">
        <v>24</v>
      </c>
      <c r="E265" s="100" t="str">
        <f>IF(Table25781014[[#This Row],[Line Section]]="","",VLOOKUP(Table25781014[[#This Row],[Line Section]],Reference!$A$2:$B$47,2,FALSE))</f>
        <v>C047</v>
      </c>
      <c r="F265" s="157"/>
      <c r="G265" s="440"/>
      <c r="H265" s="306"/>
      <c r="I265" s="54" t="s">
        <v>94</v>
      </c>
      <c r="J265" s="101">
        <v>27.47</v>
      </c>
      <c r="K265" s="60">
        <v>27.85</v>
      </c>
      <c r="L265" s="102">
        <f>IF(Table25781014[[#This Row],[End
(km)]]="","",Table25781014[[#This Row],[End
(km)]]-Table25781014[[#This Row],[Start
(km)]])</f>
        <v>0.38000000000000256</v>
      </c>
      <c r="M265" s="61" t="s">
        <v>189</v>
      </c>
      <c r="N265" s="99" t="s">
        <v>113</v>
      </c>
      <c r="O265" s="71" t="s">
        <v>112</v>
      </c>
      <c r="P265" s="64">
        <v>43230</v>
      </c>
      <c r="Q265" s="307">
        <v>43476</v>
      </c>
      <c r="R265" s="57" t="s">
        <v>121</v>
      </c>
      <c r="S265" s="55"/>
      <c r="T265" s="66" t="s">
        <v>122</v>
      </c>
      <c r="U265" s="308"/>
      <c r="V265" s="312"/>
      <c r="W265" s="67"/>
      <c r="X265" s="107" t="s">
        <v>478</v>
      </c>
      <c r="Y265" s="332"/>
      <c r="Z265" s="103" t="s">
        <v>122</v>
      </c>
      <c r="AA265" s="320"/>
      <c r="AB265" s="96"/>
      <c r="AC265" s="96"/>
      <c r="AD265" s="314" t="str">
        <f>IF(Table25781014[[#This Row],[End Completed Section (km)]]="","",Table25781014[[#This Row],[End Completed Section (km)]]-Table25781014[[#This Row],[Start Completed Section (km)]])</f>
        <v/>
      </c>
      <c r="AE265" s="72"/>
      <c r="AF26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65" s="229" t="str">
        <f>IF(Table25781014[[#This Row],[Planned Date]]="","",TEXT(Table25781014[[#This Row],[Planned Date]],"mmm"))</f>
        <v/>
      </c>
      <c r="AH265" s="252" t="str">
        <f>IF(Table25781014[[#This Row],[Month]]="","",VLOOKUP(Table25781014[[#This Row],[Month]],List!$B$2:$C$13,2,FALSE))</f>
        <v/>
      </c>
    </row>
    <row r="266" spans="1:34" s="56" customFormat="1" ht="25.5" x14ac:dyDescent="0.2">
      <c r="A266" s="98" t="s">
        <v>118</v>
      </c>
      <c r="B266" s="305"/>
      <c r="C266" s="67" t="s">
        <v>164</v>
      </c>
      <c r="D266" s="99" t="s">
        <v>24</v>
      </c>
      <c r="E266" s="100" t="str">
        <f>IF(Table25781014[[#This Row],[Line Section]]="","",VLOOKUP(Table25781014[[#This Row],[Line Section]],Reference!$A$2:$B$47,2,FALSE))</f>
        <v>C047</v>
      </c>
      <c r="F266" s="157"/>
      <c r="G266" s="440"/>
      <c r="H266" s="306"/>
      <c r="I266" s="54" t="s">
        <v>93</v>
      </c>
      <c r="J266" s="60">
        <v>27.47</v>
      </c>
      <c r="K266" s="60">
        <v>27.85</v>
      </c>
      <c r="L266" s="53">
        <f>IF(Table25781014[[#This Row],[End
(km)]]="","",Table25781014[[#This Row],[End
(km)]]-Table25781014[[#This Row],[Start
(km)]])</f>
        <v>0.38000000000000256</v>
      </c>
      <c r="M266" s="61" t="s">
        <v>129</v>
      </c>
      <c r="N266" s="99" t="s">
        <v>113</v>
      </c>
      <c r="O266" s="71" t="s">
        <v>112</v>
      </c>
      <c r="P266" s="64">
        <v>43318</v>
      </c>
      <c r="Q266" s="307">
        <v>43474</v>
      </c>
      <c r="R266" s="57" t="s">
        <v>121</v>
      </c>
      <c r="S266" s="55"/>
      <c r="T266" s="66"/>
      <c r="U266" s="308"/>
      <c r="V266" s="312"/>
      <c r="W266" s="67"/>
      <c r="X266" s="77" t="s">
        <v>479</v>
      </c>
      <c r="Y266" s="330"/>
      <c r="Z266" s="80" t="s">
        <v>233</v>
      </c>
      <c r="AA266" s="323"/>
      <c r="AB266" s="96"/>
      <c r="AC266" s="96"/>
      <c r="AD266" s="314" t="str">
        <f>IF(Table25781014[[#This Row],[End Completed Section (km)]]="","",Table25781014[[#This Row],[End Completed Section (km)]]-Table25781014[[#This Row],[Start Completed Section (km)]])</f>
        <v/>
      </c>
      <c r="AE266" s="72"/>
      <c r="AF26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66" s="229" t="str">
        <f>IF(Table25781014[[#This Row],[Planned Date]]="","",TEXT(Table25781014[[#This Row],[Planned Date]],"mmm"))</f>
        <v/>
      </c>
      <c r="AH266" s="252" t="str">
        <f>IF(Table25781014[[#This Row],[Month]]="","",VLOOKUP(Table25781014[[#This Row],[Month]],List!$B$2:$C$13,2,FALSE))</f>
        <v/>
      </c>
    </row>
    <row r="267" spans="1:34" s="56" customFormat="1" ht="38.25" x14ac:dyDescent="0.2">
      <c r="A267" s="98" t="s">
        <v>117</v>
      </c>
      <c r="B267" s="305">
        <v>12</v>
      </c>
      <c r="C267" s="67" t="s">
        <v>164</v>
      </c>
      <c r="D267" s="99" t="s">
        <v>24</v>
      </c>
      <c r="E267" s="100" t="str">
        <f>IF(Table25781014[[#This Row],[Line Section]]="","",VLOOKUP(Table25781014[[#This Row],[Line Section]],Reference!$A$2:$B$47,2,FALSE))</f>
        <v>C047</v>
      </c>
      <c r="F267" s="157">
        <v>44045</v>
      </c>
      <c r="G267" s="440"/>
      <c r="H267" s="247" t="s">
        <v>534</v>
      </c>
      <c r="I267" s="54" t="s">
        <v>93</v>
      </c>
      <c r="J267" s="101">
        <v>28</v>
      </c>
      <c r="K267" s="60">
        <v>28.2</v>
      </c>
      <c r="L267" s="102">
        <f>IF(Table25781014[[#This Row],[End
(km)]]="","",Table25781014[[#This Row],[End
(km)]]-Table25781014[[#This Row],[Start
(km)]])</f>
        <v>0.19999999999999929</v>
      </c>
      <c r="M267" s="61" t="s">
        <v>146</v>
      </c>
      <c r="N267" s="99" t="s">
        <v>112</v>
      </c>
      <c r="O267" s="71" t="s">
        <v>113</v>
      </c>
      <c r="P267" s="64">
        <v>43229</v>
      </c>
      <c r="Q267" s="307">
        <v>43474</v>
      </c>
      <c r="R267" s="57" t="s">
        <v>121</v>
      </c>
      <c r="S267" s="106"/>
      <c r="T267" s="66" t="s">
        <v>122</v>
      </c>
      <c r="U267" s="308"/>
      <c r="V267" s="312"/>
      <c r="W267" s="67"/>
      <c r="X267" s="107" t="s">
        <v>637</v>
      </c>
      <c r="Y267" s="334" t="s">
        <v>222</v>
      </c>
      <c r="Z267" s="103" t="s">
        <v>573</v>
      </c>
      <c r="AA267" s="320">
        <v>43317</v>
      </c>
      <c r="AB267" s="96"/>
      <c r="AC267" s="96"/>
      <c r="AD267" s="314" t="str">
        <f>IF(Table25781014[[#This Row],[End Completed Section (km)]]="","",Table25781014[[#This Row],[End Completed Section (km)]]-Table25781014[[#This Row],[Start Completed Section (km)]])</f>
        <v/>
      </c>
      <c r="AE267" s="72"/>
      <c r="AF26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267" s="229" t="str">
        <f>IF(Table25781014[[#This Row],[Planned Date]]="","",TEXT(Table25781014[[#This Row],[Planned Date]],"mmm"))</f>
        <v>Aug</v>
      </c>
      <c r="AH267" s="252">
        <f>IF(Table25781014[[#This Row],[Month]]="","",VLOOKUP(Table25781014[[#This Row],[Month]],List!$B$2:$C$13,2,FALSE))</f>
        <v>2</v>
      </c>
    </row>
    <row r="268" spans="1:34" s="56" customFormat="1" ht="38.25" x14ac:dyDescent="0.2">
      <c r="A268" s="98" t="s">
        <v>118</v>
      </c>
      <c r="B268" s="353"/>
      <c r="C268" s="67" t="s">
        <v>164</v>
      </c>
      <c r="D268" s="99" t="s">
        <v>24</v>
      </c>
      <c r="E268" s="100" t="str">
        <f>IF(Table25781014[[#This Row],[Line Section]]="","",VLOOKUP(Table25781014[[#This Row],[Line Section]],Reference!$A$2:$B$47,2,FALSE))</f>
        <v>C047</v>
      </c>
      <c r="F268" s="157"/>
      <c r="G268" s="440"/>
      <c r="H268" s="354"/>
      <c r="I268" s="54" t="s">
        <v>94</v>
      </c>
      <c r="J268" s="101">
        <v>28.3</v>
      </c>
      <c r="K268" s="60">
        <v>28.83</v>
      </c>
      <c r="L268" s="102">
        <f>IF(Table25781014[[#This Row],[End
(km)]]="","",Table25781014[[#This Row],[End
(km)]]-Table25781014[[#This Row],[Start
(km)]])</f>
        <v>0.52999999999999758</v>
      </c>
      <c r="M268" s="61" t="s">
        <v>725</v>
      </c>
      <c r="N268" s="99"/>
      <c r="O268" s="71" t="s">
        <v>112</v>
      </c>
      <c r="P268" s="64">
        <v>43606</v>
      </c>
      <c r="Q268" s="355"/>
      <c r="R268" s="57" t="s">
        <v>121</v>
      </c>
      <c r="S268" s="106"/>
      <c r="T268" s="66"/>
      <c r="U268" s="356"/>
      <c r="V268" s="447"/>
      <c r="W268" s="67" t="s">
        <v>798</v>
      </c>
      <c r="X268" s="107" t="s">
        <v>799</v>
      </c>
      <c r="Y268" s="455"/>
      <c r="Z268" s="103" t="s">
        <v>122</v>
      </c>
      <c r="AA268" s="357"/>
      <c r="AB268" s="96"/>
      <c r="AC268" s="96"/>
      <c r="AD268" s="459" t="str">
        <f>IF(Table25781014[[#This Row],[End Completed Section (km)]]="","",Table25781014[[#This Row],[End Completed Section (km)]]-Table25781014[[#This Row],[Start Completed Section (km)]])</f>
        <v/>
      </c>
      <c r="AE268" s="72"/>
      <c r="AF26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68" s="229" t="str">
        <f>IF(Table25781014[[#This Row],[Planned Date]]="","",TEXT(Table25781014[[#This Row],[Planned Date]],"mmm"))</f>
        <v/>
      </c>
      <c r="AH268" s="252" t="str">
        <f>IF(Table25781014[[#This Row],[Month]]="","",VLOOKUP(Table25781014[[#This Row],[Month]],List!$B$2:$C$13,2,FALSE))</f>
        <v/>
      </c>
    </row>
    <row r="269" spans="1:34" s="56" customFormat="1" ht="25.5" x14ac:dyDescent="0.2">
      <c r="A269" s="98" t="s">
        <v>117</v>
      </c>
      <c r="B269" s="305"/>
      <c r="C269" s="67" t="s">
        <v>164</v>
      </c>
      <c r="D269" s="99" t="s">
        <v>24</v>
      </c>
      <c r="E269" s="100" t="str">
        <f>IF(Table25781014[[#This Row],[Line Section]]="","",VLOOKUP(Table25781014[[#This Row],[Line Section]],Reference!$A$2:$B$47,2,FALSE))</f>
        <v>C047</v>
      </c>
      <c r="F269" s="157"/>
      <c r="G269" s="440"/>
      <c r="H269" s="306"/>
      <c r="I269" s="54" t="s">
        <v>94</v>
      </c>
      <c r="J269" s="101">
        <v>28.95</v>
      </c>
      <c r="K269" s="60">
        <v>29.15</v>
      </c>
      <c r="L269" s="102">
        <f>IF(Table25781014[[#This Row],[End
(km)]]="","",Table25781014[[#This Row],[End
(km)]]-Table25781014[[#This Row],[Start
(km)]])</f>
        <v>0.19999999999999929</v>
      </c>
      <c r="M269" s="61" t="s">
        <v>189</v>
      </c>
      <c r="N269" s="99" t="s">
        <v>113</v>
      </c>
      <c r="O269" s="71" t="s">
        <v>113</v>
      </c>
      <c r="P269" s="64">
        <v>43230</v>
      </c>
      <c r="Q269" s="307">
        <v>43476</v>
      </c>
      <c r="R269" s="57"/>
      <c r="S269" s="55"/>
      <c r="T269" s="66" t="s">
        <v>122</v>
      </c>
      <c r="U269" s="308"/>
      <c r="V269" s="312"/>
      <c r="W269" s="49" t="s">
        <v>236</v>
      </c>
      <c r="X269" s="107"/>
      <c r="Y269" s="332"/>
      <c r="Z269" s="159" t="s">
        <v>122</v>
      </c>
      <c r="AA269" s="323"/>
      <c r="AB269" s="96"/>
      <c r="AC269" s="96"/>
      <c r="AD269" s="314" t="str">
        <f>IF(Table25781014[[#This Row],[End Completed Section (km)]]="","",Table25781014[[#This Row],[End Completed Section (km)]]-Table25781014[[#This Row],[Start Completed Section (km)]])</f>
        <v/>
      </c>
      <c r="AE269" s="72"/>
      <c r="AF26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69" s="229" t="str">
        <f>IF(Table25781014[[#This Row],[Planned Date]]="","",TEXT(Table25781014[[#This Row],[Planned Date]],"mmm"))</f>
        <v/>
      </c>
      <c r="AH269" s="252" t="str">
        <f>IF(Table25781014[[#This Row],[Month]]="","",VLOOKUP(Table25781014[[#This Row],[Month]],List!$B$2:$C$13,2,FALSE))</f>
        <v/>
      </c>
    </row>
    <row r="270" spans="1:34" s="56" customFormat="1" ht="76.5" x14ac:dyDescent="0.2">
      <c r="A270" s="98" t="s">
        <v>117</v>
      </c>
      <c r="B270" s="305"/>
      <c r="C270" s="67" t="s">
        <v>164</v>
      </c>
      <c r="D270" s="99" t="s">
        <v>24</v>
      </c>
      <c r="E270" s="100" t="str">
        <f>IF(Table25781014[[#This Row],[Line Section]]="","",VLOOKUP(Table25781014[[#This Row],[Line Section]],Reference!$A$2:$B$47,2,FALSE))</f>
        <v>C047</v>
      </c>
      <c r="F270" s="157"/>
      <c r="G270" s="440"/>
      <c r="H270" s="306"/>
      <c r="I270" s="54" t="s">
        <v>94</v>
      </c>
      <c r="J270" s="273">
        <v>29.53</v>
      </c>
      <c r="K270" s="43">
        <v>30</v>
      </c>
      <c r="L270" s="102">
        <f>IF(Table25781014[[#This Row],[End
(km)]]="","",Table25781014[[#This Row],[End
(km)]]-Table25781014[[#This Row],[Start
(km)]])</f>
        <v>0.46999999999999886</v>
      </c>
      <c r="M270" s="61" t="s">
        <v>189</v>
      </c>
      <c r="N270" s="99" t="s">
        <v>113</v>
      </c>
      <c r="O270" s="71"/>
      <c r="P270" s="64">
        <v>43230</v>
      </c>
      <c r="Q270" s="307">
        <v>43318</v>
      </c>
      <c r="R270" s="57" t="s">
        <v>121</v>
      </c>
      <c r="S270" s="55"/>
      <c r="T270" s="66" t="s">
        <v>122</v>
      </c>
      <c r="U270" s="308"/>
      <c r="V270" s="312"/>
      <c r="W270" s="67"/>
      <c r="X270" s="265" t="s">
        <v>480</v>
      </c>
      <c r="Y270" s="332"/>
      <c r="Z270" s="103" t="s">
        <v>139</v>
      </c>
      <c r="AA270" s="320"/>
      <c r="AB270" s="96"/>
      <c r="AC270" s="96"/>
      <c r="AD270" s="314" t="str">
        <f>IF(Table25781014[[#This Row],[End Completed Section (km)]]="","",Table25781014[[#This Row],[End Completed Section (km)]]-Table25781014[[#This Row],[Start Completed Section (km)]])</f>
        <v/>
      </c>
      <c r="AE270" s="72"/>
      <c r="AF27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70" s="229" t="str">
        <f>IF(Table25781014[[#This Row],[Planned Date]]="","",TEXT(Table25781014[[#This Row],[Planned Date]],"mmm"))</f>
        <v/>
      </c>
      <c r="AH270" s="252" t="str">
        <f>IF(Table25781014[[#This Row],[Month]]="","",VLOOKUP(Table25781014[[#This Row],[Month]],List!$B$2:$C$13,2,FALSE))</f>
        <v/>
      </c>
    </row>
    <row r="271" spans="1:34" s="56" customFormat="1" ht="25.5" x14ac:dyDescent="0.2">
      <c r="A271" s="98" t="s">
        <v>118</v>
      </c>
      <c r="B271" s="305"/>
      <c r="C271" s="67" t="s">
        <v>164</v>
      </c>
      <c r="D271" s="99" t="s">
        <v>24</v>
      </c>
      <c r="E271" s="100" t="str">
        <f>IF(Table25781014[[#This Row],[Line Section]]="","",VLOOKUP(Table25781014[[#This Row],[Line Section]],Reference!$A$2:$B$47,2,FALSE))</f>
        <v>C047</v>
      </c>
      <c r="F271" s="157"/>
      <c r="G271" s="440"/>
      <c r="H271" s="306"/>
      <c r="I271" s="54" t="s">
        <v>94</v>
      </c>
      <c r="J271" s="273">
        <v>30</v>
      </c>
      <c r="K271" s="43">
        <v>30.33</v>
      </c>
      <c r="L271" s="102">
        <f>IF(Table25781014[[#This Row],[End
(km)]]="","",Table25781014[[#This Row],[End
(km)]]-Table25781014[[#This Row],[Start
(km)]])</f>
        <v>0.32999999999999829</v>
      </c>
      <c r="M271" s="61" t="s">
        <v>189</v>
      </c>
      <c r="N271" s="99" t="s">
        <v>113</v>
      </c>
      <c r="O271" s="71"/>
      <c r="P271" s="64">
        <v>43230</v>
      </c>
      <c r="Q271" s="307">
        <v>43318</v>
      </c>
      <c r="R271" s="57" t="s">
        <v>121</v>
      </c>
      <c r="S271" s="55"/>
      <c r="T271" s="66" t="s">
        <v>122</v>
      </c>
      <c r="U271" s="308"/>
      <c r="V271" s="312"/>
      <c r="W271" s="67"/>
      <c r="X271" s="107"/>
      <c r="Y271" s="332"/>
      <c r="Z271" s="103" t="s">
        <v>139</v>
      </c>
      <c r="AA271" s="320"/>
      <c r="AB271" s="96"/>
      <c r="AC271" s="96"/>
      <c r="AD271" s="314" t="str">
        <f>IF(Table25781014[[#This Row],[End Completed Section (km)]]="","",Table25781014[[#This Row],[End Completed Section (km)]]-Table25781014[[#This Row],[Start Completed Section (km)]])</f>
        <v/>
      </c>
      <c r="AE271" s="72"/>
      <c r="AF27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71" s="229" t="str">
        <f>IF(Table25781014[[#This Row],[Planned Date]]="","",TEXT(Table25781014[[#This Row],[Planned Date]],"mmm"))</f>
        <v/>
      </c>
      <c r="AH271" s="252" t="str">
        <f>IF(Table25781014[[#This Row],[Month]]="","",VLOOKUP(Table25781014[[#This Row],[Month]],List!$B$2:$C$13,2,FALSE))</f>
        <v/>
      </c>
    </row>
    <row r="272" spans="1:34" s="56" customFormat="1" ht="51" x14ac:dyDescent="0.2">
      <c r="A272" s="98" t="s">
        <v>117</v>
      </c>
      <c r="B272" s="305"/>
      <c r="C272" s="67" t="s">
        <v>164</v>
      </c>
      <c r="D272" s="99" t="s">
        <v>24</v>
      </c>
      <c r="E272" s="100" t="str">
        <f>IF(Table25781014[[#This Row],[Line Section]]="","",VLOOKUP(Table25781014[[#This Row],[Line Section]],Reference!$A$2:$B$47,2,FALSE))</f>
        <v>C047</v>
      </c>
      <c r="F272" s="157"/>
      <c r="G272" s="440"/>
      <c r="H272" s="306"/>
      <c r="I272" s="54" t="s">
        <v>94</v>
      </c>
      <c r="J272" s="101">
        <v>30.55</v>
      </c>
      <c r="K272" s="60">
        <v>31.1</v>
      </c>
      <c r="L272" s="102">
        <f>IF(Table25781014[[#This Row],[End
(km)]]="","",Table25781014[[#This Row],[End
(km)]]-Table25781014[[#This Row],[Start
(km)]])</f>
        <v>0.55000000000000071</v>
      </c>
      <c r="M272" s="61" t="s">
        <v>189</v>
      </c>
      <c r="N272" s="99" t="s">
        <v>113</v>
      </c>
      <c r="O272" s="71" t="s">
        <v>112</v>
      </c>
      <c r="P272" s="64">
        <v>43230</v>
      </c>
      <c r="Q272" s="307">
        <v>43476</v>
      </c>
      <c r="R272" s="57" t="s">
        <v>121</v>
      </c>
      <c r="S272" s="55"/>
      <c r="T272" s="66" t="s">
        <v>122</v>
      </c>
      <c r="U272" s="308"/>
      <c r="V272" s="312"/>
      <c r="W272" s="67"/>
      <c r="X272" s="107" t="s">
        <v>544</v>
      </c>
      <c r="Y272" s="332"/>
      <c r="Z272" s="103" t="s">
        <v>122</v>
      </c>
      <c r="AA272" s="320"/>
      <c r="AB272" s="96"/>
      <c r="AC272" s="96"/>
      <c r="AD272" s="314" t="str">
        <f>IF(Table25781014[[#This Row],[End Completed Section (km)]]="","",Table25781014[[#This Row],[End Completed Section (km)]]-Table25781014[[#This Row],[Start Completed Section (km)]])</f>
        <v/>
      </c>
      <c r="AE272" s="72"/>
      <c r="AF27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72" s="229" t="str">
        <f>IF(Table25781014[[#This Row],[Planned Date]]="","",TEXT(Table25781014[[#This Row],[Planned Date]],"mmm"))</f>
        <v/>
      </c>
      <c r="AH272" s="252" t="str">
        <f>IF(Table25781014[[#This Row],[Month]]="","",VLOOKUP(Table25781014[[#This Row],[Month]],List!$B$2:$C$13,2,FALSE))</f>
        <v/>
      </c>
    </row>
    <row r="273" spans="1:34" s="56" customFormat="1" ht="63.75" x14ac:dyDescent="0.2">
      <c r="A273" s="98" t="s">
        <v>116</v>
      </c>
      <c r="B273" s="305">
        <v>3</v>
      </c>
      <c r="C273" s="67" t="s">
        <v>164</v>
      </c>
      <c r="D273" s="99" t="s">
        <v>24</v>
      </c>
      <c r="E273" s="100" t="str">
        <f>IF(Table25781014[[#This Row],[Line Section]]="","",VLOOKUP(Table25781014[[#This Row],[Line Section]],Reference!$A$2:$B$47,2,FALSE))</f>
        <v>C047</v>
      </c>
      <c r="F273" s="157">
        <v>44311</v>
      </c>
      <c r="G273" s="440" t="s">
        <v>430</v>
      </c>
      <c r="H273" s="247" t="s">
        <v>533</v>
      </c>
      <c r="I273" s="54" t="s">
        <v>93</v>
      </c>
      <c r="J273" s="101">
        <v>31.6</v>
      </c>
      <c r="K273" s="60">
        <v>32.4</v>
      </c>
      <c r="L273" s="102">
        <f>IF(Table25781014[[#This Row],[End
(km)]]="","",Table25781014[[#This Row],[End
(km)]]-Table25781014[[#This Row],[Start
(km)]])</f>
        <v>0.79999999999999716</v>
      </c>
      <c r="M273" s="61" t="s">
        <v>223</v>
      </c>
      <c r="N273" s="99" t="s">
        <v>113</v>
      </c>
      <c r="O273" s="71" t="s">
        <v>113</v>
      </c>
      <c r="P273" s="64">
        <v>43229</v>
      </c>
      <c r="Q273" s="307">
        <v>43474</v>
      </c>
      <c r="R273" s="57" t="s">
        <v>121</v>
      </c>
      <c r="S273" s="106" t="s">
        <v>121</v>
      </c>
      <c r="T273" s="66" t="s">
        <v>122</v>
      </c>
      <c r="U273" s="308"/>
      <c r="V273" s="312"/>
      <c r="W273" s="67"/>
      <c r="X273" s="107" t="s">
        <v>475</v>
      </c>
      <c r="Y273" s="330" t="s">
        <v>224</v>
      </c>
      <c r="Z273" s="103" t="s">
        <v>573</v>
      </c>
      <c r="AA273" s="320">
        <v>43394</v>
      </c>
      <c r="AB273" s="96"/>
      <c r="AC273" s="96"/>
      <c r="AD273" s="314" t="str">
        <f>IF(Table25781014[[#This Row],[End Completed Section (km)]]="","",Table25781014[[#This Row],[End Completed Section (km)]]-Table25781014[[#This Row],[Start Completed Section (km)]])</f>
        <v/>
      </c>
      <c r="AE273" s="72"/>
      <c r="AF27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273" s="229" t="str">
        <f>IF(Table25781014[[#This Row],[Planned Date]]="","",TEXT(Table25781014[[#This Row],[Planned Date]],"mmm"))</f>
        <v>Apr</v>
      </c>
      <c r="AH273" s="252">
        <f>IF(Table25781014[[#This Row],[Month]]="","",VLOOKUP(Table25781014[[#This Row],[Month]],List!$B$2:$C$13,2,FALSE))</f>
        <v>10</v>
      </c>
    </row>
    <row r="274" spans="1:34" s="56" customFormat="1" ht="25.5" x14ac:dyDescent="0.2">
      <c r="A274" s="98" t="s">
        <v>117</v>
      </c>
      <c r="B274" s="305"/>
      <c r="C274" s="67" t="s">
        <v>164</v>
      </c>
      <c r="D274" s="99" t="s">
        <v>24</v>
      </c>
      <c r="E274" s="100" t="str">
        <f>IF(Table25781014[[#This Row],[Line Section]]="","",VLOOKUP(Table25781014[[#This Row],[Line Section]],Reference!$A$2:$B$47,2,FALSE))</f>
        <v>C047</v>
      </c>
      <c r="F274" s="157"/>
      <c r="G274" s="440"/>
      <c r="H274" s="306"/>
      <c r="I274" s="54" t="s">
        <v>94</v>
      </c>
      <c r="J274" s="101">
        <v>31.7</v>
      </c>
      <c r="K274" s="60">
        <v>32</v>
      </c>
      <c r="L274" s="102">
        <f>IF(Table25781014[[#This Row],[End
(km)]]="","",Table25781014[[#This Row],[End
(km)]]-Table25781014[[#This Row],[Start
(km)]])</f>
        <v>0.30000000000000071</v>
      </c>
      <c r="M274" s="61" t="s">
        <v>189</v>
      </c>
      <c r="N274" s="99" t="s">
        <v>113</v>
      </c>
      <c r="O274" s="71"/>
      <c r="P274" s="64">
        <v>43230</v>
      </c>
      <c r="Q274" s="307">
        <v>43476</v>
      </c>
      <c r="R274" s="57" t="s">
        <v>121</v>
      </c>
      <c r="S274" s="55"/>
      <c r="T274" s="66" t="s">
        <v>122</v>
      </c>
      <c r="U274" s="308"/>
      <c r="V274" s="312"/>
      <c r="W274" s="67"/>
      <c r="X274" s="107" t="s">
        <v>482</v>
      </c>
      <c r="Y274" s="332"/>
      <c r="Z274" s="103" t="s">
        <v>139</v>
      </c>
      <c r="AA274" s="320"/>
      <c r="AB274" s="96"/>
      <c r="AC274" s="96"/>
      <c r="AD274" s="314" t="str">
        <f>IF(Table25781014[[#This Row],[End Completed Section (km)]]="","",Table25781014[[#This Row],[End Completed Section (km)]]-Table25781014[[#This Row],[Start Completed Section (km)]])</f>
        <v/>
      </c>
      <c r="AE274" s="72"/>
      <c r="AF27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74" s="229" t="str">
        <f>IF(Table25781014[[#This Row],[Planned Date]]="","",TEXT(Table25781014[[#This Row],[Planned Date]],"mmm"))</f>
        <v/>
      </c>
      <c r="AH274" s="252" t="str">
        <f>IF(Table25781014[[#This Row],[Month]]="","",VLOOKUP(Table25781014[[#This Row],[Month]],List!$B$2:$C$13,2,FALSE))</f>
        <v/>
      </c>
    </row>
    <row r="275" spans="1:34" s="56" customFormat="1" ht="25.5" x14ac:dyDescent="0.2">
      <c r="A275" s="98" t="s">
        <v>116</v>
      </c>
      <c r="B275" s="343"/>
      <c r="C275" s="67" t="s">
        <v>164</v>
      </c>
      <c r="D275" s="99" t="s">
        <v>31</v>
      </c>
      <c r="E275" s="100" t="str">
        <f>IF(Table25781014[[#This Row],[Line Section]]="","",VLOOKUP(Table25781014[[#This Row],[Line Section]],Reference!$A$2:$B$47,2,FALSE))</f>
        <v>C138</v>
      </c>
      <c r="F275" s="157" t="s">
        <v>651</v>
      </c>
      <c r="G275" s="440"/>
      <c r="H275" s="344"/>
      <c r="I275" s="54" t="s">
        <v>93</v>
      </c>
      <c r="J275" s="101">
        <v>31.8</v>
      </c>
      <c r="K275" s="60">
        <v>32.299999999999997</v>
      </c>
      <c r="L275" s="102">
        <f>IF(Table25781014[[#This Row],[End
(km)]]="","",Table25781014[[#This Row],[End
(km)]]-Table25781014[[#This Row],[Start
(km)]])</f>
        <v>0.49999999999999645</v>
      </c>
      <c r="M275" s="61" t="s">
        <v>725</v>
      </c>
      <c r="N275" s="99" t="s">
        <v>112</v>
      </c>
      <c r="O275" s="71" t="s">
        <v>113</v>
      </c>
      <c r="P275" s="64">
        <v>43503</v>
      </c>
      <c r="Q275" s="345"/>
      <c r="R275" s="57" t="s">
        <v>121</v>
      </c>
      <c r="S275" s="55"/>
      <c r="T275" s="66"/>
      <c r="U275" s="346"/>
      <c r="V275" s="347"/>
      <c r="W275" s="67"/>
      <c r="X275" s="107" t="s">
        <v>784</v>
      </c>
      <c r="Y275" s="348"/>
      <c r="Z275" s="103" t="s">
        <v>188</v>
      </c>
      <c r="AA275" s="351"/>
      <c r="AB275" s="96"/>
      <c r="AC275" s="96"/>
      <c r="AD275" s="350" t="str">
        <f>IF(Table25781014[[#This Row],[End Completed Section (km)]]="","",Table25781014[[#This Row],[End Completed Section (km)]]-Table25781014[[#This Row],[Start Completed Section (km)]])</f>
        <v/>
      </c>
      <c r="AE275" s="72"/>
      <c r="AF275"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275" s="229" t="str">
        <f>IF(Table25781014[[#This Row],[Planned Date]]="","",TEXT(Table25781014[[#This Row],[Planned Date]],"mmm"))</f>
        <v>21/22</v>
      </c>
      <c r="AH275" s="252" t="e">
        <f>IF(Table25781014[[#This Row],[Month]]="","",VLOOKUP(Table25781014[[#This Row],[Month]],List!$B$2:$C$13,2,FALSE))</f>
        <v>#N/A</v>
      </c>
    </row>
    <row r="276" spans="1:34" s="56" customFormat="1" ht="38.25" x14ac:dyDescent="0.2">
      <c r="A276" s="98" t="s">
        <v>116</v>
      </c>
      <c r="B276" s="305"/>
      <c r="C276" s="67" t="s">
        <v>164</v>
      </c>
      <c r="D276" s="99" t="s">
        <v>24</v>
      </c>
      <c r="E276" s="100" t="str">
        <f>IF(Table25781014[[#This Row],[Line Section]]="","",VLOOKUP(Table25781014[[#This Row],[Line Section]],Reference!$A$2:$B$47,2,FALSE))</f>
        <v>C047</v>
      </c>
      <c r="F276" s="157"/>
      <c r="G276" s="440"/>
      <c r="H276" s="306"/>
      <c r="I276" s="54" t="s">
        <v>94</v>
      </c>
      <c r="J276" s="101">
        <v>32.9</v>
      </c>
      <c r="K276" s="60">
        <v>33.4</v>
      </c>
      <c r="L276" s="102">
        <f>IF(Table25781014[[#This Row],[End
(km)]]="","",Table25781014[[#This Row],[End
(km)]]-Table25781014[[#This Row],[Start
(km)]])</f>
        <v>0.5</v>
      </c>
      <c r="M276" s="61" t="s">
        <v>189</v>
      </c>
      <c r="N276" s="99" t="s">
        <v>112</v>
      </c>
      <c r="O276" s="71" t="s">
        <v>112</v>
      </c>
      <c r="P276" s="64">
        <v>43230</v>
      </c>
      <c r="Q276" s="307">
        <v>43476</v>
      </c>
      <c r="R276" s="57" t="s">
        <v>121</v>
      </c>
      <c r="S276" s="55" t="s">
        <v>121</v>
      </c>
      <c r="T276" s="66" t="s">
        <v>122</v>
      </c>
      <c r="U276" s="308"/>
      <c r="V276" s="312"/>
      <c r="W276" s="67"/>
      <c r="X276" s="107" t="s">
        <v>658</v>
      </c>
      <c r="Y276" s="332"/>
      <c r="Z276" s="103" t="s">
        <v>233</v>
      </c>
      <c r="AA276" s="320"/>
      <c r="AB276" s="96"/>
      <c r="AC276" s="96"/>
      <c r="AD276" s="314" t="str">
        <f>IF(Table25781014[[#This Row],[End Completed Section (km)]]="","",Table25781014[[#This Row],[End Completed Section (km)]]-Table25781014[[#This Row],[Start Completed Section (km)]])</f>
        <v/>
      </c>
      <c r="AE276" s="72"/>
      <c r="AF27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76" s="229" t="str">
        <f>IF(Table25781014[[#This Row],[Planned Date]]="","",TEXT(Table25781014[[#This Row],[Planned Date]],"mmm"))</f>
        <v/>
      </c>
      <c r="AH276" s="252" t="str">
        <f>IF(Table25781014[[#This Row],[Month]]="","",VLOOKUP(Table25781014[[#This Row],[Month]],List!$B$2:$C$13,2,FALSE))</f>
        <v/>
      </c>
    </row>
    <row r="277" spans="1:34" s="56" customFormat="1" ht="25.5" x14ac:dyDescent="0.2">
      <c r="A277" s="98" t="s">
        <v>118</v>
      </c>
      <c r="B277" s="305"/>
      <c r="C277" s="67" t="s">
        <v>164</v>
      </c>
      <c r="D277" s="99" t="s">
        <v>24</v>
      </c>
      <c r="E277" s="100" t="str">
        <f>IF(Table25781014[[#This Row],[Line Section]]="","",VLOOKUP(Table25781014[[#This Row],[Line Section]],Reference!$A$2:$B$47,2,FALSE))</f>
        <v>C047</v>
      </c>
      <c r="F277" s="157"/>
      <c r="G277" s="440"/>
      <c r="H277" s="306"/>
      <c r="I277" s="54" t="s">
        <v>94</v>
      </c>
      <c r="J277" s="101">
        <v>33.5</v>
      </c>
      <c r="K277" s="60">
        <v>33.9</v>
      </c>
      <c r="L277" s="102">
        <f>IF(Table25781014[[#This Row],[End
(km)]]="","",Table25781014[[#This Row],[End
(km)]]-Table25781014[[#This Row],[Start
(km)]])</f>
        <v>0.39999999999999858</v>
      </c>
      <c r="M277" s="61" t="s">
        <v>189</v>
      </c>
      <c r="N277" s="99" t="s">
        <v>111</v>
      </c>
      <c r="O277" s="71" t="s">
        <v>110</v>
      </c>
      <c r="P277" s="64">
        <v>43230</v>
      </c>
      <c r="Q277" s="307">
        <v>43476</v>
      </c>
      <c r="R277" s="57" t="s">
        <v>121</v>
      </c>
      <c r="S277" s="55" t="s">
        <v>121</v>
      </c>
      <c r="T277" s="66" t="s">
        <v>122</v>
      </c>
      <c r="U277" s="308"/>
      <c r="V277" s="312"/>
      <c r="W277" s="67"/>
      <c r="X277" s="322" t="s">
        <v>659</v>
      </c>
      <c r="Y277" s="332"/>
      <c r="Z277" s="103" t="s">
        <v>139</v>
      </c>
      <c r="AA277" s="320"/>
      <c r="AB277" s="96"/>
      <c r="AC277" s="96"/>
      <c r="AD277" s="314" t="str">
        <f>IF(Table25781014[[#This Row],[End Completed Section (km)]]="","",Table25781014[[#This Row],[End Completed Section (km)]]-Table25781014[[#This Row],[Start Completed Section (km)]])</f>
        <v/>
      </c>
      <c r="AE277" s="72"/>
      <c r="AF27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77" s="229" t="str">
        <f>IF(Table25781014[[#This Row],[Planned Date]]="","",TEXT(Table25781014[[#This Row],[Planned Date]],"mmm"))</f>
        <v/>
      </c>
      <c r="AH277" s="252" t="str">
        <f>IF(Table25781014[[#This Row],[Month]]="","",VLOOKUP(Table25781014[[#This Row],[Month]],List!$B$2:$C$13,2,FALSE))</f>
        <v/>
      </c>
    </row>
    <row r="278" spans="1:34" ht="25.5" x14ac:dyDescent="0.2">
      <c r="A278" s="98" t="s">
        <v>118</v>
      </c>
      <c r="B278" s="305"/>
      <c r="C278" s="67" t="s">
        <v>164</v>
      </c>
      <c r="D278" s="99" t="s">
        <v>24</v>
      </c>
      <c r="E278" s="100" t="str">
        <f>IF(Table25781014[[#This Row],[Line Section]]="","",VLOOKUP(Table25781014[[#This Row],[Line Section]],Reference!$A$2:$B$47,2,FALSE))</f>
        <v>C047</v>
      </c>
      <c r="F278" s="157"/>
      <c r="G278" s="440"/>
      <c r="H278" s="306"/>
      <c r="I278" s="54" t="s">
        <v>94</v>
      </c>
      <c r="J278" s="101">
        <v>34.4</v>
      </c>
      <c r="K278" s="60">
        <v>34.47</v>
      </c>
      <c r="L278" s="102">
        <f>IF(Table25781014[[#This Row],[End
(km)]]="","",Table25781014[[#This Row],[End
(km)]]-Table25781014[[#This Row],[Start
(km)]])</f>
        <v>7.0000000000000284E-2</v>
      </c>
      <c r="M278" s="61" t="s">
        <v>189</v>
      </c>
      <c r="N278" s="99" t="s">
        <v>113</v>
      </c>
      <c r="O278" s="71" t="s">
        <v>113</v>
      </c>
      <c r="P278" s="64">
        <v>43230</v>
      </c>
      <c r="Q278" s="307">
        <v>43476</v>
      </c>
      <c r="R278" s="57" t="s">
        <v>121</v>
      </c>
      <c r="S278" s="55" t="s">
        <v>121</v>
      </c>
      <c r="T278" s="66" t="s">
        <v>122</v>
      </c>
      <c r="U278" s="308"/>
      <c r="V278" s="309"/>
      <c r="W278" s="67"/>
      <c r="X278" s="107" t="s">
        <v>481</v>
      </c>
      <c r="Y278" s="332"/>
      <c r="Z278" s="103" t="s">
        <v>122</v>
      </c>
      <c r="AA278" s="320"/>
      <c r="AB278" s="96"/>
      <c r="AC278" s="96"/>
      <c r="AD278" s="314" t="str">
        <f>IF(Table25781014[[#This Row],[End Completed Section (km)]]="","",Table25781014[[#This Row],[End Completed Section (km)]]-Table25781014[[#This Row],[Start Completed Section (km)]])</f>
        <v/>
      </c>
      <c r="AE278" s="72"/>
      <c r="AF27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78" s="229" t="str">
        <f>IF(Table25781014[[#This Row],[Planned Date]]="","",TEXT(Table25781014[[#This Row],[Planned Date]],"mmm"))</f>
        <v/>
      </c>
      <c r="AH278" s="252" t="str">
        <f>IF(Table25781014[[#This Row],[Month]]="","",VLOOKUP(Table25781014[[#This Row],[Month]],List!$B$2:$C$13,2,FALSE))</f>
        <v/>
      </c>
    </row>
    <row r="279" spans="1:34" s="56" customFormat="1" ht="51" x14ac:dyDescent="0.2">
      <c r="A279" s="98" t="s">
        <v>116</v>
      </c>
      <c r="B279" s="305"/>
      <c r="C279" s="67" t="s">
        <v>164</v>
      </c>
      <c r="D279" s="99" t="s">
        <v>24</v>
      </c>
      <c r="E279" s="100" t="str">
        <f>IF(Table25781014[[#This Row],[Line Section]]="","",VLOOKUP(Table25781014[[#This Row],[Line Section]],Reference!$A$2:$B$47,2,FALSE))</f>
        <v>C047</v>
      </c>
      <c r="F279" s="157"/>
      <c r="G279" s="440"/>
      <c r="H279" s="306"/>
      <c r="I279" s="54" t="s">
        <v>93</v>
      </c>
      <c r="J279" s="101">
        <v>34.9</v>
      </c>
      <c r="K279" s="60">
        <v>35.200000000000003</v>
      </c>
      <c r="L279" s="102">
        <f>IF(Table25781014[[#This Row],[End
(km)]]="","",Table25781014[[#This Row],[End
(km)]]-Table25781014[[#This Row],[Start
(km)]])</f>
        <v>0.30000000000000426</v>
      </c>
      <c r="M279" s="61" t="s">
        <v>126</v>
      </c>
      <c r="N279" s="99" t="s">
        <v>113</v>
      </c>
      <c r="O279" s="71"/>
      <c r="P279" s="64">
        <v>43230</v>
      </c>
      <c r="Q279" s="307">
        <v>43318</v>
      </c>
      <c r="R279" s="57" t="s">
        <v>121</v>
      </c>
      <c r="S279" s="106"/>
      <c r="T279" s="66" t="s">
        <v>122</v>
      </c>
      <c r="U279" s="308"/>
      <c r="V279" s="309"/>
      <c r="W279" s="67"/>
      <c r="X279" s="107" t="s">
        <v>226</v>
      </c>
      <c r="Y279" s="327" t="s">
        <v>225</v>
      </c>
      <c r="Z279" s="103" t="s">
        <v>139</v>
      </c>
      <c r="AA279" s="320"/>
      <c r="AB279" s="96"/>
      <c r="AC279" s="96"/>
      <c r="AD279" s="310" t="str">
        <f>IF(Table25781014[[#This Row],[End Completed Section (km)]]="","",Table25781014[[#This Row],[End Completed Section (km)]]-Table25781014[[#This Row],[Start Completed Section (km)]])</f>
        <v/>
      </c>
      <c r="AE279" s="72"/>
      <c r="AF27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79" s="229" t="str">
        <f>IF(Table25781014[[#This Row],[Planned Date]]="","",TEXT(Table25781014[[#This Row],[Planned Date]],"mmm"))</f>
        <v/>
      </c>
      <c r="AH279" s="252" t="str">
        <f>IF(Table25781014[[#This Row],[Month]]="","",VLOOKUP(Table25781014[[#This Row],[Month]],List!$B$2:$C$13,2,FALSE))</f>
        <v/>
      </c>
    </row>
    <row r="280" spans="1:34" s="56" customFormat="1" ht="63.75" x14ac:dyDescent="0.2">
      <c r="A280" s="98" t="s">
        <v>118</v>
      </c>
      <c r="B280" s="305"/>
      <c r="C280" s="67" t="s">
        <v>164</v>
      </c>
      <c r="D280" s="99" t="s">
        <v>24</v>
      </c>
      <c r="E280" s="100" t="str">
        <f>IF(Table25781014[[#This Row],[Line Section]]="","",VLOOKUP(Table25781014[[#This Row],[Line Section]],Reference!$A$2:$B$47,2,FALSE))</f>
        <v>C047</v>
      </c>
      <c r="F280" s="157"/>
      <c r="G280" s="440"/>
      <c r="H280" s="306"/>
      <c r="I280" s="54" t="s">
        <v>94</v>
      </c>
      <c r="J280" s="101">
        <v>35.6</v>
      </c>
      <c r="K280" s="60">
        <v>36.1</v>
      </c>
      <c r="L280" s="102">
        <f>IF(Table25781014[[#This Row],[End
(km)]]="","",Table25781014[[#This Row],[End
(km)]]-Table25781014[[#This Row],[Start
(km)]])</f>
        <v>0.5</v>
      </c>
      <c r="M280" s="61" t="s">
        <v>455</v>
      </c>
      <c r="N280" s="99" t="s">
        <v>111</v>
      </c>
      <c r="O280" s="71"/>
      <c r="P280" s="64">
        <v>43230</v>
      </c>
      <c r="Q280" s="307">
        <v>43476</v>
      </c>
      <c r="R280" s="57" t="s">
        <v>121</v>
      </c>
      <c r="S280" s="55"/>
      <c r="T280" s="66" t="s">
        <v>122</v>
      </c>
      <c r="U280" s="308"/>
      <c r="V280" s="309"/>
      <c r="W280" s="67"/>
      <c r="X280" s="107" t="s">
        <v>660</v>
      </c>
      <c r="Y280" s="326"/>
      <c r="Z280" s="103" t="s">
        <v>139</v>
      </c>
      <c r="AA280" s="320"/>
      <c r="AB280" s="96"/>
      <c r="AC280" s="96"/>
      <c r="AD280" s="310" t="str">
        <f>IF(Table25781014[[#This Row],[End Completed Section (km)]]="","",Table25781014[[#This Row],[End Completed Section (km)]]-Table25781014[[#This Row],[Start Completed Section (km)]])</f>
        <v/>
      </c>
      <c r="AE280" s="72"/>
      <c r="AF28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80" s="229" t="str">
        <f>IF(Table25781014[[#This Row],[Planned Date]]="","",TEXT(Table25781014[[#This Row],[Planned Date]],"mmm"))</f>
        <v/>
      </c>
      <c r="AH280" s="252" t="str">
        <f>IF(Table25781014[[#This Row],[Month]]="","",VLOOKUP(Table25781014[[#This Row],[Month]],List!$B$2:$C$13,2,FALSE))</f>
        <v/>
      </c>
    </row>
    <row r="281" spans="1:34" s="56" customFormat="1" ht="51" x14ac:dyDescent="0.2">
      <c r="A281" s="98" t="s">
        <v>118</v>
      </c>
      <c r="B281" s="305">
        <v>14</v>
      </c>
      <c r="C281" s="67" t="s">
        <v>164</v>
      </c>
      <c r="D281" s="99" t="s">
        <v>24</v>
      </c>
      <c r="E281" s="100" t="str">
        <f>IF(Table25781014[[#This Row],[Line Section]]="","",VLOOKUP(Table25781014[[#This Row],[Line Section]],Reference!$A$2:$B$47,2,FALSE))</f>
        <v>C047</v>
      </c>
      <c r="F281" s="157">
        <v>44213</v>
      </c>
      <c r="G281" s="440"/>
      <c r="H281" s="247" t="s">
        <v>534</v>
      </c>
      <c r="I281" s="54" t="s">
        <v>93</v>
      </c>
      <c r="J281" s="101">
        <v>37.9</v>
      </c>
      <c r="K281" s="60">
        <v>38.130000000000003</v>
      </c>
      <c r="L281" s="102">
        <f>IF(Table25781014[[#This Row],[End
(km)]]="","",Table25781014[[#This Row],[End
(km)]]-Table25781014[[#This Row],[Start
(km)]])</f>
        <v>0.23000000000000398</v>
      </c>
      <c r="M281" s="61" t="s">
        <v>189</v>
      </c>
      <c r="N281" s="99" t="s">
        <v>113</v>
      </c>
      <c r="O281" s="71" t="s">
        <v>113</v>
      </c>
      <c r="P281" s="64">
        <v>43230</v>
      </c>
      <c r="Q281" s="307">
        <v>43474</v>
      </c>
      <c r="R281" s="57" t="s">
        <v>121</v>
      </c>
      <c r="S281" s="106"/>
      <c r="T281" s="66"/>
      <c r="U281" s="308"/>
      <c r="V281" s="309"/>
      <c r="W281" s="67" t="s">
        <v>231</v>
      </c>
      <c r="X281" s="107" t="s">
        <v>775</v>
      </c>
      <c r="Y281" s="327" t="s">
        <v>232</v>
      </c>
      <c r="Z281" s="103" t="s">
        <v>122</v>
      </c>
      <c r="AA281" s="320"/>
      <c r="AB281" s="96"/>
      <c r="AC281" s="96"/>
      <c r="AD281" s="310" t="str">
        <f>IF(Table25781014[[#This Row],[End Completed Section (km)]]="","",Table25781014[[#This Row],[End Completed Section (km)]]-Table25781014[[#This Row],[Start Completed Section (km)]])</f>
        <v/>
      </c>
      <c r="AE281" s="72"/>
      <c r="AF28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281" s="229" t="str">
        <f>IF(Table25781014[[#This Row],[Planned Date]]="","",TEXT(Table25781014[[#This Row],[Planned Date]],"mmm"))</f>
        <v>Jan</v>
      </c>
      <c r="AH281" s="252">
        <f>IF(Table25781014[[#This Row],[Month]]="","",VLOOKUP(Table25781014[[#This Row],[Month]],List!$B$2:$C$13,2,FALSE))</f>
        <v>7</v>
      </c>
    </row>
    <row r="282" spans="1:34" s="56" customFormat="1" ht="25.5" x14ac:dyDescent="0.2">
      <c r="A282" s="98" t="s">
        <v>116</v>
      </c>
      <c r="B282" s="305"/>
      <c r="C282" s="67" t="s">
        <v>164</v>
      </c>
      <c r="D282" s="59" t="s">
        <v>27</v>
      </c>
      <c r="E282" s="100" t="str">
        <f>IF(Table25781014[[#This Row],[Line Section]]="","",VLOOKUP(Table25781014[[#This Row],[Line Section]],Reference!$A$2:$B$47,2,FALSE))</f>
        <v>C092</v>
      </c>
      <c r="F282" s="157"/>
      <c r="G282" s="440"/>
      <c r="H282" s="306"/>
      <c r="I282" s="54" t="s">
        <v>94</v>
      </c>
      <c r="J282" s="60">
        <v>38</v>
      </c>
      <c r="K282" s="60">
        <v>38.4</v>
      </c>
      <c r="L282" s="102">
        <f>IF(Table25781014[[#This Row],[End
(km)]]="","",Table25781014[[#This Row],[End
(km)]]-Table25781014[[#This Row],[Start
(km)]])</f>
        <v>0.39999999999999858</v>
      </c>
      <c r="M282" s="61" t="s">
        <v>126</v>
      </c>
      <c r="N282" s="59" t="s">
        <v>113</v>
      </c>
      <c r="O282" s="295"/>
      <c r="P282" s="64">
        <v>43230</v>
      </c>
      <c r="Q282" s="307">
        <v>43476</v>
      </c>
      <c r="R282" s="57"/>
      <c r="S282" s="55"/>
      <c r="T282" s="66" t="s">
        <v>121</v>
      </c>
      <c r="U282" s="308"/>
      <c r="V282" s="309"/>
      <c r="W282" s="67"/>
      <c r="X282" s="77" t="s">
        <v>427</v>
      </c>
      <c r="Y282" s="326"/>
      <c r="Z282" s="80" t="s">
        <v>233</v>
      </c>
      <c r="AA282" s="323"/>
      <c r="AB282" s="96"/>
      <c r="AC282" s="96"/>
      <c r="AD282" s="310" t="str">
        <f>IF(Table25781014[[#This Row],[End Completed Section (km)]]="","",Table25781014[[#This Row],[End Completed Section (km)]]-Table25781014[[#This Row],[Start Completed Section (km)]])</f>
        <v/>
      </c>
      <c r="AE282" s="72"/>
      <c r="AF28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82" s="229" t="str">
        <f>IF(Table25781014[[#This Row],[Planned Date]]="","",TEXT(Table25781014[[#This Row],[Planned Date]],"mmm"))</f>
        <v/>
      </c>
      <c r="AH282" s="252" t="str">
        <f>IF(Table25781014[[#This Row],[Month]]="","",VLOOKUP(Table25781014[[#This Row],[Month]],List!$B$2:$C$13,2,FALSE))</f>
        <v/>
      </c>
    </row>
    <row r="283" spans="1:34" s="56" customFormat="1" ht="38.25" x14ac:dyDescent="0.2">
      <c r="A283" s="98" t="s">
        <v>116</v>
      </c>
      <c r="B283" s="80">
        <v>7</v>
      </c>
      <c r="C283" s="67" t="s">
        <v>164</v>
      </c>
      <c r="D283" s="99" t="s">
        <v>24</v>
      </c>
      <c r="E283" s="100" t="str">
        <f>IF(Table25781014[[#This Row],[Line Section]]="","",VLOOKUP(Table25781014[[#This Row],[Line Section]],Reference!$A$2:$B$47,2,FALSE))</f>
        <v>C047</v>
      </c>
      <c r="F283" s="157">
        <v>43961</v>
      </c>
      <c r="G283" s="440"/>
      <c r="H283" s="247" t="s">
        <v>534</v>
      </c>
      <c r="I283" s="54" t="s">
        <v>94</v>
      </c>
      <c r="J283" s="101">
        <v>38.130000000000003</v>
      </c>
      <c r="K283" s="60">
        <v>38.229999999999997</v>
      </c>
      <c r="L283" s="102">
        <f>IF(Table25781014[[#This Row],[End
(km)]]="","",Table25781014[[#This Row],[End
(km)]]-Table25781014[[#This Row],[Start
(km)]])</f>
        <v>9.9999999999994316E-2</v>
      </c>
      <c r="M283" s="61" t="s">
        <v>146</v>
      </c>
      <c r="N283" s="99"/>
      <c r="O283" s="71" t="s">
        <v>113</v>
      </c>
      <c r="P283" s="64">
        <v>43497</v>
      </c>
      <c r="Q283" s="71"/>
      <c r="R283" s="57" t="s">
        <v>121</v>
      </c>
      <c r="S283" s="55"/>
      <c r="T283" s="66"/>
      <c r="U283" s="66"/>
      <c r="V283" s="269"/>
      <c r="W283" s="67"/>
      <c r="X283" s="107" t="s">
        <v>774</v>
      </c>
      <c r="Y283" s="46"/>
      <c r="Z283" s="103" t="s">
        <v>122</v>
      </c>
      <c r="AA283" s="280"/>
      <c r="AB283" s="96"/>
      <c r="AC283" s="96"/>
      <c r="AD283" s="227" t="str">
        <f>IF(Table25781014[[#This Row],[End Completed Section (km)]]="","",Table25781014[[#This Row],[End Completed Section (km)]]-Table25781014[[#This Row],[Start Completed Section (km)]])</f>
        <v/>
      </c>
      <c r="AE283" s="72"/>
      <c r="AF28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283" s="229" t="str">
        <f>IF(Table25781014[[#This Row],[Planned Date]]="","",TEXT(Table25781014[[#This Row],[Planned Date]],"mmm"))</f>
        <v>May</v>
      </c>
      <c r="AH283" s="252">
        <f>IF(Table25781014[[#This Row],[Month]]="","",VLOOKUP(Table25781014[[#This Row],[Month]],List!$B$2:$C$13,2,FALSE))</f>
        <v>11</v>
      </c>
    </row>
    <row r="284" spans="1:34" s="56" customFormat="1" ht="25.5" x14ac:dyDescent="0.2">
      <c r="A284" s="98" t="s">
        <v>117</v>
      </c>
      <c r="B284" s="305"/>
      <c r="C284" s="67" t="s">
        <v>164</v>
      </c>
      <c r="D284" s="59" t="s">
        <v>27</v>
      </c>
      <c r="E284" s="100" t="str">
        <f>IF(Table25781014[[#This Row],[Line Section]]="","",VLOOKUP(Table25781014[[#This Row],[Line Section]],Reference!$A$2:$B$47,2,FALSE))</f>
        <v>C092</v>
      </c>
      <c r="F284" s="157"/>
      <c r="G284" s="440"/>
      <c r="H284" s="306"/>
      <c r="I284" s="54" t="s">
        <v>94</v>
      </c>
      <c r="J284" s="60">
        <v>39.200000000000003</v>
      </c>
      <c r="K284" s="60">
        <v>39.4</v>
      </c>
      <c r="L284" s="102">
        <f>IF(Table25781014[[#This Row],[End
(km)]]="","",Table25781014[[#This Row],[End
(km)]]-Table25781014[[#This Row],[Start
(km)]])</f>
        <v>0.19999999999999574</v>
      </c>
      <c r="M284" s="61" t="s">
        <v>126</v>
      </c>
      <c r="N284" s="59" t="s">
        <v>113</v>
      </c>
      <c r="O284" s="295" t="s">
        <v>113</v>
      </c>
      <c r="P284" s="64">
        <v>43230</v>
      </c>
      <c r="Q284" s="307">
        <v>43476</v>
      </c>
      <c r="R284" s="57"/>
      <c r="S284" s="55"/>
      <c r="T284" s="66"/>
      <c r="U284" s="308"/>
      <c r="V284" s="309"/>
      <c r="W284" s="156" t="s">
        <v>303</v>
      </c>
      <c r="X284" s="77" t="s">
        <v>661</v>
      </c>
      <c r="Y284" s="326"/>
      <c r="Z284" s="80" t="s">
        <v>139</v>
      </c>
      <c r="AA284" s="323"/>
      <c r="AB284" s="96"/>
      <c r="AC284" s="96"/>
      <c r="AD284" s="310" t="str">
        <f>IF(Table25781014[[#This Row],[End Completed Section (km)]]="","",Table25781014[[#This Row],[End Completed Section (km)]]-Table25781014[[#This Row],[Start Completed Section (km)]])</f>
        <v/>
      </c>
      <c r="AE284" s="72"/>
      <c r="AF28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84" s="229" t="str">
        <f>IF(Table25781014[[#This Row],[Planned Date]]="","",TEXT(Table25781014[[#This Row],[Planned Date]],"mmm"))</f>
        <v/>
      </c>
      <c r="AH284" s="252" t="str">
        <f>IF(Table25781014[[#This Row],[Month]]="","",VLOOKUP(Table25781014[[#This Row],[Month]],List!$B$2:$C$13,2,FALSE))</f>
        <v/>
      </c>
    </row>
    <row r="285" spans="1:34" s="56" customFormat="1" ht="25.5" x14ac:dyDescent="0.2">
      <c r="A285" s="98" t="s">
        <v>118</v>
      </c>
      <c r="B285" s="305"/>
      <c r="C285" s="67" t="s">
        <v>164</v>
      </c>
      <c r="D285" s="59" t="s">
        <v>27</v>
      </c>
      <c r="E285" s="100" t="str">
        <f>IF(Table25781014[[#This Row],[Line Section]]="","",VLOOKUP(Table25781014[[#This Row],[Line Section]],Reference!$A$2:$B$47,2,FALSE))</f>
        <v>C092</v>
      </c>
      <c r="F285" s="157"/>
      <c r="G285" s="440"/>
      <c r="H285" s="306"/>
      <c r="I285" s="54" t="s">
        <v>93</v>
      </c>
      <c r="J285" s="60">
        <v>39.4</v>
      </c>
      <c r="K285" s="60">
        <v>39.799999999999997</v>
      </c>
      <c r="L285" s="53">
        <f>IF(Table25781014[[#This Row],[End
(km)]]="","",Table25781014[[#This Row],[End
(km)]]-Table25781014[[#This Row],[Start
(km)]])</f>
        <v>0.39999999999999858</v>
      </c>
      <c r="M285" s="61" t="s">
        <v>179</v>
      </c>
      <c r="N285" s="59" t="s">
        <v>113</v>
      </c>
      <c r="O285" s="295" t="s">
        <v>113</v>
      </c>
      <c r="P285" s="64">
        <v>43336</v>
      </c>
      <c r="Q285" s="307">
        <v>43474</v>
      </c>
      <c r="R285" s="57"/>
      <c r="S285" s="55"/>
      <c r="T285" s="66"/>
      <c r="U285" s="308"/>
      <c r="V285" s="312"/>
      <c r="W285" s="67"/>
      <c r="X285" s="77" t="s">
        <v>639</v>
      </c>
      <c r="Y285" s="326"/>
      <c r="Z285" s="80" t="s">
        <v>122</v>
      </c>
      <c r="AA285" s="323"/>
      <c r="AB285" s="96"/>
      <c r="AC285" s="96"/>
      <c r="AD285" s="314" t="str">
        <f>IF(Table25781014[[#This Row],[End Completed Section (km)]]="","",Table25781014[[#This Row],[End Completed Section (km)]]-Table25781014[[#This Row],[Start Completed Section (km)]])</f>
        <v/>
      </c>
      <c r="AE285" s="72"/>
      <c r="AF28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85" s="229" t="str">
        <f>IF(Table25781014[[#This Row],[Planned Date]]="","",TEXT(Table25781014[[#This Row],[Planned Date]],"mmm"))</f>
        <v/>
      </c>
      <c r="AH285" s="252" t="str">
        <f>IF(Table25781014[[#This Row],[Month]]="","",VLOOKUP(Table25781014[[#This Row],[Month]],List!$B$2:$C$13,2,FALSE))</f>
        <v/>
      </c>
    </row>
    <row r="286" spans="1:34" s="56" customFormat="1" ht="25.5" x14ac:dyDescent="0.2">
      <c r="A286" s="98" t="s">
        <v>116</v>
      </c>
      <c r="B286" s="305"/>
      <c r="C286" s="67" t="s">
        <v>164</v>
      </c>
      <c r="D286" s="59" t="s">
        <v>27</v>
      </c>
      <c r="E286" s="100" t="str">
        <f>IF(Table25781014[[#This Row],[Line Section]]="","",VLOOKUP(Table25781014[[#This Row],[Line Section]],Reference!$A$2:$B$47,2,FALSE))</f>
        <v>C092</v>
      </c>
      <c r="F286" s="157"/>
      <c r="G286" s="440"/>
      <c r="H286" s="306"/>
      <c r="I286" s="54" t="s">
        <v>94</v>
      </c>
      <c r="J286" s="60">
        <v>40.6</v>
      </c>
      <c r="K286" s="60">
        <v>40.85</v>
      </c>
      <c r="L286" s="102">
        <f>IF(Table25781014[[#This Row],[End
(km)]]="","",Table25781014[[#This Row],[End
(km)]]-Table25781014[[#This Row],[Start
(km)]])</f>
        <v>0.25</v>
      </c>
      <c r="M286" s="61" t="s">
        <v>126</v>
      </c>
      <c r="N286" s="59" t="s">
        <v>113</v>
      </c>
      <c r="O286" s="295"/>
      <c r="P286" s="64">
        <v>43230</v>
      </c>
      <c r="Q286" s="307">
        <v>43250</v>
      </c>
      <c r="R286" s="57"/>
      <c r="S286" s="55"/>
      <c r="T286" s="66" t="s">
        <v>121</v>
      </c>
      <c r="U286" s="308"/>
      <c r="V286" s="312"/>
      <c r="W286" s="67"/>
      <c r="X286" s="77" t="s">
        <v>421</v>
      </c>
      <c r="Y286" s="332"/>
      <c r="Z286" s="80" t="s">
        <v>139</v>
      </c>
      <c r="AA286" s="323"/>
      <c r="AB286" s="96"/>
      <c r="AC286" s="96"/>
      <c r="AD286" s="314" t="str">
        <f>IF(Table25781014[[#This Row],[End Completed Section (km)]]="","",Table25781014[[#This Row],[End Completed Section (km)]]-Table25781014[[#This Row],[Start Completed Section (km)]])</f>
        <v/>
      </c>
      <c r="AE286" s="72"/>
      <c r="AF28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86" s="229" t="str">
        <f>IF(Table25781014[[#This Row],[Planned Date]]="","",TEXT(Table25781014[[#This Row],[Planned Date]],"mmm"))</f>
        <v/>
      </c>
      <c r="AH286" s="252" t="str">
        <f>IF(Table25781014[[#This Row],[Month]]="","",VLOOKUP(Table25781014[[#This Row],[Month]],List!$B$2:$C$13,2,FALSE))</f>
        <v/>
      </c>
    </row>
    <row r="287" spans="1:34" s="56" customFormat="1" ht="25.5" x14ac:dyDescent="0.2">
      <c r="A287" s="98" t="s">
        <v>118</v>
      </c>
      <c r="B287" s="427"/>
      <c r="C287" s="67" t="s">
        <v>164</v>
      </c>
      <c r="D287" s="59" t="s">
        <v>27</v>
      </c>
      <c r="E287" s="100" t="str">
        <f>IF(Table25781014[[#This Row],[Line Section]]="","",VLOOKUP(Table25781014[[#This Row],[Line Section]],Reference!$A$2:$B$47,2,FALSE))</f>
        <v>C092</v>
      </c>
      <c r="F287" s="157"/>
      <c r="G287" s="440"/>
      <c r="H287" s="428"/>
      <c r="I287" s="54" t="s">
        <v>93</v>
      </c>
      <c r="J287" s="60">
        <v>40.700000000000003</v>
      </c>
      <c r="K287" s="60">
        <v>41.7</v>
      </c>
      <c r="L287" s="102">
        <f>IF(Table25781014[[#This Row],[End
(km)]]="","",Table25781014[[#This Row],[End
(km)]]-Table25781014[[#This Row],[Start
(km)]])</f>
        <v>1</v>
      </c>
      <c r="M287" s="61" t="s">
        <v>725</v>
      </c>
      <c r="N287" s="59"/>
      <c r="O287" s="295" t="s">
        <v>113</v>
      </c>
      <c r="P287" s="64">
        <v>43682</v>
      </c>
      <c r="Q287" s="429"/>
      <c r="R287" s="57"/>
      <c r="S287" s="55"/>
      <c r="T287" s="66"/>
      <c r="U287" s="430"/>
      <c r="V287" s="432"/>
      <c r="W287" s="67"/>
      <c r="X287" s="77" t="s">
        <v>851</v>
      </c>
      <c r="Y287" s="473"/>
      <c r="Z287" s="80" t="s">
        <v>122</v>
      </c>
      <c r="AA287" s="431"/>
      <c r="AB287" s="96"/>
      <c r="AC287" s="96"/>
      <c r="AD287" s="433" t="str">
        <f>IF(Table25781014[[#This Row],[End Completed Section (km)]]="","",Table25781014[[#This Row],[End Completed Section (km)]]-Table25781014[[#This Row],[Start Completed Section (km)]])</f>
        <v/>
      </c>
      <c r="AE287" s="72"/>
      <c r="AF28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87" s="229" t="str">
        <f>IF(Table25781014[[#This Row],[Planned Date]]="","",TEXT(Table25781014[[#This Row],[Planned Date]],"mmm"))</f>
        <v/>
      </c>
      <c r="AH287" s="252" t="str">
        <f>IF(Table25781014[[#This Row],[Month]]="","",VLOOKUP(Table25781014[[#This Row],[Month]],List!$B$2:$C$13,2,FALSE))</f>
        <v/>
      </c>
    </row>
    <row r="288" spans="1:34" s="56" customFormat="1" x14ac:dyDescent="0.2">
      <c r="A288" s="98" t="s">
        <v>117</v>
      </c>
      <c r="B288" s="305"/>
      <c r="C288" s="67" t="s">
        <v>164</v>
      </c>
      <c r="D288" s="59" t="s">
        <v>27</v>
      </c>
      <c r="E288" s="100" t="str">
        <f>IF(Table25781014[[#This Row],[Line Section]]="","",VLOOKUP(Table25781014[[#This Row],[Line Section]],Reference!$A$2:$B$47,2,FALSE))</f>
        <v>C092</v>
      </c>
      <c r="F288" s="157"/>
      <c r="G288" s="440"/>
      <c r="H288" s="306"/>
      <c r="I288" s="54" t="s">
        <v>94</v>
      </c>
      <c r="J288" s="60">
        <v>41.1</v>
      </c>
      <c r="K288" s="60">
        <v>41.45</v>
      </c>
      <c r="L288" s="102">
        <f>IF(Table25781014[[#This Row],[End
(km)]]="","",Table25781014[[#This Row],[End
(km)]]-Table25781014[[#This Row],[Start
(km)]])</f>
        <v>0.35000000000000142</v>
      </c>
      <c r="M288" s="61" t="s">
        <v>126</v>
      </c>
      <c r="N288" s="59" t="s">
        <v>113</v>
      </c>
      <c r="O288" s="295" t="s">
        <v>112</v>
      </c>
      <c r="P288" s="64">
        <v>43230</v>
      </c>
      <c r="Q288" s="307">
        <v>43476</v>
      </c>
      <c r="R288" s="57"/>
      <c r="S288" s="55"/>
      <c r="T288" s="66"/>
      <c r="U288" s="308"/>
      <c r="V288" s="312"/>
      <c r="W288" s="67"/>
      <c r="X288" s="77"/>
      <c r="Y288" s="332"/>
      <c r="Z288" s="80" t="s">
        <v>122</v>
      </c>
      <c r="AA288" s="323"/>
      <c r="AB288" s="96"/>
      <c r="AC288" s="96"/>
      <c r="AD288" s="314" t="str">
        <f>IF(Table25781014[[#This Row],[End Completed Section (km)]]="","",Table25781014[[#This Row],[End Completed Section (km)]]-Table25781014[[#This Row],[Start Completed Section (km)]])</f>
        <v/>
      </c>
      <c r="AE288" s="72"/>
      <c r="AF28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88" s="229" t="str">
        <f>IF(Table25781014[[#This Row],[Planned Date]]="","",TEXT(Table25781014[[#This Row],[Planned Date]],"mmm"))</f>
        <v/>
      </c>
      <c r="AH288" s="252" t="str">
        <f>IF(Table25781014[[#This Row],[Month]]="","",VLOOKUP(Table25781014[[#This Row],[Month]],List!$B$2:$C$13,2,FALSE))</f>
        <v/>
      </c>
    </row>
    <row r="289" spans="1:34" s="56" customFormat="1" ht="25.5" x14ac:dyDescent="0.2">
      <c r="A289" s="98" t="s">
        <v>117</v>
      </c>
      <c r="B289" s="305"/>
      <c r="C289" s="67" t="s">
        <v>164</v>
      </c>
      <c r="D289" s="59" t="s">
        <v>27</v>
      </c>
      <c r="E289" s="100" t="str">
        <f>IF(Table25781014[[#This Row],[Line Section]]="","",VLOOKUP(Table25781014[[#This Row],[Line Section]],Reference!$A$2:$B$47,2,FALSE))</f>
        <v>C092</v>
      </c>
      <c r="F289" s="157"/>
      <c r="G289" s="440"/>
      <c r="H289" s="306"/>
      <c r="I289" s="54" t="s">
        <v>94</v>
      </c>
      <c r="J289" s="60">
        <v>41.95</v>
      </c>
      <c r="K289" s="60">
        <v>42.16</v>
      </c>
      <c r="L289" s="102">
        <f>IF(Table25781014[[#This Row],[End
(km)]]="","",Table25781014[[#This Row],[End
(km)]]-Table25781014[[#This Row],[Start
(km)]])</f>
        <v>0.20999999999999375</v>
      </c>
      <c r="M289" s="61" t="s">
        <v>126</v>
      </c>
      <c r="N289" s="59" t="s">
        <v>277</v>
      </c>
      <c r="O289" s="295" t="s">
        <v>113</v>
      </c>
      <c r="P289" s="64">
        <v>43230</v>
      </c>
      <c r="Q289" s="307">
        <v>43476</v>
      </c>
      <c r="R289" s="57" t="s">
        <v>121</v>
      </c>
      <c r="S289" s="55" t="s">
        <v>121</v>
      </c>
      <c r="T289" s="66"/>
      <c r="U289" s="308"/>
      <c r="V289" s="312"/>
      <c r="W289" s="67"/>
      <c r="X289" s="77" t="s">
        <v>771</v>
      </c>
      <c r="Y289" s="332"/>
      <c r="Z289" s="80" t="s">
        <v>233</v>
      </c>
      <c r="AA289" s="323"/>
      <c r="AB289" s="96"/>
      <c r="AC289" s="96"/>
      <c r="AD289" s="314" t="str">
        <f>IF(Table25781014[[#This Row],[End Completed Section (km)]]="","",Table25781014[[#This Row],[End Completed Section (km)]]-Table25781014[[#This Row],[Start Completed Section (km)]])</f>
        <v/>
      </c>
      <c r="AE289" s="72"/>
      <c r="AF28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89" s="229" t="str">
        <f>IF(Table25781014[[#This Row],[Planned Date]]="","",TEXT(Table25781014[[#This Row],[Planned Date]],"mmm"))</f>
        <v/>
      </c>
      <c r="AH289" s="252" t="str">
        <f>IF(Table25781014[[#This Row],[Month]]="","",VLOOKUP(Table25781014[[#This Row],[Month]],List!$B$2:$C$13,2,FALSE))</f>
        <v/>
      </c>
    </row>
    <row r="290" spans="1:34" s="56" customFormat="1" ht="25.5" x14ac:dyDescent="0.2">
      <c r="A290" s="98" t="s">
        <v>117</v>
      </c>
      <c r="B290" s="305"/>
      <c r="C290" s="67" t="s">
        <v>164</v>
      </c>
      <c r="D290" s="59" t="s">
        <v>27</v>
      </c>
      <c r="E290" s="100" t="str">
        <f>IF(Table25781014[[#This Row],[Line Section]]="","",VLOOKUP(Table25781014[[#This Row],[Line Section]],Reference!$A$2:$B$47,2,FALSE))</f>
        <v>C092</v>
      </c>
      <c r="F290" s="157"/>
      <c r="G290" s="440"/>
      <c r="H290" s="306"/>
      <c r="I290" s="54" t="s">
        <v>94</v>
      </c>
      <c r="J290" s="60">
        <v>42.85</v>
      </c>
      <c r="K290" s="60">
        <v>43</v>
      </c>
      <c r="L290" s="102">
        <f>IF(Table25781014[[#This Row],[End
(km)]]="","",Table25781014[[#This Row],[End
(km)]]-Table25781014[[#This Row],[Start
(km)]])</f>
        <v>0.14999999999999858</v>
      </c>
      <c r="M290" s="61" t="s">
        <v>126</v>
      </c>
      <c r="N290" s="59" t="s">
        <v>112</v>
      </c>
      <c r="O290" s="295"/>
      <c r="P290" s="64">
        <v>43230</v>
      </c>
      <c r="Q290" s="307">
        <v>43476</v>
      </c>
      <c r="R290" s="57"/>
      <c r="S290" s="55"/>
      <c r="T290" s="66"/>
      <c r="U290" s="308"/>
      <c r="V290" s="309"/>
      <c r="W290" s="67"/>
      <c r="X290" s="77" t="s">
        <v>662</v>
      </c>
      <c r="Y290" s="326"/>
      <c r="Z290" s="80" t="s">
        <v>139</v>
      </c>
      <c r="AA290" s="323"/>
      <c r="AB290" s="96"/>
      <c r="AC290" s="96"/>
      <c r="AD290" s="310" t="str">
        <f>IF(Table25781014[[#This Row],[End Completed Section (km)]]="","",Table25781014[[#This Row],[End Completed Section (km)]]-Table25781014[[#This Row],[Start Completed Section (km)]])</f>
        <v/>
      </c>
      <c r="AE290" s="72"/>
      <c r="AF29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90" s="229" t="str">
        <f>IF(Table25781014[[#This Row],[Planned Date]]="","",TEXT(Table25781014[[#This Row],[Planned Date]],"mmm"))</f>
        <v/>
      </c>
      <c r="AH290" s="252" t="str">
        <f>IF(Table25781014[[#This Row],[Month]]="","",VLOOKUP(Table25781014[[#This Row],[Month]],List!$B$2:$C$13,2,FALSE))</f>
        <v/>
      </c>
    </row>
    <row r="291" spans="1:34" s="56" customFormat="1" ht="89.25" x14ac:dyDescent="0.2">
      <c r="A291" s="98" t="s">
        <v>116</v>
      </c>
      <c r="B291" s="305">
        <v>13</v>
      </c>
      <c r="C291" s="67" t="s">
        <v>164</v>
      </c>
      <c r="D291" s="59" t="s">
        <v>27</v>
      </c>
      <c r="E291" s="100" t="str">
        <f>IF(Table25781014[[#This Row],[Line Section]]="","",VLOOKUP(Table25781014[[#This Row],[Line Section]],Reference!$A$2:$B$47,2,FALSE))</f>
        <v>C092</v>
      </c>
      <c r="F291" s="157">
        <v>44129</v>
      </c>
      <c r="G291" s="440" t="s">
        <v>430</v>
      </c>
      <c r="H291" s="247" t="s">
        <v>533</v>
      </c>
      <c r="I291" s="54" t="s">
        <v>94</v>
      </c>
      <c r="J291" s="60">
        <v>43.3</v>
      </c>
      <c r="K291" s="60">
        <v>43.75</v>
      </c>
      <c r="L291" s="102">
        <f>IF(Table25781014[[#This Row],[End
(km)]]="","",Table25781014[[#This Row],[End
(km)]]-Table25781014[[#This Row],[Start
(km)]])</f>
        <v>0.45000000000000284</v>
      </c>
      <c r="M291" s="61" t="s">
        <v>126</v>
      </c>
      <c r="N291" s="59" t="s">
        <v>113</v>
      </c>
      <c r="O291" s="295" t="s">
        <v>113</v>
      </c>
      <c r="P291" s="64">
        <v>43230</v>
      </c>
      <c r="Q291" s="307">
        <v>43476</v>
      </c>
      <c r="R291" s="57" t="s">
        <v>121</v>
      </c>
      <c r="S291" s="55" t="s">
        <v>121</v>
      </c>
      <c r="T291" s="66" t="s">
        <v>121</v>
      </c>
      <c r="U291" s="308"/>
      <c r="V291" s="312"/>
      <c r="W291" s="156"/>
      <c r="X291" s="77" t="s">
        <v>791</v>
      </c>
      <c r="Y291" s="332"/>
      <c r="Z291" s="80" t="s">
        <v>122</v>
      </c>
      <c r="AA291" s="323"/>
      <c r="AB291" s="96"/>
      <c r="AC291" s="96"/>
      <c r="AD291" s="314" t="str">
        <f>IF(Table25781014[[#This Row],[End Completed Section (km)]]="","",Table25781014[[#This Row],[End Completed Section (km)]]-Table25781014[[#This Row],[Start Completed Section (km)]])</f>
        <v/>
      </c>
      <c r="AE291" s="72"/>
      <c r="AF29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291" s="229" t="str">
        <f>IF(Table25781014[[#This Row],[Planned Date]]="","",TEXT(Table25781014[[#This Row],[Planned Date]],"mmm"))</f>
        <v>Oct</v>
      </c>
      <c r="AH291" s="252">
        <f>IF(Table25781014[[#This Row],[Month]]="","",VLOOKUP(Table25781014[[#This Row],[Month]],List!$B$2:$C$13,2,FALSE))</f>
        <v>4</v>
      </c>
    </row>
    <row r="292" spans="1:34" s="56" customFormat="1" ht="63.75" x14ac:dyDescent="0.2">
      <c r="A292" s="98" t="s">
        <v>116</v>
      </c>
      <c r="B292" s="305"/>
      <c r="C292" s="67" t="s">
        <v>164</v>
      </c>
      <c r="D292" s="59" t="s">
        <v>27</v>
      </c>
      <c r="E292" s="100" t="str">
        <f>IF(Table25781014[[#This Row],[Line Section]]="","",VLOOKUP(Table25781014[[#This Row],[Line Section]],Reference!$A$2:$B$47,2,FALSE))</f>
        <v>C092</v>
      </c>
      <c r="F292" s="157"/>
      <c r="G292" s="440"/>
      <c r="H292" s="306"/>
      <c r="I292" s="54" t="s">
        <v>93</v>
      </c>
      <c r="J292" s="60">
        <v>42.8</v>
      </c>
      <c r="K292" s="60">
        <v>43.66</v>
      </c>
      <c r="L292" s="102">
        <f>IF(Table25781014[[#This Row],[End
(km)]]="","",Table25781014[[#This Row],[End
(km)]]-Table25781014[[#This Row],[Start
(km)]])</f>
        <v>0.85999999999999943</v>
      </c>
      <c r="M292" s="61" t="s">
        <v>189</v>
      </c>
      <c r="N292" s="59"/>
      <c r="O292" s="295" t="s">
        <v>113</v>
      </c>
      <c r="P292" s="64">
        <v>43474</v>
      </c>
      <c r="Q292" s="307">
        <v>43707</v>
      </c>
      <c r="R292" s="57"/>
      <c r="S292" s="55"/>
      <c r="T292" s="66"/>
      <c r="U292" s="308"/>
      <c r="V292" s="312"/>
      <c r="W292" s="67"/>
      <c r="X292" s="77" t="s">
        <v>865</v>
      </c>
      <c r="Y292" s="332"/>
      <c r="Z292" s="80" t="s">
        <v>188</v>
      </c>
      <c r="AA292" s="323"/>
      <c r="AB292" s="96"/>
      <c r="AC292" s="96"/>
      <c r="AD292" s="314" t="str">
        <f>IF(Table25781014[[#This Row],[End Completed Section (km)]]="","",Table25781014[[#This Row],[End Completed Section (km)]]-Table25781014[[#This Row],[Start Completed Section (km)]])</f>
        <v/>
      </c>
      <c r="AE292" s="72"/>
      <c r="AF29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92" s="229" t="str">
        <f>IF(Table25781014[[#This Row],[Planned Date]]="","",TEXT(Table25781014[[#This Row],[Planned Date]],"mmm"))</f>
        <v/>
      </c>
      <c r="AH292" s="252" t="str">
        <f>IF(Table25781014[[#This Row],[Month]]="","",VLOOKUP(Table25781014[[#This Row],[Month]],List!$B$2:$C$13,2,FALSE))</f>
        <v/>
      </c>
    </row>
    <row r="293" spans="1:34" s="56" customFormat="1" ht="25.5" x14ac:dyDescent="0.2">
      <c r="A293" s="98" t="s">
        <v>117</v>
      </c>
      <c r="B293" s="305"/>
      <c r="C293" s="67" t="s">
        <v>164</v>
      </c>
      <c r="D293" s="59" t="s">
        <v>27</v>
      </c>
      <c r="E293" s="100" t="str">
        <f>IF(Table25781014[[#This Row],[Line Section]]="","",VLOOKUP(Table25781014[[#This Row],[Line Section]],Reference!$A$2:$B$47,2,FALSE))</f>
        <v>C092</v>
      </c>
      <c r="F293" s="157"/>
      <c r="G293" s="440"/>
      <c r="H293" s="306"/>
      <c r="I293" s="54" t="s">
        <v>94</v>
      </c>
      <c r="J293" s="60">
        <v>43.85</v>
      </c>
      <c r="K293" s="60">
        <v>43.95</v>
      </c>
      <c r="L293" s="102">
        <f>IF(Table25781014[[#This Row],[End
(km)]]="","",Table25781014[[#This Row],[End
(km)]]-Table25781014[[#This Row],[Start
(km)]])</f>
        <v>0.10000000000000142</v>
      </c>
      <c r="M293" s="61" t="s">
        <v>126</v>
      </c>
      <c r="N293" s="59" t="s">
        <v>112</v>
      </c>
      <c r="O293" s="295" t="s">
        <v>112</v>
      </c>
      <c r="P293" s="64">
        <v>43230</v>
      </c>
      <c r="Q293" s="307">
        <v>43476</v>
      </c>
      <c r="R293" s="57"/>
      <c r="S293" s="55"/>
      <c r="T293" s="66" t="s">
        <v>121</v>
      </c>
      <c r="U293" s="308"/>
      <c r="V293" s="309"/>
      <c r="W293" s="67"/>
      <c r="X293" s="77" t="s">
        <v>428</v>
      </c>
      <c r="Y293" s="326"/>
      <c r="Z293" s="80" t="s">
        <v>122</v>
      </c>
      <c r="AA293" s="323"/>
      <c r="AB293" s="96"/>
      <c r="AC293" s="96"/>
      <c r="AD293" s="310" t="str">
        <f>IF(Table25781014[[#This Row],[End Completed Section (km)]]="","",Table25781014[[#This Row],[End Completed Section (km)]]-Table25781014[[#This Row],[Start Completed Section (km)]])</f>
        <v/>
      </c>
      <c r="AE293" s="72"/>
      <c r="AF29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93" s="229" t="str">
        <f>IF(Table25781014[[#This Row],[Planned Date]]="","",TEXT(Table25781014[[#This Row],[Planned Date]],"mmm"))</f>
        <v/>
      </c>
      <c r="AH293" s="252" t="str">
        <f>IF(Table25781014[[#This Row],[Month]]="","",VLOOKUP(Table25781014[[#This Row],[Month]],List!$B$2:$C$13,2,FALSE))</f>
        <v/>
      </c>
    </row>
    <row r="294" spans="1:34" s="56" customFormat="1" ht="25.5" x14ac:dyDescent="0.2">
      <c r="A294" s="98" t="s">
        <v>116</v>
      </c>
      <c r="B294" s="305"/>
      <c r="C294" s="67" t="s">
        <v>164</v>
      </c>
      <c r="D294" s="59" t="s">
        <v>27</v>
      </c>
      <c r="E294" s="100" t="str">
        <f>IF(Table25781014[[#This Row],[Line Section]]="","",VLOOKUP(Table25781014[[#This Row],[Line Section]],Reference!$A$2:$B$47,2,FALSE))</f>
        <v>C092</v>
      </c>
      <c r="F294" s="157"/>
      <c r="G294" s="440"/>
      <c r="H294" s="306"/>
      <c r="I294" s="54" t="s">
        <v>94</v>
      </c>
      <c r="J294" s="60">
        <v>44</v>
      </c>
      <c r="K294" s="60">
        <v>44.3</v>
      </c>
      <c r="L294" s="102">
        <f>IF(Table25781014[[#This Row],[End
(km)]]="","",Table25781014[[#This Row],[End
(km)]]-Table25781014[[#This Row],[Start
(km)]])</f>
        <v>0.29999999999999716</v>
      </c>
      <c r="M294" s="61" t="s">
        <v>126</v>
      </c>
      <c r="N294" s="59" t="s">
        <v>113</v>
      </c>
      <c r="O294" s="295"/>
      <c r="P294" s="64">
        <v>43230</v>
      </c>
      <c r="Q294" s="307">
        <v>43318</v>
      </c>
      <c r="R294" s="57" t="s">
        <v>121</v>
      </c>
      <c r="S294" s="55"/>
      <c r="T294" s="66" t="s">
        <v>121</v>
      </c>
      <c r="U294" s="308"/>
      <c r="V294" s="312"/>
      <c r="W294" s="67"/>
      <c r="X294" s="77" t="s">
        <v>744</v>
      </c>
      <c r="Y294" s="332"/>
      <c r="Z294" s="80" t="s">
        <v>139</v>
      </c>
      <c r="AA294" s="323"/>
      <c r="AB294" s="96"/>
      <c r="AC294" s="96"/>
      <c r="AD294" s="314" t="str">
        <f>IF(Table25781014[[#This Row],[End Completed Section (km)]]="","",Table25781014[[#This Row],[End Completed Section (km)]]-Table25781014[[#This Row],[Start Completed Section (km)]])</f>
        <v/>
      </c>
      <c r="AE294" s="72"/>
      <c r="AF29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94" s="229" t="str">
        <f>IF(Table25781014[[#This Row],[Planned Date]]="","",TEXT(Table25781014[[#This Row],[Planned Date]],"mmm"))</f>
        <v/>
      </c>
      <c r="AH294" s="252" t="str">
        <f>IF(Table25781014[[#This Row],[Month]]="","",VLOOKUP(Table25781014[[#This Row],[Month]],List!$B$2:$C$13,2,FALSE))</f>
        <v/>
      </c>
    </row>
    <row r="295" spans="1:34" s="56" customFormat="1" ht="140.25" x14ac:dyDescent="0.2">
      <c r="A295" s="98" t="s">
        <v>116</v>
      </c>
      <c r="B295" s="305"/>
      <c r="C295" s="67" t="s">
        <v>164</v>
      </c>
      <c r="D295" s="59" t="s">
        <v>27</v>
      </c>
      <c r="E295" s="100" t="str">
        <f>IF(Table25781014[[#This Row],[Line Section]]="","",VLOOKUP(Table25781014[[#This Row],[Line Section]],Reference!$A$2:$B$47,2,FALSE))</f>
        <v>C092</v>
      </c>
      <c r="F295" s="157">
        <v>43681</v>
      </c>
      <c r="G295" s="440" t="s">
        <v>430</v>
      </c>
      <c r="H295" s="247" t="s">
        <v>533</v>
      </c>
      <c r="I295" s="54" t="s">
        <v>93</v>
      </c>
      <c r="J295" s="60">
        <v>46.4</v>
      </c>
      <c r="K295" s="60">
        <v>47</v>
      </c>
      <c r="L295" s="102">
        <f>IF(Table25781014[[#This Row],[End
(km)]]="","",Table25781014[[#This Row],[End
(km)]]-Table25781014[[#This Row],[Start
(km)]])</f>
        <v>0.60000000000000142</v>
      </c>
      <c r="M295" s="61" t="s">
        <v>189</v>
      </c>
      <c r="N295" s="59" t="s">
        <v>113</v>
      </c>
      <c r="O295" s="295" t="s">
        <v>113</v>
      </c>
      <c r="P295" s="64">
        <v>43522</v>
      </c>
      <c r="Q295" s="71"/>
      <c r="R295" s="57" t="s">
        <v>121</v>
      </c>
      <c r="S295" s="55" t="s">
        <v>121</v>
      </c>
      <c r="T295" s="66"/>
      <c r="U295" s="66" t="s">
        <v>121</v>
      </c>
      <c r="V295" s="269"/>
      <c r="W295" s="67"/>
      <c r="X295" s="77" t="s">
        <v>792</v>
      </c>
      <c r="Y295" s="46"/>
      <c r="Z295" s="80" t="s">
        <v>121</v>
      </c>
      <c r="AA295" s="282"/>
      <c r="AB295" s="96">
        <v>46.4</v>
      </c>
      <c r="AC295" s="96">
        <v>47</v>
      </c>
      <c r="AD295" s="227">
        <f>IF(Table25781014[[#This Row],[End Completed Section (km)]]="","",Table25781014[[#This Row],[End Completed Section (km)]]-Table25781014[[#This Row],[Start Completed Section (km)]])</f>
        <v>0.60000000000000142</v>
      </c>
      <c r="AE295" s="72">
        <v>43681</v>
      </c>
      <c r="AF29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295" s="229" t="str">
        <f>IF(Table25781014[[#This Row],[Planned Date]]="","",TEXT(Table25781014[[#This Row],[Planned Date]],"mmm"))</f>
        <v>Aug</v>
      </c>
      <c r="AH295" s="252">
        <f>IF(Table25781014[[#This Row],[Month]]="","",VLOOKUP(Table25781014[[#This Row],[Month]],List!$B$2:$C$13,2,FALSE))</f>
        <v>2</v>
      </c>
    </row>
    <row r="296" spans="1:34" s="56" customFormat="1" ht="38.25" x14ac:dyDescent="0.2">
      <c r="A296" s="98" t="s">
        <v>116</v>
      </c>
      <c r="B296" s="305"/>
      <c r="C296" s="67" t="s">
        <v>164</v>
      </c>
      <c r="D296" s="59" t="s">
        <v>27</v>
      </c>
      <c r="E296" s="100" t="str">
        <f>IF(Table25781014[[#This Row],[Line Section]]="","",VLOOKUP(Table25781014[[#This Row],[Line Section]],Reference!$A$2:$B$47,2,FALSE))</f>
        <v>C092</v>
      </c>
      <c r="F296" s="157"/>
      <c r="G296" s="440"/>
      <c r="H296" s="306"/>
      <c r="I296" s="54" t="s">
        <v>93</v>
      </c>
      <c r="J296" s="60">
        <v>46.65</v>
      </c>
      <c r="K296" s="60">
        <v>46.85</v>
      </c>
      <c r="L296" s="102">
        <f>IF(Table25781014[[#This Row],[End
(km)]]="","",Table25781014[[#This Row],[End
(km)]]-Table25781014[[#This Row],[Start
(km)]])</f>
        <v>0.20000000000000284</v>
      </c>
      <c r="M296" s="61" t="s">
        <v>189</v>
      </c>
      <c r="N296" s="59"/>
      <c r="O296" s="295"/>
      <c r="P296" s="64"/>
      <c r="Q296" s="307"/>
      <c r="R296" s="57"/>
      <c r="S296" s="55"/>
      <c r="T296" s="66"/>
      <c r="U296" s="308"/>
      <c r="V296" s="312"/>
      <c r="W296" s="67"/>
      <c r="X296" s="77" t="s">
        <v>770</v>
      </c>
      <c r="Y296" s="332"/>
      <c r="Z296" s="80" t="s">
        <v>139</v>
      </c>
      <c r="AA296" s="323"/>
      <c r="AB296" s="96"/>
      <c r="AC296" s="96"/>
      <c r="AD296" s="314" t="str">
        <f>IF(Table25781014[[#This Row],[End Completed Section (km)]]="","",Table25781014[[#This Row],[End Completed Section (km)]]-Table25781014[[#This Row],[Start Completed Section (km)]])</f>
        <v/>
      </c>
      <c r="AE296" s="72"/>
      <c r="AF29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96" s="229" t="str">
        <f>IF(Table25781014[[#This Row],[Planned Date]]="","",TEXT(Table25781014[[#This Row],[Planned Date]],"mmm"))</f>
        <v/>
      </c>
      <c r="AH296" s="252" t="str">
        <f>IF(Table25781014[[#This Row],[Month]]="","",VLOOKUP(Table25781014[[#This Row],[Month]],List!$B$2:$C$13,2,FALSE))</f>
        <v/>
      </c>
    </row>
    <row r="297" spans="1:34" s="56" customFormat="1" ht="25.5" x14ac:dyDescent="0.2">
      <c r="A297" s="98" t="s">
        <v>116</v>
      </c>
      <c r="B297" s="305"/>
      <c r="C297" s="67" t="s">
        <v>164</v>
      </c>
      <c r="D297" s="59" t="s">
        <v>27</v>
      </c>
      <c r="E297" s="100" t="str">
        <f>IF(Table25781014[[#This Row],[Line Section]]="","",VLOOKUP(Table25781014[[#This Row],[Line Section]],Reference!$A$2:$B$47,2,FALSE))</f>
        <v>C092</v>
      </c>
      <c r="F297" s="157"/>
      <c r="G297" s="440"/>
      <c r="H297" s="306"/>
      <c r="I297" s="54" t="s">
        <v>94</v>
      </c>
      <c r="J297" s="60">
        <v>48.1</v>
      </c>
      <c r="K297" s="60">
        <v>48.6</v>
      </c>
      <c r="L297" s="53">
        <f>IF(Table25781014[[#This Row],[End
(km)]]="","",Table25781014[[#This Row],[End
(km)]]-Table25781014[[#This Row],[Start
(km)]])</f>
        <v>0.5</v>
      </c>
      <c r="M297" s="61" t="s">
        <v>189</v>
      </c>
      <c r="N297" s="59"/>
      <c r="O297" s="295" t="s">
        <v>112</v>
      </c>
      <c r="P297" s="64">
        <v>43479</v>
      </c>
      <c r="Q297" s="307"/>
      <c r="R297" s="61"/>
      <c r="S297" s="55"/>
      <c r="T297" s="66"/>
      <c r="U297" s="308"/>
      <c r="V297" s="312"/>
      <c r="W297" s="67"/>
      <c r="X297" s="77" t="s">
        <v>769</v>
      </c>
      <c r="Y297" s="332"/>
      <c r="Z297" s="159" t="s">
        <v>139</v>
      </c>
      <c r="AA297" s="323"/>
      <c r="AB297" s="96"/>
      <c r="AC297" s="96"/>
      <c r="AD297" s="314" t="str">
        <f>IF(Table25781014[[#This Row],[End Completed Section (km)]]="","",Table25781014[[#This Row],[End Completed Section (km)]]-Table25781014[[#This Row],[Start Completed Section (km)]])</f>
        <v/>
      </c>
      <c r="AE297" s="72"/>
      <c r="AF29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97" s="229" t="str">
        <f>IF(Table25781014[[#This Row],[Planned Date]]="","",TEXT(Table25781014[[#This Row],[Planned Date]],"mmm"))</f>
        <v/>
      </c>
      <c r="AH297" s="252" t="str">
        <f>IF(Table25781014[[#This Row],[Month]]="","",VLOOKUP(Table25781014[[#This Row],[Month]],List!$B$2:$C$13,2,FALSE))</f>
        <v/>
      </c>
    </row>
    <row r="298" spans="1:34" s="56" customFormat="1" ht="25.5" x14ac:dyDescent="0.2">
      <c r="A298" s="98" t="s">
        <v>116</v>
      </c>
      <c r="B298" s="305"/>
      <c r="C298" s="67" t="s">
        <v>164</v>
      </c>
      <c r="D298" s="99" t="s">
        <v>27</v>
      </c>
      <c r="E298" s="100" t="str">
        <f>IF(Table25781014[[#This Row],[Line Section]]="","",VLOOKUP(Table25781014[[#This Row],[Line Section]],Reference!$A$2:$B$47,2,FALSE))</f>
        <v>C092</v>
      </c>
      <c r="F298" s="157"/>
      <c r="G298" s="440"/>
      <c r="H298" s="306"/>
      <c r="I298" s="54" t="s">
        <v>93</v>
      </c>
      <c r="J298" s="101">
        <v>48.4</v>
      </c>
      <c r="K298" s="60">
        <v>48.92</v>
      </c>
      <c r="L298" s="102">
        <f>IF(Table25781014[[#This Row],[End
(km)]]="","",Table25781014[[#This Row],[End
(km)]]-Table25781014[[#This Row],[Start
(km)]])</f>
        <v>0.52000000000000313</v>
      </c>
      <c r="M298" s="61" t="s">
        <v>189</v>
      </c>
      <c r="N298" s="99" t="s">
        <v>113</v>
      </c>
      <c r="O298" s="71" t="s">
        <v>113</v>
      </c>
      <c r="P298" s="64">
        <v>43230</v>
      </c>
      <c r="Q298" s="307">
        <v>43474</v>
      </c>
      <c r="R298" s="57"/>
      <c r="S298" s="106"/>
      <c r="T298" s="66" t="s">
        <v>122</v>
      </c>
      <c r="U298" s="308"/>
      <c r="V298" s="312"/>
      <c r="W298" s="67"/>
      <c r="X298" s="107" t="s">
        <v>768</v>
      </c>
      <c r="Y298" s="330" t="str">
        <f>TEXT(Table25781014[[#This Row],[Start
(km)]],"0.000")&amp;" - "&amp;TEXT(Table25781014[[#This Row],[End
(km)]],"0.000")</f>
        <v>48.400 - 48.920</v>
      </c>
      <c r="Z298" s="103" t="s">
        <v>139</v>
      </c>
      <c r="AA298" s="320"/>
      <c r="AB298" s="96"/>
      <c r="AC298" s="96"/>
      <c r="AD298" s="314" t="str">
        <f>IF(Table25781014[[#This Row],[End Completed Section (km)]]="","",Table25781014[[#This Row],[End Completed Section (km)]]-Table25781014[[#This Row],[Start Completed Section (km)]])</f>
        <v/>
      </c>
      <c r="AE298" s="72"/>
      <c r="AF29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98" s="229" t="str">
        <f>IF(Table25781014[[#This Row],[Planned Date]]="","",TEXT(Table25781014[[#This Row],[Planned Date]],"mmm"))</f>
        <v/>
      </c>
      <c r="AH298" s="252" t="str">
        <f>IF(Table25781014[[#This Row],[Month]]="","",VLOOKUP(Table25781014[[#This Row],[Month]],List!$B$2:$C$13,2,FALSE))</f>
        <v/>
      </c>
    </row>
    <row r="299" spans="1:34" s="56" customFormat="1" ht="25.5" x14ac:dyDescent="0.2">
      <c r="A299" s="98" t="s">
        <v>116</v>
      </c>
      <c r="B299" s="305"/>
      <c r="C299" s="67" t="s">
        <v>164</v>
      </c>
      <c r="D299" s="99" t="s">
        <v>27</v>
      </c>
      <c r="E299" s="100" t="str">
        <f>IF(Table25781014[[#This Row],[Line Section]]="","",VLOOKUP(Table25781014[[#This Row],[Line Section]],Reference!$A$2:$B$47,2,FALSE))</f>
        <v>C092</v>
      </c>
      <c r="F299" s="157"/>
      <c r="G299" s="440"/>
      <c r="H299" s="306"/>
      <c r="I299" s="54" t="s">
        <v>93</v>
      </c>
      <c r="J299" s="60">
        <v>49.4</v>
      </c>
      <c r="K299" s="60">
        <v>49.6</v>
      </c>
      <c r="L299" s="53">
        <f>IF(Table25781014[[#This Row],[End
(km)]]="","",Table25781014[[#This Row],[End
(km)]]-Table25781014[[#This Row],[Start
(km)]])</f>
        <v>0.20000000000000284</v>
      </c>
      <c r="M299" s="61" t="s">
        <v>189</v>
      </c>
      <c r="N299" s="59" t="s">
        <v>113</v>
      </c>
      <c r="O299" s="295"/>
      <c r="P299" s="64">
        <v>43479</v>
      </c>
      <c r="Q299" s="307"/>
      <c r="R299" s="57"/>
      <c r="S299" s="55"/>
      <c r="T299" s="66"/>
      <c r="U299" s="308"/>
      <c r="V299" s="309"/>
      <c r="W299" s="67"/>
      <c r="X299" s="77" t="s">
        <v>767</v>
      </c>
      <c r="Y299" s="327"/>
      <c r="Z299" s="80" t="s">
        <v>139</v>
      </c>
      <c r="AA299" s="323"/>
      <c r="AB299" s="96"/>
      <c r="AC299" s="96"/>
      <c r="AD299" s="310" t="str">
        <f>IF(Table25781014[[#This Row],[End Completed Section (km)]]="","",Table25781014[[#This Row],[End Completed Section (km)]]-Table25781014[[#This Row],[Start Completed Section (km)]])</f>
        <v/>
      </c>
      <c r="AE299" s="161"/>
      <c r="AF299" s="253"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299" s="254" t="str">
        <f>IF(Table25781014[[#This Row],[Planned Date]]="","",TEXT(Table25781014[[#This Row],[Planned Date]],"mmm"))</f>
        <v/>
      </c>
      <c r="AH299" s="255" t="str">
        <f>IF(Table25781014[[#This Row],[Month]]="","",VLOOKUP(Table25781014[[#This Row],[Month]],List!$B$2:$C$13,2,FALSE))</f>
        <v/>
      </c>
    </row>
    <row r="300" spans="1:34" s="56" customFormat="1" ht="25.5" x14ac:dyDescent="0.2">
      <c r="A300" s="98" t="s">
        <v>116</v>
      </c>
      <c r="B300" s="305"/>
      <c r="C300" s="67" t="s">
        <v>164</v>
      </c>
      <c r="D300" s="99" t="s">
        <v>27</v>
      </c>
      <c r="E300" s="100" t="str">
        <f>IF(Table25781014[[#This Row],[Line Section]]="","",VLOOKUP(Table25781014[[#This Row],[Line Section]],Reference!$A$2:$B$47,2,FALSE))</f>
        <v>C092</v>
      </c>
      <c r="F300" s="157">
        <v>43849</v>
      </c>
      <c r="G300" s="440" t="s">
        <v>430</v>
      </c>
      <c r="H300" s="247" t="s">
        <v>533</v>
      </c>
      <c r="I300" s="54" t="s">
        <v>93</v>
      </c>
      <c r="J300" s="60">
        <v>50.7</v>
      </c>
      <c r="K300" s="60">
        <v>51.81</v>
      </c>
      <c r="L300" s="53">
        <f>IF(Table25781014[[#This Row],[End
(km)]]="","",Table25781014[[#This Row],[End
(km)]]-Table25781014[[#This Row],[Start
(km)]])</f>
        <v>1.1099999999999994</v>
      </c>
      <c r="M300" s="61" t="s">
        <v>189</v>
      </c>
      <c r="N300" s="59" t="s">
        <v>113</v>
      </c>
      <c r="O300" s="295"/>
      <c r="P300" s="64">
        <v>43572</v>
      </c>
      <c r="Q300" s="352"/>
      <c r="R300" s="57" t="s">
        <v>121</v>
      </c>
      <c r="S300" s="55"/>
      <c r="T300" s="66"/>
      <c r="U300" s="376"/>
      <c r="V300" s="384"/>
      <c r="W300" s="67"/>
      <c r="X300" s="77" t="s">
        <v>794</v>
      </c>
      <c r="Y300" s="386"/>
      <c r="Z300" s="80" t="s">
        <v>122</v>
      </c>
      <c r="AA300" s="370"/>
      <c r="AB300" s="96"/>
      <c r="AC300" s="96"/>
      <c r="AD300" s="393" t="str">
        <f>IF(Table25781014[[#This Row],[End Completed Section (km)]]="","",Table25781014[[#This Row],[End Completed Section (km)]]-Table25781014[[#This Row],[Start Completed Section (km)]])</f>
        <v/>
      </c>
      <c r="AE300" s="72"/>
      <c r="AF30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300" s="229" t="str">
        <f>IF(Table25781014[[#This Row],[Planned Date]]="","",TEXT(Table25781014[[#This Row],[Planned Date]],"mmm"))</f>
        <v>Jan</v>
      </c>
      <c r="AH300" s="252">
        <f>IF(Table25781014[[#This Row],[Month]]="","",VLOOKUP(Table25781014[[#This Row],[Month]],List!$B$2:$C$13,2,FALSE))</f>
        <v>7</v>
      </c>
    </row>
    <row r="301" spans="1:34" s="56" customFormat="1" ht="25.5" x14ac:dyDescent="0.2">
      <c r="A301" s="98" t="s">
        <v>116</v>
      </c>
      <c r="B301" s="305"/>
      <c r="C301" s="67" t="s">
        <v>164</v>
      </c>
      <c r="D301" s="59" t="s">
        <v>27</v>
      </c>
      <c r="E301" s="100" t="str">
        <f>IF(Table25781014[[#This Row],[Line Section]]="","",VLOOKUP(Table25781014[[#This Row],[Line Section]],Reference!$A$2:$B$47,2,FALSE))</f>
        <v>C092</v>
      </c>
      <c r="F301" s="157"/>
      <c r="G301" s="440"/>
      <c r="H301" s="306"/>
      <c r="I301" s="54" t="s">
        <v>94</v>
      </c>
      <c r="J301" s="60">
        <v>51</v>
      </c>
      <c r="K301" s="60">
        <v>51.2</v>
      </c>
      <c r="L301" s="53">
        <f>IF(Table25781014[[#This Row],[End
(km)]]="","",Table25781014[[#This Row],[End
(km)]]-Table25781014[[#This Row],[Start
(km)]])</f>
        <v>0.20000000000000284</v>
      </c>
      <c r="M301" s="61" t="s">
        <v>189</v>
      </c>
      <c r="N301" s="59" t="s">
        <v>113</v>
      </c>
      <c r="O301" s="295" t="s">
        <v>113</v>
      </c>
      <c r="P301" s="64">
        <v>43482</v>
      </c>
      <c r="Q301" s="307"/>
      <c r="R301" s="57"/>
      <c r="S301" s="55"/>
      <c r="T301" s="66"/>
      <c r="U301" s="308"/>
      <c r="V301" s="312"/>
      <c r="W301" s="67"/>
      <c r="X301" s="77" t="s">
        <v>722</v>
      </c>
      <c r="Y301" s="332"/>
      <c r="Z301" s="80" t="s">
        <v>139</v>
      </c>
      <c r="AA301" s="323"/>
      <c r="AB301" s="96"/>
      <c r="AC301" s="96"/>
      <c r="AD301" s="314" t="str">
        <f>IF(Table25781014[[#This Row],[End Completed Section (km)]]="","",Table25781014[[#This Row],[End Completed Section (km)]]-Table25781014[[#This Row],[Start Completed Section (km)]])</f>
        <v/>
      </c>
      <c r="AE301" s="72"/>
      <c r="AF30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01" s="229" t="str">
        <f>IF(Table25781014[[#This Row],[Planned Date]]="","",TEXT(Table25781014[[#This Row],[Planned Date]],"mmm"))</f>
        <v/>
      </c>
      <c r="AH301" s="252" t="str">
        <f>IF(Table25781014[[#This Row],[Month]]="","",VLOOKUP(Table25781014[[#This Row],[Month]],List!$B$2:$C$13,2,FALSE))</f>
        <v/>
      </c>
    </row>
    <row r="302" spans="1:34" s="56" customFormat="1" x14ac:dyDescent="0.2">
      <c r="A302" s="98" t="s">
        <v>116</v>
      </c>
      <c r="B302" s="305"/>
      <c r="C302" s="67" t="s">
        <v>164</v>
      </c>
      <c r="D302" s="59" t="s">
        <v>27</v>
      </c>
      <c r="E302" s="100" t="str">
        <f>IF(Table25781014[[#This Row],[Line Section]]="","",VLOOKUP(Table25781014[[#This Row],[Line Section]],Reference!$A$2:$B$47,2,FALSE))</f>
        <v>C092</v>
      </c>
      <c r="F302" s="157"/>
      <c r="G302" s="440"/>
      <c r="H302" s="306"/>
      <c r="I302" s="54" t="s">
        <v>94</v>
      </c>
      <c r="J302" s="60">
        <v>51.9</v>
      </c>
      <c r="K302" s="60">
        <v>52.2</v>
      </c>
      <c r="L302" s="102">
        <f>IF(Table25781014[[#This Row],[End
(km)]]="","",Table25781014[[#This Row],[End
(km)]]-Table25781014[[#This Row],[Start
(km)]])</f>
        <v>0.30000000000000426</v>
      </c>
      <c r="M302" s="61" t="s">
        <v>126</v>
      </c>
      <c r="N302" s="59" t="s">
        <v>113</v>
      </c>
      <c r="O302" s="295"/>
      <c r="P302" s="64">
        <v>43230</v>
      </c>
      <c r="Q302" s="307">
        <v>43318</v>
      </c>
      <c r="R302" s="57" t="s">
        <v>121</v>
      </c>
      <c r="S302" s="55"/>
      <c r="T302" s="66"/>
      <c r="U302" s="308"/>
      <c r="V302" s="312"/>
      <c r="W302" s="156" t="s">
        <v>304</v>
      </c>
      <c r="X302" s="77" t="s">
        <v>483</v>
      </c>
      <c r="Y302" s="332"/>
      <c r="Z302" s="80" t="s">
        <v>139</v>
      </c>
      <c r="AA302" s="323"/>
      <c r="AB302" s="96"/>
      <c r="AC302" s="96"/>
      <c r="AD302" s="314" t="str">
        <f>IF(Table25781014[[#This Row],[End Completed Section (km)]]="","",Table25781014[[#This Row],[End Completed Section (km)]]-Table25781014[[#This Row],[Start Completed Section (km)]])</f>
        <v/>
      </c>
      <c r="AE302" s="72"/>
      <c r="AF30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02" s="229" t="str">
        <f>IF(Table25781014[[#This Row],[Planned Date]]="","",TEXT(Table25781014[[#This Row],[Planned Date]],"mmm"))</f>
        <v/>
      </c>
      <c r="AH302" s="252" t="str">
        <f>IF(Table25781014[[#This Row],[Month]]="","",VLOOKUP(Table25781014[[#This Row],[Month]],List!$B$2:$C$13,2,FALSE))</f>
        <v/>
      </c>
    </row>
    <row r="303" spans="1:34" s="56" customFormat="1" ht="38.25" x14ac:dyDescent="0.2">
      <c r="A303" s="98" t="s">
        <v>117</v>
      </c>
      <c r="B303" s="305"/>
      <c r="C303" s="67" t="s">
        <v>164</v>
      </c>
      <c r="D303" s="99" t="s">
        <v>27</v>
      </c>
      <c r="E303" s="100" t="str">
        <f>IF(Table25781014[[#This Row],[Line Section]]="","",VLOOKUP(Table25781014[[#This Row],[Line Section]],Reference!$A$2:$B$47,2,FALSE))</f>
        <v>C092</v>
      </c>
      <c r="F303" s="157"/>
      <c r="G303" s="440"/>
      <c r="H303" s="306"/>
      <c r="I303" s="54" t="s">
        <v>93</v>
      </c>
      <c r="J303" s="101">
        <v>52.22</v>
      </c>
      <c r="K303" s="60">
        <v>52.31</v>
      </c>
      <c r="L303" s="102">
        <f>IF(Table25781014[[#This Row],[End
(km)]]="","",Table25781014[[#This Row],[End
(km)]]-Table25781014[[#This Row],[Start
(km)]])</f>
        <v>9.0000000000003411E-2</v>
      </c>
      <c r="M303" s="61" t="s">
        <v>189</v>
      </c>
      <c r="N303" s="99" t="s">
        <v>113</v>
      </c>
      <c r="O303" s="71"/>
      <c r="P303" s="64">
        <v>43230</v>
      </c>
      <c r="Q303" s="307"/>
      <c r="R303" s="57"/>
      <c r="S303" s="106"/>
      <c r="T303" s="66" t="s">
        <v>122</v>
      </c>
      <c r="U303" s="308"/>
      <c r="V303" s="312"/>
      <c r="W303" s="67"/>
      <c r="X303" s="107" t="s">
        <v>234</v>
      </c>
      <c r="Y303" s="330" t="str">
        <f>TEXT(Table25781014[[#This Row],[Start
(km)]],"0.000")&amp;" - "&amp;TEXT(Table25781014[[#This Row],[End
(km)]],"0.000")</f>
        <v>52.220 - 52.310</v>
      </c>
      <c r="Z303" s="103" t="s">
        <v>139</v>
      </c>
      <c r="AA303" s="320"/>
      <c r="AB303" s="96"/>
      <c r="AC303" s="96"/>
      <c r="AD303" s="314" t="str">
        <f>IF(Table25781014[[#This Row],[End Completed Section (km)]]="","",Table25781014[[#This Row],[End Completed Section (km)]]-Table25781014[[#This Row],[Start Completed Section (km)]])</f>
        <v/>
      </c>
      <c r="AE303" s="72"/>
      <c r="AF30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03" s="229" t="str">
        <f>IF(Table25781014[[#This Row],[Planned Date]]="","",TEXT(Table25781014[[#This Row],[Planned Date]],"mmm"))</f>
        <v/>
      </c>
      <c r="AH303" s="252" t="str">
        <f>IF(Table25781014[[#This Row],[Month]]="","",VLOOKUP(Table25781014[[#This Row],[Month]],List!$B$2:$C$13,2,FALSE))</f>
        <v/>
      </c>
    </row>
    <row r="304" spans="1:34" ht="25.5" x14ac:dyDescent="0.2">
      <c r="A304" s="98" t="s">
        <v>116</v>
      </c>
      <c r="B304" s="305"/>
      <c r="C304" s="67" t="s">
        <v>164</v>
      </c>
      <c r="D304" s="99" t="s">
        <v>27</v>
      </c>
      <c r="E304" s="100" t="str">
        <f>IF(Table25781014[[#This Row],[Line Section]]="","",VLOOKUP(Table25781014[[#This Row],[Line Section]],Reference!$A$2:$B$47,2,FALSE))</f>
        <v>C092</v>
      </c>
      <c r="F304" s="157"/>
      <c r="G304" s="440"/>
      <c r="H304" s="306"/>
      <c r="I304" s="54" t="s">
        <v>94</v>
      </c>
      <c r="J304" s="60">
        <v>52.25</v>
      </c>
      <c r="K304" s="60">
        <v>52.8</v>
      </c>
      <c r="L304" s="53">
        <f>IF(Table25781014[[#This Row],[End
(km)]]="","",Table25781014[[#This Row],[End
(km)]]-Table25781014[[#This Row],[Start
(km)]])</f>
        <v>0.54999999999999716</v>
      </c>
      <c r="M304" s="61" t="s">
        <v>189</v>
      </c>
      <c r="N304" s="59" t="s">
        <v>113</v>
      </c>
      <c r="O304" s="295" t="s">
        <v>113</v>
      </c>
      <c r="P304" s="64">
        <v>43482</v>
      </c>
      <c r="Q304" s="307"/>
      <c r="R304" s="57"/>
      <c r="S304" s="55"/>
      <c r="T304" s="66"/>
      <c r="U304" s="308"/>
      <c r="V304" s="312"/>
      <c r="W304" s="67"/>
      <c r="X304" s="77" t="s">
        <v>721</v>
      </c>
      <c r="Y304" s="332"/>
      <c r="Z304" s="80" t="s">
        <v>139</v>
      </c>
      <c r="AA304" s="323"/>
      <c r="AB304" s="96"/>
      <c r="AC304" s="96"/>
      <c r="AD304" s="314" t="str">
        <f>IF(Table25781014[[#This Row],[End Completed Section (km)]]="","",Table25781014[[#This Row],[End Completed Section (km)]]-Table25781014[[#This Row],[Start Completed Section (km)]])</f>
        <v/>
      </c>
      <c r="AE304" s="72"/>
      <c r="AF30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04" s="229" t="str">
        <f>IF(Table25781014[[#This Row],[Planned Date]]="","",TEXT(Table25781014[[#This Row],[Planned Date]],"mmm"))</f>
        <v/>
      </c>
      <c r="AH304" s="252" t="str">
        <f>IF(Table25781014[[#This Row],[Month]]="","",VLOOKUP(Table25781014[[#This Row],[Month]],List!$B$2:$C$13,2,FALSE))</f>
        <v/>
      </c>
    </row>
    <row r="305" spans="1:34" s="56" customFormat="1" ht="25.5" x14ac:dyDescent="0.2">
      <c r="A305" s="98" t="s">
        <v>117</v>
      </c>
      <c r="B305" s="80"/>
      <c r="C305" s="67" t="s">
        <v>164</v>
      </c>
      <c r="D305" s="59" t="s">
        <v>27</v>
      </c>
      <c r="E305" s="100" t="str">
        <f>IF(Table25781014[[#This Row],[Line Section]]="","",VLOOKUP(Table25781014[[#This Row],[Line Section]],Reference!$A$2:$B$47,2,FALSE))</f>
        <v>C092</v>
      </c>
      <c r="F305" s="157"/>
      <c r="G305" s="440"/>
      <c r="H305" s="247"/>
      <c r="I305" s="54" t="s">
        <v>93</v>
      </c>
      <c r="J305" s="60">
        <v>53.78</v>
      </c>
      <c r="K305" s="60">
        <v>54</v>
      </c>
      <c r="L305" s="53">
        <f>IF(Table25781014[[#This Row],[End
(km)]]="","",Table25781014[[#This Row],[End
(km)]]-Table25781014[[#This Row],[Start
(km)]])</f>
        <v>0.21999999999999886</v>
      </c>
      <c r="M305" s="61" t="s">
        <v>189</v>
      </c>
      <c r="N305" s="59"/>
      <c r="O305" s="295" t="s">
        <v>113</v>
      </c>
      <c r="P305" s="64">
        <v>43474</v>
      </c>
      <c r="Q305" s="71"/>
      <c r="R305" s="57"/>
      <c r="S305" s="55"/>
      <c r="T305" s="66"/>
      <c r="U305" s="66"/>
      <c r="V305" s="268"/>
      <c r="W305" s="67"/>
      <c r="X305" s="77"/>
      <c r="Y305" s="112"/>
      <c r="Z305" s="80" t="s">
        <v>188</v>
      </c>
      <c r="AA305" s="282"/>
      <c r="AB305" s="96"/>
      <c r="AC305" s="96"/>
      <c r="AD305" s="226" t="str">
        <f>IF(Table25781014[[#This Row],[End Completed Section (km)]]="","",Table25781014[[#This Row],[End Completed Section (km)]]-Table25781014[[#This Row],[Start Completed Section (km)]])</f>
        <v/>
      </c>
      <c r="AE305" s="161"/>
      <c r="AF305" s="253"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05" s="254" t="str">
        <f>IF(Table25781014[[#This Row],[Planned Date]]="","",TEXT(Table25781014[[#This Row],[Planned Date]],"mmm"))</f>
        <v/>
      </c>
      <c r="AH305" s="255" t="str">
        <f>IF(Table25781014[[#This Row],[Month]]="","",VLOOKUP(Table25781014[[#This Row],[Month]],List!$B$2:$C$13,2,FALSE))</f>
        <v/>
      </c>
    </row>
    <row r="306" spans="1:34" ht="25.5" x14ac:dyDescent="0.2">
      <c r="A306" s="98" t="s">
        <v>116</v>
      </c>
      <c r="B306" s="80"/>
      <c r="C306" s="67" t="s">
        <v>7</v>
      </c>
      <c r="D306" s="99" t="s">
        <v>34</v>
      </c>
      <c r="E306" s="100" t="str">
        <f>IF(Table25781014[[#This Row],[Line Section]]="","",VLOOKUP(Table25781014[[#This Row],[Line Section]],Reference!$A$2:$B$47,2,FALSE))</f>
        <v>C173</v>
      </c>
      <c r="F306" s="157"/>
      <c r="G306" s="440"/>
      <c r="H306" s="248"/>
      <c r="I306" s="54" t="s">
        <v>94</v>
      </c>
      <c r="J306" s="60">
        <v>0.5</v>
      </c>
      <c r="K306" s="60">
        <v>0.6</v>
      </c>
      <c r="L306" s="102">
        <f>IF(Table25781014[[#This Row],[End
(km)]]="","",Table25781014[[#This Row],[End
(km)]]-Table25781014[[#This Row],[Start
(km)]])</f>
        <v>9.9999999999999978E-2</v>
      </c>
      <c r="M306" s="61" t="s">
        <v>126</v>
      </c>
      <c r="N306" s="59" t="s">
        <v>113</v>
      </c>
      <c r="O306" s="295"/>
      <c r="P306" s="64">
        <v>43230</v>
      </c>
      <c r="Q306" s="71"/>
      <c r="R306" s="57"/>
      <c r="S306" s="55"/>
      <c r="T306" s="66" t="s">
        <v>121</v>
      </c>
      <c r="U306" s="66"/>
      <c r="V306" s="268"/>
      <c r="W306" s="67"/>
      <c r="X306" s="77" t="s">
        <v>418</v>
      </c>
      <c r="Y306" s="47"/>
      <c r="Z306" s="103" t="s">
        <v>139</v>
      </c>
      <c r="AA306" s="280"/>
      <c r="AB306" s="96"/>
      <c r="AC306" s="96"/>
      <c r="AD306" s="226" t="str">
        <f>IF(Table25781014[[#This Row],[End Completed Section (km)]]="","",Table25781014[[#This Row],[End Completed Section (km)]]-Table25781014[[#This Row],[Start Completed Section (km)]])</f>
        <v/>
      </c>
      <c r="AE306" s="72"/>
      <c r="AF30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06" s="229" t="str">
        <f>IF(Table25781014[[#This Row],[Planned Date]]="","",TEXT(Table25781014[[#This Row],[Planned Date]],"mmm"))</f>
        <v/>
      </c>
      <c r="AH306" s="56" t="str">
        <f>IF(Table25781014[[#This Row],[Month]]="","",VLOOKUP(Table25781014[[#This Row],[Month]],List!$B$2:$C$13,2,FALSE))</f>
        <v/>
      </c>
    </row>
    <row r="307" spans="1:34" ht="25.5" x14ac:dyDescent="0.2">
      <c r="A307" s="98" t="s">
        <v>116</v>
      </c>
      <c r="B307" s="80"/>
      <c r="C307" s="67" t="s">
        <v>7</v>
      </c>
      <c r="D307" s="99" t="s">
        <v>34</v>
      </c>
      <c r="E307" s="100" t="str">
        <f>IF(Table25781014[[#This Row],[Line Section]]="","",VLOOKUP(Table25781014[[#This Row],[Line Section]],Reference!$A$2:$B$47,2,FALSE))</f>
        <v>C173</v>
      </c>
      <c r="F307" s="157"/>
      <c r="G307" s="440"/>
      <c r="H307" s="248"/>
      <c r="I307" s="54" t="s">
        <v>94</v>
      </c>
      <c r="J307" s="60">
        <v>1.2</v>
      </c>
      <c r="K307" s="60">
        <v>1.3</v>
      </c>
      <c r="L307" s="102">
        <f>IF(Table25781014[[#This Row],[End
(km)]]="","",Table25781014[[#This Row],[End
(km)]]-Table25781014[[#This Row],[Start
(km)]])</f>
        <v>0.10000000000000009</v>
      </c>
      <c r="M307" s="61" t="s">
        <v>126</v>
      </c>
      <c r="N307" s="59" t="s">
        <v>112</v>
      </c>
      <c r="O307" s="295"/>
      <c r="P307" s="64">
        <v>43230</v>
      </c>
      <c r="Q307" s="71"/>
      <c r="R307" s="57"/>
      <c r="S307" s="55"/>
      <c r="T307" s="66"/>
      <c r="U307" s="66"/>
      <c r="V307" s="268"/>
      <c r="W307" s="67" t="s">
        <v>254</v>
      </c>
      <c r="X307" s="77" t="s">
        <v>673</v>
      </c>
      <c r="Y307" s="47"/>
      <c r="Z307" s="103" t="s">
        <v>139</v>
      </c>
      <c r="AA307" s="280"/>
      <c r="AB307" s="96"/>
      <c r="AC307" s="96"/>
      <c r="AD307" s="226" t="str">
        <f>IF(Table25781014[[#This Row],[End Completed Section (km)]]="","",Table25781014[[#This Row],[End Completed Section (km)]]-Table25781014[[#This Row],[Start Completed Section (km)]])</f>
        <v/>
      </c>
      <c r="AE307" s="72"/>
      <c r="AF30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07" s="229" t="str">
        <f>IF(Table25781014[[#This Row],[Planned Date]]="","",TEXT(Table25781014[[#This Row],[Planned Date]],"mmm"))</f>
        <v/>
      </c>
      <c r="AH307" s="56" t="str">
        <f>IF(Table25781014[[#This Row],[Month]]="","",VLOOKUP(Table25781014[[#This Row],[Month]],List!$B$2:$C$13,2,FALSE))</f>
        <v/>
      </c>
    </row>
    <row r="308" spans="1:34" x14ac:dyDescent="0.2">
      <c r="A308" s="98" t="s">
        <v>118</v>
      </c>
      <c r="B308" s="80"/>
      <c r="C308" s="67" t="s">
        <v>7</v>
      </c>
      <c r="D308" s="99" t="s">
        <v>34</v>
      </c>
      <c r="E308" s="100" t="str">
        <f>IF(Table25781014[[#This Row],[Line Section]]="","",VLOOKUP(Table25781014[[#This Row],[Line Section]],Reference!$A$2:$B$47,2,FALSE))</f>
        <v>C173</v>
      </c>
      <c r="F308" s="157"/>
      <c r="G308" s="440"/>
      <c r="H308" s="248"/>
      <c r="I308" s="54" t="s">
        <v>94</v>
      </c>
      <c r="J308" s="60">
        <v>1.35</v>
      </c>
      <c r="K308" s="60">
        <v>1.5</v>
      </c>
      <c r="L308" s="102">
        <f>IF(Table25781014[[#This Row],[End
(km)]]="","",Table25781014[[#This Row],[End
(km)]]-Table25781014[[#This Row],[Start
(km)]])</f>
        <v>0.14999999999999991</v>
      </c>
      <c r="M308" s="61" t="s">
        <v>126</v>
      </c>
      <c r="N308" s="59" t="s">
        <v>112</v>
      </c>
      <c r="O308" s="295" t="s">
        <v>112</v>
      </c>
      <c r="P308" s="64">
        <v>43230</v>
      </c>
      <c r="Q308" s="71">
        <v>43479</v>
      </c>
      <c r="R308" s="57"/>
      <c r="S308" s="55"/>
      <c r="T308" s="66"/>
      <c r="U308" s="66"/>
      <c r="V308" s="268"/>
      <c r="W308" s="67" t="s">
        <v>255</v>
      </c>
      <c r="X308" s="77"/>
      <c r="Y308" s="47"/>
      <c r="Z308" s="103" t="s">
        <v>122</v>
      </c>
      <c r="AA308" s="280"/>
      <c r="AB308" s="96"/>
      <c r="AC308" s="96"/>
      <c r="AD308" s="226" t="str">
        <f>IF(Table25781014[[#This Row],[End Completed Section (km)]]="","",Table25781014[[#This Row],[End Completed Section (km)]]-Table25781014[[#This Row],[Start Completed Section (km)]])</f>
        <v/>
      </c>
      <c r="AE308" s="72"/>
      <c r="AF30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08" s="229" t="str">
        <f>IF(Table25781014[[#This Row],[Planned Date]]="","",TEXT(Table25781014[[#This Row],[Planned Date]],"mmm"))</f>
        <v/>
      </c>
      <c r="AH308" s="56" t="str">
        <f>IF(Table25781014[[#This Row],[Month]]="","",VLOOKUP(Table25781014[[#This Row],[Month]],List!$B$2:$C$13,2,FALSE))</f>
        <v/>
      </c>
    </row>
    <row r="309" spans="1:34" ht="63.75" x14ac:dyDescent="0.2">
      <c r="A309" s="98" t="s">
        <v>117</v>
      </c>
      <c r="B309" s="80">
        <v>3</v>
      </c>
      <c r="C309" s="67" t="s">
        <v>7</v>
      </c>
      <c r="D309" s="59" t="s">
        <v>34</v>
      </c>
      <c r="E309" s="45" t="str">
        <f>IF(Table25781014[[#This Row],[Line Section]]="","",VLOOKUP(Table25781014[[#This Row],[Line Section]],Reference!$A$2:$B$47,2,FALSE))</f>
        <v>C173</v>
      </c>
      <c r="F309" s="157" t="s">
        <v>651</v>
      </c>
      <c r="G309" s="440"/>
      <c r="H309" s="247"/>
      <c r="I309" s="54" t="s">
        <v>94</v>
      </c>
      <c r="J309" s="60">
        <v>1.69</v>
      </c>
      <c r="K309" s="60">
        <v>1.75</v>
      </c>
      <c r="L309" s="53">
        <f>IF(Table25781014[[#This Row],[End
(km)]]="","",Table25781014[[#This Row],[End
(km)]]-Table25781014[[#This Row],[Start
(km)]])</f>
        <v>6.0000000000000053E-2</v>
      </c>
      <c r="M309" s="61" t="s">
        <v>129</v>
      </c>
      <c r="N309" s="59" t="s">
        <v>112</v>
      </c>
      <c r="O309" s="295" t="s">
        <v>113</v>
      </c>
      <c r="P309" s="64">
        <v>43220</v>
      </c>
      <c r="Q309" s="71">
        <v>43479</v>
      </c>
      <c r="R309" s="57"/>
      <c r="S309" s="55"/>
      <c r="T309" s="66" t="s">
        <v>122</v>
      </c>
      <c r="U309" s="66"/>
      <c r="V309" s="268"/>
      <c r="W309" s="67"/>
      <c r="X309" s="77" t="s">
        <v>674</v>
      </c>
      <c r="Y309" s="454" t="s">
        <v>178</v>
      </c>
      <c r="Z309" s="80" t="s">
        <v>122</v>
      </c>
      <c r="AA309" s="282"/>
      <c r="AB309" s="96"/>
      <c r="AC309" s="96"/>
      <c r="AD309" s="226" t="str">
        <f>IF(Table25781014[[#This Row],[End Completed Section (km)]]="","",Table25781014[[#This Row],[End Completed Section (km)]]-Table25781014[[#This Row],[Start Completed Section (km)]])</f>
        <v/>
      </c>
      <c r="AE309" s="72"/>
      <c r="AF309"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09" s="229" t="str">
        <f>IF(Table25781014[[#This Row],[Planned Date]]="","",TEXT(Table25781014[[#This Row],[Planned Date]],"mmm"))</f>
        <v>21/22</v>
      </c>
      <c r="AH309" s="56" t="e">
        <f>IF(Table25781014[[#This Row],[Month]]="","",VLOOKUP(Table25781014[[#This Row],[Month]],List!$B$2:$C$13,2,FALSE))</f>
        <v>#N/A</v>
      </c>
    </row>
    <row r="310" spans="1:34" x14ac:dyDescent="0.2">
      <c r="A310" s="98" t="s">
        <v>116</v>
      </c>
      <c r="B310" s="160">
        <v>1</v>
      </c>
      <c r="C310" s="67" t="s">
        <v>7</v>
      </c>
      <c r="D310" s="59" t="s">
        <v>34</v>
      </c>
      <c r="E310" s="100" t="str">
        <f>IF(Table25781014[[#This Row],[Line Section]]="","",VLOOKUP(Table25781014[[#This Row],[Line Section]],Reference!$A$2:$B$47,2,FALSE))</f>
        <v>C173</v>
      </c>
      <c r="F310" s="157" t="s">
        <v>651</v>
      </c>
      <c r="G310" s="440"/>
      <c r="H310" s="248"/>
      <c r="I310" s="54" t="s">
        <v>94</v>
      </c>
      <c r="J310" s="60">
        <v>1.925</v>
      </c>
      <c r="K310" s="60">
        <v>1.98</v>
      </c>
      <c r="L310" s="53">
        <f>IF(Table25781014[[#This Row],[End
(km)]]="","",Table25781014[[#This Row],[End
(km)]]-Table25781014[[#This Row],[Start
(km)]])</f>
        <v>5.4999999999999938E-2</v>
      </c>
      <c r="M310" s="61" t="s">
        <v>129</v>
      </c>
      <c r="N310" s="59"/>
      <c r="O310" s="295" t="s">
        <v>113</v>
      </c>
      <c r="P310" s="64">
        <v>43250</v>
      </c>
      <c r="Q310" s="153">
        <v>43480</v>
      </c>
      <c r="R310" s="57" t="s">
        <v>121</v>
      </c>
      <c r="S310" s="55" t="s">
        <v>121</v>
      </c>
      <c r="T310" s="66"/>
      <c r="U310" s="154"/>
      <c r="V310" s="369"/>
      <c r="W310" s="67"/>
      <c r="X310" s="77" t="s">
        <v>416</v>
      </c>
      <c r="Y310" s="371"/>
      <c r="Z310" s="80" t="s">
        <v>122</v>
      </c>
      <c r="AA310" s="282"/>
      <c r="AB310" s="96"/>
      <c r="AC310" s="96"/>
      <c r="AD310" s="226" t="str">
        <f>IF(Table25781014[[#This Row],[End Completed Section (km)]]="","",Table25781014[[#This Row],[End Completed Section (km)]]-Table25781014[[#This Row],[Start Completed Section (km)]])</f>
        <v/>
      </c>
      <c r="AE310" s="161"/>
      <c r="AF310"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10" s="229" t="str">
        <f>IF(Table25781014[[#This Row],[Planned Date]]="","",TEXT(Table25781014[[#This Row],[Planned Date]],"mmm"))</f>
        <v>21/22</v>
      </c>
      <c r="AH310" s="56" t="e">
        <f>IF(Table25781014[[#This Row],[Month]]="","",VLOOKUP(Table25781014[[#This Row],[Month]],List!$B$2:$C$13,2,FALSE))</f>
        <v>#N/A</v>
      </c>
    </row>
    <row r="311" spans="1:34" s="56" customFormat="1" x14ac:dyDescent="0.2">
      <c r="A311" s="98" t="s">
        <v>118</v>
      </c>
      <c r="B311" s="80"/>
      <c r="C311" s="67" t="s">
        <v>7</v>
      </c>
      <c r="D311" s="99" t="s">
        <v>34</v>
      </c>
      <c r="E311" s="100" t="str">
        <f>IF(Table25781014[[#This Row],[Line Section]]="","",VLOOKUP(Table25781014[[#This Row],[Line Section]],Reference!$A$2:$B$47,2,FALSE))</f>
        <v>C173</v>
      </c>
      <c r="F311" s="157"/>
      <c r="G311" s="440"/>
      <c r="H311" s="248"/>
      <c r="I311" s="54" t="s">
        <v>93</v>
      </c>
      <c r="J311" s="60">
        <v>1.95</v>
      </c>
      <c r="K311" s="60">
        <v>2.15</v>
      </c>
      <c r="L311" s="102">
        <f>IF(Table25781014[[#This Row],[End
(km)]]="","",Table25781014[[#This Row],[End
(km)]]-Table25781014[[#This Row],[Start
(km)]])</f>
        <v>0.19999999999999996</v>
      </c>
      <c r="M311" s="61" t="s">
        <v>126</v>
      </c>
      <c r="N311" s="59" t="s">
        <v>112</v>
      </c>
      <c r="O311" s="295" t="s">
        <v>113</v>
      </c>
      <c r="P311" s="64">
        <v>43230</v>
      </c>
      <c r="Q311" s="71">
        <v>43480</v>
      </c>
      <c r="R311" s="57"/>
      <c r="S311" s="55"/>
      <c r="T311" s="66"/>
      <c r="U311" s="66"/>
      <c r="V311" s="269"/>
      <c r="W311" s="67" t="s">
        <v>255</v>
      </c>
      <c r="X311" s="77"/>
      <c r="Y311" s="46"/>
      <c r="Z311" s="103" t="s">
        <v>122</v>
      </c>
      <c r="AA311" s="280"/>
      <c r="AB311" s="96"/>
      <c r="AC311" s="96"/>
      <c r="AD311" s="227" t="str">
        <f>IF(Table25781014[[#This Row],[End Completed Section (km)]]="","",Table25781014[[#This Row],[End Completed Section (km)]]-Table25781014[[#This Row],[Start Completed Section (km)]])</f>
        <v/>
      </c>
      <c r="AE311" s="72"/>
      <c r="AF31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11" s="229" t="str">
        <f>IF(Table25781014[[#This Row],[Planned Date]]="","",TEXT(Table25781014[[#This Row],[Planned Date]],"mmm"))</f>
        <v/>
      </c>
      <c r="AH311" s="56" t="str">
        <f>IF(Table25781014[[#This Row],[Month]]="","",VLOOKUP(Table25781014[[#This Row],[Month]],List!$B$2:$C$13,2,FALSE))</f>
        <v/>
      </c>
    </row>
    <row r="312" spans="1:34" ht="51" x14ac:dyDescent="0.2">
      <c r="A312" s="98" t="s">
        <v>116</v>
      </c>
      <c r="B312" s="80"/>
      <c r="C312" s="67" t="s">
        <v>7</v>
      </c>
      <c r="D312" s="99" t="s">
        <v>34</v>
      </c>
      <c r="E312" s="100" t="str">
        <f>IF(Table25781014[[#This Row],[Line Section]]="","",VLOOKUP(Table25781014[[#This Row],[Line Section]],Reference!$A$2:$B$47,2,FALSE))</f>
        <v>C173</v>
      </c>
      <c r="F312" s="157">
        <v>43360</v>
      </c>
      <c r="G312" s="440"/>
      <c r="H312" s="247" t="s">
        <v>534</v>
      </c>
      <c r="I312" s="54" t="s">
        <v>94</v>
      </c>
      <c r="J312" s="60">
        <v>2.15</v>
      </c>
      <c r="K312" s="60">
        <v>2.5499999999999998</v>
      </c>
      <c r="L312" s="102">
        <f>IF(Table25781014[[#This Row],[End
(km)]]="","",Table25781014[[#This Row],[End
(km)]]-Table25781014[[#This Row],[Start
(km)]])</f>
        <v>0.39999999999999991</v>
      </c>
      <c r="M312" s="61" t="s">
        <v>146</v>
      </c>
      <c r="N312" s="59" t="s">
        <v>112</v>
      </c>
      <c r="O312" s="295"/>
      <c r="P312" s="64">
        <v>43292</v>
      </c>
      <c r="Q312" s="71">
        <v>43314</v>
      </c>
      <c r="R312" s="57" t="s">
        <v>121</v>
      </c>
      <c r="S312" s="55" t="s">
        <v>121</v>
      </c>
      <c r="T312" s="66" t="s">
        <v>122</v>
      </c>
      <c r="U312" s="66"/>
      <c r="V312" s="268"/>
      <c r="W312" s="67" t="s">
        <v>453</v>
      </c>
      <c r="X312" s="77" t="s">
        <v>584</v>
      </c>
      <c r="Y312" s="158" t="s">
        <v>433</v>
      </c>
      <c r="Z312" s="103" t="s">
        <v>121</v>
      </c>
      <c r="AA312" s="280"/>
      <c r="AB312" s="96">
        <v>2.15</v>
      </c>
      <c r="AC312" s="96">
        <v>2.5</v>
      </c>
      <c r="AD312" s="226">
        <f>IF(Table25781014[[#This Row],[End Completed Section (km)]]="","",Table25781014[[#This Row],[End Completed Section (km)]]-Table25781014[[#This Row],[Start Completed Section (km)]])</f>
        <v>0.35000000000000009</v>
      </c>
      <c r="AE312" s="72">
        <v>43360</v>
      </c>
      <c r="AF31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312" s="229" t="str">
        <f>IF(Table25781014[[#This Row],[Planned Date]]="","",TEXT(Table25781014[[#This Row],[Planned Date]],"mmm"))</f>
        <v>Sep</v>
      </c>
      <c r="AH312" s="56">
        <f>IF(Table25781014[[#This Row],[Month]]="","",VLOOKUP(Table25781014[[#This Row],[Month]],List!$B$2:$C$13,2,FALSE))</f>
        <v>3</v>
      </c>
    </row>
    <row r="313" spans="1:34" s="56" customFormat="1" x14ac:dyDescent="0.2">
      <c r="A313" s="98" t="s">
        <v>118</v>
      </c>
      <c r="B313" s="80"/>
      <c r="C313" s="67" t="s">
        <v>7</v>
      </c>
      <c r="D313" s="99" t="s">
        <v>34</v>
      </c>
      <c r="E313" s="100" t="str">
        <f>IF(Table25781014[[#This Row],[Line Section]]="","",VLOOKUP(Table25781014[[#This Row],[Line Section]],Reference!$A$2:$B$47,2,FALSE))</f>
        <v>C173</v>
      </c>
      <c r="F313" s="157"/>
      <c r="G313" s="440"/>
      <c r="H313" s="248"/>
      <c r="I313" s="54" t="s">
        <v>93</v>
      </c>
      <c r="J313" s="60">
        <v>2.5499999999999998</v>
      </c>
      <c r="K313" s="60">
        <v>2.65</v>
      </c>
      <c r="L313" s="102">
        <f>IF(Table25781014[[#This Row],[End
(km)]]="","",Table25781014[[#This Row],[End
(km)]]-Table25781014[[#This Row],[Start
(km)]])</f>
        <v>0.10000000000000009</v>
      </c>
      <c r="M313" s="61" t="s">
        <v>126</v>
      </c>
      <c r="N313" s="59" t="s">
        <v>113</v>
      </c>
      <c r="O313" s="295" t="s">
        <v>113</v>
      </c>
      <c r="P313" s="64">
        <v>43230</v>
      </c>
      <c r="Q313" s="71">
        <v>43480</v>
      </c>
      <c r="R313" s="57"/>
      <c r="S313" s="55"/>
      <c r="T313" s="66"/>
      <c r="U313" s="66"/>
      <c r="V313" s="269"/>
      <c r="W313" s="67" t="s">
        <v>287</v>
      </c>
      <c r="X313" s="77"/>
      <c r="Y313" s="46"/>
      <c r="Z313" s="103" t="s">
        <v>122</v>
      </c>
      <c r="AA313" s="280"/>
      <c r="AB313" s="96"/>
      <c r="AC313" s="96"/>
      <c r="AD313" s="227" t="str">
        <f>IF(Table25781014[[#This Row],[End Completed Section (km)]]="","",Table25781014[[#This Row],[End Completed Section (km)]]-Table25781014[[#This Row],[Start Completed Section (km)]])</f>
        <v/>
      </c>
      <c r="AE313" s="72"/>
      <c r="AF31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13" s="229" t="str">
        <f>IF(Table25781014[[#This Row],[Planned Date]]="","",TEXT(Table25781014[[#This Row],[Planned Date]],"mmm"))</f>
        <v/>
      </c>
      <c r="AH313" s="56" t="str">
        <f>IF(Table25781014[[#This Row],[Month]]="","",VLOOKUP(Table25781014[[#This Row],[Month]],List!$B$2:$C$13,2,FALSE))</f>
        <v/>
      </c>
    </row>
    <row r="314" spans="1:34" s="56" customFormat="1" x14ac:dyDescent="0.2">
      <c r="A314" s="98" t="s">
        <v>117</v>
      </c>
      <c r="B314" s="80"/>
      <c r="C314" s="67" t="s">
        <v>7</v>
      </c>
      <c r="D314" s="99" t="s">
        <v>34</v>
      </c>
      <c r="E314" s="100" t="str">
        <f>IF(Table25781014[[#This Row],[Line Section]]="","",VLOOKUP(Table25781014[[#This Row],[Line Section]],Reference!$A$2:$B$47,2,FALSE))</f>
        <v>C173</v>
      </c>
      <c r="F314" s="157"/>
      <c r="G314" s="440"/>
      <c r="H314" s="248"/>
      <c r="I314" s="54" t="s">
        <v>93</v>
      </c>
      <c r="J314" s="60">
        <v>3.125</v>
      </c>
      <c r="K314" s="60">
        <v>3.23</v>
      </c>
      <c r="L314" s="102">
        <f>IF(Table25781014[[#This Row],[End
(km)]]="","",Table25781014[[#This Row],[End
(km)]]-Table25781014[[#This Row],[Start
(km)]])</f>
        <v>0.10499999999999998</v>
      </c>
      <c r="M314" s="61" t="s">
        <v>126</v>
      </c>
      <c r="N314" s="59" t="s">
        <v>112</v>
      </c>
      <c r="O314" s="295" t="s">
        <v>112</v>
      </c>
      <c r="P314" s="64">
        <v>43230</v>
      </c>
      <c r="Q314" s="71">
        <v>43480</v>
      </c>
      <c r="R314" s="57"/>
      <c r="S314" s="55"/>
      <c r="T314" s="66"/>
      <c r="U314" s="66"/>
      <c r="V314" s="269"/>
      <c r="W314" s="67" t="s">
        <v>255</v>
      </c>
      <c r="X314" s="77"/>
      <c r="Y314" s="46"/>
      <c r="Z314" s="103" t="s">
        <v>122</v>
      </c>
      <c r="AA314" s="280"/>
      <c r="AB314" s="96"/>
      <c r="AC314" s="96"/>
      <c r="AD314" s="227" t="str">
        <f>IF(Table25781014[[#This Row],[End Completed Section (km)]]="","",Table25781014[[#This Row],[End Completed Section (km)]]-Table25781014[[#This Row],[Start Completed Section (km)]])</f>
        <v/>
      </c>
      <c r="AE314" s="72"/>
      <c r="AF31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14" s="229" t="str">
        <f>IF(Table25781014[[#This Row],[Planned Date]]="","",TEXT(Table25781014[[#This Row],[Planned Date]],"mmm"))</f>
        <v/>
      </c>
      <c r="AH314" s="56" t="str">
        <f>IF(Table25781014[[#This Row],[Month]]="","",VLOOKUP(Table25781014[[#This Row],[Month]],List!$B$2:$C$13,2,FALSE))</f>
        <v/>
      </c>
    </row>
    <row r="315" spans="1:34" x14ac:dyDescent="0.2">
      <c r="A315" s="98" t="s">
        <v>116</v>
      </c>
      <c r="B315" s="80">
        <v>2</v>
      </c>
      <c r="C315" s="67" t="s">
        <v>7</v>
      </c>
      <c r="D315" s="99" t="s">
        <v>34</v>
      </c>
      <c r="E315" s="100" t="str">
        <f>IF(Table25781014[[#This Row],[Line Section]]="","",VLOOKUP(Table25781014[[#This Row],[Line Section]],Reference!$A$2:$B$47,2,FALSE))</f>
        <v>C173</v>
      </c>
      <c r="F315" s="157" t="s">
        <v>651</v>
      </c>
      <c r="G315" s="440"/>
      <c r="H315" s="248"/>
      <c r="I315" s="54" t="s">
        <v>93</v>
      </c>
      <c r="J315" s="60">
        <v>3.6</v>
      </c>
      <c r="K315" s="60">
        <v>4</v>
      </c>
      <c r="L315" s="102">
        <f>IF(Table25781014[[#This Row],[End
(km)]]="","",Table25781014[[#This Row],[End
(km)]]-Table25781014[[#This Row],[Start
(km)]])</f>
        <v>0.39999999999999991</v>
      </c>
      <c r="M315" s="61" t="s">
        <v>126</v>
      </c>
      <c r="N315" s="59" t="s">
        <v>112</v>
      </c>
      <c r="O315" s="295" t="s">
        <v>112</v>
      </c>
      <c r="P315" s="64">
        <v>43230</v>
      </c>
      <c r="Q315" s="71">
        <v>43489</v>
      </c>
      <c r="R315" s="57" t="s">
        <v>121</v>
      </c>
      <c r="S315" s="55"/>
      <c r="T315" s="66"/>
      <c r="U315" s="66"/>
      <c r="V315" s="268"/>
      <c r="W315" s="67" t="s">
        <v>255</v>
      </c>
      <c r="X315" s="77" t="s">
        <v>751</v>
      </c>
      <c r="Y315" s="47"/>
      <c r="Z315" s="103" t="s">
        <v>122</v>
      </c>
      <c r="AA315" s="280"/>
      <c r="AB315" s="96"/>
      <c r="AC315" s="96"/>
      <c r="AD315" s="226" t="str">
        <f>IF(Table25781014[[#This Row],[End Completed Section (km)]]="","",Table25781014[[#This Row],[End Completed Section (km)]]-Table25781014[[#This Row],[Start Completed Section (km)]])</f>
        <v/>
      </c>
      <c r="AE315" s="72"/>
      <c r="AF315"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15" s="229" t="str">
        <f>IF(Table25781014[[#This Row],[Planned Date]]="","",TEXT(Table25781014[[#This Row],[Planned Date]],"mmm"))</f>
        <v>21/22</v>
      </c>
      <c r="AH315" s="56" t="e">
        <f>IF(Table25781014[[#This Row],[Month]]="","",VLOOKUP(Table25781014[[#This Row],[Month]],List!$B$2:$C$13,2,FALSE))</f>
        <v>#N/A</v>
      </c>
    </row>
    <row r="316" spans="1:34" ht="25.5" x14ac:dyDescent="0.2">
      <c r="A316" s="98" t="s">
        <v>118</v>
      </c>
      <c r="B316" s="80"/>
      <c r="C316" s="67" t="s">
        <v>7</v>
      </c>
      <c r="D316" s="99" t="s">
        <v>34</v>
      </c>
      <c r="E316" s="100" t="str">
        <f>IF(Table25781014[[#This Row],[Line Section]]="","",VLOOKUP(Table25781014[[#This Row],[Line Section]],Reference!$A$2:$B$47,2,FALSE))</f>
        <v>C173</v>
      </c>
      <c r="F316" s="157"/>
      <c r="G316" s="440"/>
      <c r="H316" s="248"/>
      <c r="I316" s="54" t="s">
        <v>94</v>
      </c>
      <c r="J316" s="60">
        <v>3.6</v>
      </c>
      <c r="K316" s="60">
        <v>3.7</v>
      </c>
      <c r="L316" s="102">
        <f>IF(Table25781014[[#This Row],[End
(km)]]="","",Table25781014[[#This Row],[End
(km)]]-Table25781014[[#This Row],[Start
(km)]])</f>
        <v>0.10000000000000009</v>
      </c>
      <c r="M316" s="61" t="s">
        <v>126</v>
      </c>
      <c r="N316" s="59" t="s">
        <v>113</v>
      </c>
      <c r="O316" s="295" t="s">
        <v>207</v>
      </c>
      <c r="P316" s="64">
        <v>43230</v>
      </c>
      <c r="Q316" s="71">
        <v>43480</v>
      </c>
      <c r="R316" s="57"/>
      <c r="S316" s="55"/>
      <c r="T316" s="66"/>
      <c r="U316" s="66"/>
      <c r="V316" s="268"/>
      <c r="W316" s="67" t="s">
        <v>255</v>
      </c>
      <c r="X316" s="77" t="s">
        <v>676</v>
      </c>
      <c r="Y316" s="47"/>
      <c r="Z316" s="103" t="s">
        <v>122</v>
      </c>
      <c r="AA316" s="280"/>
      <c r="AB316" s="96"/>
      <c r="AC316" s="96"/>
      <c r="AD316" s="226" t="str">
        <f>IF(Table25781014[[#This Row],[End Completed Section (km)]]="","",Table25781014[[#This Row],[End Completed Section (km)]]-Table25781014[[#This Row],[Start Completed Section (km)]])</f>
        <v/>
      </c>
      <c r="AE316" s="72"/>
      <c r="AF31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16" s="229" t="str">
        <f>IF(Table25781014[[#This Row],[Planned Date]]="","",TEXT(Table25781014[[#This Row],[Planned Date]],"mmm"))</f>
        <v/>
      </c>
      <c r="AH316" s="56" t="str">
        <f>IF(Table25781014[[#This Row],[Month]]="","",VLOOKUP(Table25781014[[#This Row],[Month]],List!$B$2:$C$13,2,FALSE))</f>
        <v/>
      </c>
    </row>
    <row r="317" spans="1:34" x14ac:dyDescent="0.2">
      <c r="A317" s="98" t="s">
        <v>116</v>
      </c>
      <c r="B317" s="291">
        <v>2</v>
      </c>
      <c r="C317" s="67" t="s">
        <v>7</v>
      </c>
      <c r="D317" s="59" t="s">
        <v>16</v>
      </c>
      <c r="E317" s="100" t="str">
        <f>IF(Table25781014[[#This Row],[Line Section]]="","",VLOOKUP(Table25781014[[#This Row],[Line Section]],Reference!$A$2:$B$47,2,FALSE))</f>
        <v>C017</v>
      </c>
      <c r="F317" s="157">
        <v>43863</v>
      </c>
      <c r="G317" s="440"/>
      <c r="H317" s="247" t="s">
        <v>533</v>
      </c>
      <c r="I317" s="54" t="s">
        <v>96</v>
      </c>
      <c r="J317" s="60">
        <v>4.1100000000000003</v>
      </c>
      <c r="K317" s="60">
        <v>4.2549999999999999</v>
      </c>
      <c r="L317" s="53">
        <f>IF(Table25781014[[#This Row],[End
(km)]]="","",Table25781014[[#This Row],[End
(km)]]-Table25781014[[#This Row],[Start
(km)]])</f>
        <v>0.14499999999999957</v>
      </c>
      <c r="M317" s="61" t="s">
        <v>129</v>
      </c>
      <c r="N317" s="59" t="s">
        <v>207</v>
      </c>
      <c r="O317" s="295" t="s">
        <v>113</v>
      </c>
      <c r="P317" s="64">
        <v>43432</v>
      </c>
      <c r="Q317" s="285">
        <v>43489</v>
      </c>
      <c r="R317" s="57" t="s">
        <v>121</v>
      </c>
      <c r="S317" s="55"/>
      <c r="T317" s="66"/>
      <c r="U317" s="286"/>
      <c r="V317" s="372"/>
      <c r="W317" s="67"/>
      <c r="X317" s="77" t="s">
        <v>583</v>
      </c>
      <c r="Y317" s="452"/>
      <c r="Z317" s="80" t="s">
        <v>122</v>
      </c>
      <c r="AA317" s="287"/>
      <c r="AB317" s="96"/>
      <c r="AC317" s="96"/>
      <c r="AD317" s="359" t="str">
        <f>IF(Table25781014[[#This Row],[End Completed Section (km)]]="","",Table25781014[[#This Row],[End Completed Section (km)]]-Table25781014[[#This Row],[Start Completed Section (km)]])</f>
        <v/>
      </c>
      <c r="AE317" s="161"/>
      <c r="AF317" s="253"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317" s="254" t="str">
        <f>IF(Table25781014[[#This Row],[Planned Date]]="","",TEXT(Table25781014[[#This Row],[Planned Date]],"mmm"))</f>
        <v>Feb</v>
      </c>
      <c r="AH317" s="255">
        <f>IF(Table25781014[[#This Row],[Month]]="","",VLOOKUP(Table25781014[[#This Row],[Month]],List!$B$2:$C$13,2,FALSE))</f>
        <v>8</v>
      </c>
    </row>
    <row r="318" spans="1:34" ht="25.5" x14ac:dyDescent="0.2">
      <c r="A318" s="98" t="s">
        <v>116</v>
      </c>
      <c r="B318" s="80"/>
      <c r="C318" s="67" t="s">
        <v>7</v>
      </c>
      <c r="D318" s="59" t="s">
        <v>16</v>
      </c>
      <c r="E318" s="100" t="str">
        <f>IF(Table25781014[[#This Row],[Line Section]]="","",VLOOKUP(Table25781014[[#This Row],[Line Section]],Reference!$A$2:$B$47,2,FALSE))</f>
        <v>C017</v>
      </c>
      <c r="F318" s="157">
        <v>43863</v>
      </c>
      <c r="G318" s="440"/>
      <c r="H318" s="248" t="s">
        <v>534</v>
      </c>
      <c r="I318" s="54" t="s">
        <v>93</v>
      </c>
      <c r="J318" s="60">
        <v>4.45</v>
      </c>
      <c r="K318" s="60">
        <v>4.5999999999999996</v>
      </c>
      <c r="L318" s="53">
        <f>IF(Table25781014[[#This Row],[End
(km)]]="","",Table25781014[[#This Row],[End
(km)]]-Table25781014[[#This Row],[Start
(km)]])</f>
        <v>0.14999999999999947</v>
      </c>
      <c r="M318" s="61" t="s">
        <v>189</v>
      </c>
      <c r="N318" s="59" t="s">
        <v>113</v>
      </c>
      <c r="O318" s="295" t="s">
        <v>207</v>
      </c>
      <c r="P318" s="64">
        <v>43230</v>
      </c>
      <c r="Q318" s="71">
        <v>43489</v>
      </c>
      <c r="R318" s="57" t="s">
        <v>121</v>
      </c>
      <c r="S318" s="55"/>
      <c r="T318" s="66"/>
      <c r="U318" s="66"/>
      <c r="V318" s="268"/>
      <c r="W318" s="67" t="s">
        <v>131</v>
      </c>
      <c r="X318" s="397" t="s">
        <v>751</v>
      </c>
      <c r="Y318" s="112"/>
      <c r="Z318" s="80" t="s">
        <v>122</v>
      </c>
      <c r="AA318" s="282"/>
      <c r="AB318" s="96"/>
      <c r="AC318" s="96"/>
      <c r="AD318" s="226" t="str">
        <f>IF(Table25781014[[#This Row],[End Completed Section (km)]]="","",Table25781014[[#This Row],[End Completed Section (km)]]-Table25781014[[#This Row],[Start Completed Section (km)]])</f>
        <v/>
      </c>
      <c r="AE318" s="72"/>
      <c r="AF31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318" s="229" t="str">
        <f>IF(Table25781014[[#This Row],[Planned Date]]="","",TEXT(Table25781014[[#This Row],[Planned Date]],"mmm"))</f>
        <v>Feb</v>
      </c>
      <c r="AH318" s="56">
        <f>IF(Table25781014[[#This Row],[Month]]="","",VLOOKUP(Table25781014[[#This Row],[Month]],List!$B$2:$C$13,2,FALSE))</f>
        <v>8</v>
      </c>
    </row>
    <row r="319" spans="1:34" s="56" customFormat="1" ht="25.5" x14ac:dyDescent="0.2">
      <c r="A319" s="98" t="s">
        <v>118</v>
      </c>
      <c r="B319" s="80"/>
      <c r="C319" s="67" t="s">
        <v>7</v>
      </c>
      <c r="D319" s="59" t="s">
        <v>16</v>
      </c>
      <c r="E319" s="100" t="str">
        <f>IF(Table25781014[[#This Row],[Line Section]]="","",VLOOKUP(Table25781014[[#This Row],[Line Section]],Reference!$A$2:$B$47,2,FALSE))</f>
        <v>C017</v>
      </c>
      <c r="F319" s="157"/>
      <c r="G319" s="440"/>
      <c r="H319" s="248"/>
      <c r="I319" s="54" t="s">
        <v>94</v>
      </c>
      <c r="J319" s="60">
        <v>5.83</v>
      </c>
      <c r="K319" s="60">
        <v>6.05</v>
      </c>
      <c r="L319" s="53">
        <f>IF(Table25781014[[#This Row],[End
(km)]]="","",Table25781014[[#This Row],[End
(km)]]-Table25781014[[#This Row],[Start
(km)]])</f>
        <v>0.21999999999999975</v>
      </c>
      <c r="M319" s="61" t="s">
        <v>189</v>
      </c>
      <c r="N319" s="59" t="s">
        <v>111</v>
      </c>
      <c r="O319" s="295" t="s">
        <v>112</v>
      </c>
      <c r="P319" s="64">
        <v>43230</v>
      </c>
      <c r="Q319" s="71">
        <v>43480</v>
      </c>
      <c r="R319" s="57"/>
      <c r="S319" s="55"/>
      <c r="T319" s="66"/>
      <c r="U319" s="66"/>
      <c r="V319" s="268"/>
      <c r="W319" s="67"/>
      <c r="X319" s="77"/>
      <c r="Y319" s="112"/>
      <c r="Z319" s="80" t="s">
        <v>122</v>
      </c>
      <c r="AA319" s="282"/>
      <c r="AB319" s="96"/>
      <c r="AC319" s="96"/>
      <c r="AD319" s="226" t="str">
        <f>IF(Table25781014[[#This Row],[End Completed Section (km)]]="","",Table25781014[[#This Row],[End Completed Section (km)]]-Table25781014[[#This Row],[Start Completed Section (km)]])</f>
        <v/>
      </c>
      <c r="AE319" s="72"/>
      <c r="AF31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19" s="229" t="str">
        <f>IF(Table25781014[[#This Row],[Planned Date]]="","",TEXT(Table25781014[[#This Row],[Planned Date]],"mmm"))</f>
        <v/>
      </c>
      <c r="AH319" s="56" t="str">
        <f>IF(Table25781014[[#This Row],[Month]]="","",VLOOKUP(Table25781014[[#This Row],[Month]],List!$B$2:$C$13,2,FALSE))</f>
        <v/>
      </c>
    </row>
    <row r="320" spans="1:34" ht="51" x14ac:dyDescent="0.2">
      <c r="A320" s="98" t="s">
        <v>118</v>
      </c>
      <c r="B320" s="80"/>
      <c r="C320" s="67" t="s">
        <v>7</v>
      </c>
      <c r="D320" s="59" t="s">
        <v>16</v>
      </c>
      <c r="E320" s="100" t="str">
        <f>IF(Table25781014[[#This Row],[Line Section]]="","",VLOOKUP(Table25781014[[#This Row],[Line Section]],Reference!$A$2:$B$47,2,FALSE))</f>
        <v>C017</v>
      </c>
      <c r="F320" s="157"/>
      <c r="G320" s="440"/>
      <c r="H320" s="247"/>
      <c r="I320" s="54" t="s">
        <v>96</v>
      </c>
      <c r="J320" s="60">
        <v>6.05</v>
      </c>
      <c r="K320" s="60">
        <v>6.2</v>
      </c>
      <c r="L320" s="53">
        <f>IF(Table25781014[[#This Row],[End
(km)]]="","",Table25781014[[#This Row],[End
(km)]]-Table25781014[[#This Row],[Start
(km)]])</f>
        <v>0.15000000000000036</v>
      </c>
      <c r="M320" s="61" t="s">
        <v>189</v>
      </c>
      <c r="N320" s="59" t="s">
        <v>113</v>
      </c>
      <c r="O320" s="295" t="s">
        <v>113</v>
      </c>
      <c r="P320" s="64">
        <v>43230</v>
      </c>
      <c r="Q320" s="71">
        <v>43480</v>
      </c>
      <c r="R320" s="57" t="s">
        <v>121</v>
      </c>
      <c r="S320" s="55"/>
      <c r="T320" s="66"/>
      <c r="U320" s="66"/>
      <c r="V320" s="268"/>
      <c r="W320" s="67"/>
      <c r="X320" s="155" t="s">
        <v>690</v>
      </c>
      <c r="Y320" s="113"/>
      <c r="Z320" s="80" t="s">
        <v>573</v>
      </c>
      <c r="AA320" s="392">
        <v>43499</v>
      </c>
      <c r="AB320" s="96"/>
      <c r="AC320" s="96"/>
      <c r="AD320" s="226" t="str">
        <f>IF(Table25781014[[#This Row],[End Completed Section (km)]]="","",Table25781014[[#This Row],[End Completed Section (km)]]-Table25781014[[#This Row],[Start Completed Section (km)]])</f>
        <v/>
      </c>
      <c r="AE320" s="72"/>
      <c r="AF32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20" s="229" t="str">
        <f>IF(Table25781014[[#This Row],[Planned Date]]="","",TEXT(Table25781014[[#This Row],[Planned Date]],"mmm"))</f>
        <v/>
      </c>
      <c r="AH320" s="56" t="str">
        <f>IF(Table25781014[[#This Row],[Month]]="","",VLOOKUP(Table25781014[[#This Row],[Month]],List!$B$2:$C$13,2,FALSE))</f>
        <v/>
      </c>
    </row>
    <row r="321" spans="1:34" ht="25.5" x14ac:dyDescent="0.2">
      <c r="A321" s="98" t="s">
        <v>117</v>
      </c>
      <c r="B321" s="80"/>
      <c r="C321" s="67" t="s">
        <v>7</v>
      </c>
      <c r="D321" s="59" t="s">
        <v>16</v>
      </c>
      <c r="E321" s="100" t="str">
        <f>IF(Table25781014[[#This Row],[Line Section]]="","",VLOOKUP(Table25781014[[#This Row],[Line Section]],Reference!$A$2:$B$47,2,FALSE))</f>
        <v>C017</v>
      </c>
      <c r="F321" s="157"/>
      <c r="G321" s="440"/>
      <c r="H321" s="248"/>
      <c r="I321" s="54" t="s">
        <v>93</v>
      </c>
      <c r="J321" s="60">
        <v>6.4</v>
      </c>
      <c r="K321" s="60">
        <v>6.5609999999999999</v>
      </c>
      <c r="L321" s="53">
        <f>IF(Table25781014[[#This Row],[End
(km)]]="","",Table25781014[[#This Row],[End
(km)]]-Table25781014[[#This Row],[Start
(km)]])</f>
        <v>0.16099999999999959</v>
      </c>
      <c r="M321" s="61" t="s">
        <v>189</v>
      </c>
      <c r="N321" s="59" t="s">
        <v>113</v>
      </c>
      <c r="O321" s="295" t="s">
        <v>111</v>
      </c>
      <c r="P321" s="64">
        <v>43230</v>
      </c>
      <c r="Q321" s="71">
        <v>43480</v>
      </c>
      <c r="R321" s="57"/>
      <c r="S321" s="55"/>
      <c r="T321" s="66"/>
      <c r="U321" s="66"/>
      <c r="V321" s="268"/>
      <c r="W321" s="67"/>
      <c r="X321" s="77"/>
      <c r="Y321" s="113"/>
      <c r="Z321" s="80" t="s">
        <v>122</v>
      </c>
      <c r="AA321" s="282"/>
      <c r="AB321" s="96"/>
      <c r="AC321" s="96"/>
      <c r="AD321" s="226" t="str">
        <f>IF(Table25781014[[#This Row],[End Completed Section (km)]]="","",Table25781014[[#This Row],[End Completed Section (km)]]-Table25781014[[#This Row],[Start Completed Section (km)]])</f>
        <v/>
      </c>
      <c r="AE321" s="72"/>
      <c r="AF32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21" s="229" t="str">
        <f>IF(Table25781014[[#This Row],[Planned Date]]="","",TEXT(Table25781014[[#This Row],[Planned Date]],"mmm"))</f>
        <v/>
      </c>
      <c r="AH321" s="56" t="str">
        <f>IF(Table25781014[[#This Row],[Month]]="","",VLOOKUP(Table25781014[[#This Row],[Month]],List!$B$2:$C$13,2,FALSE))</f>
        <v/>
      </c>
    </row>
    <row r="322" spans="1:34" ht="38.25" x14ac:dyDescent="0.2">
      <c r="A322" s="98" t="s">
        <v>118</v>
      </c>
      <c r="B322" s="80"/>
      <c r="C322" s="67" t="s">
        <v>7</v>
      </c>
      <c r="D322" s="59" t="s">
        <v>16</v>
      </c>
      <c r="E322" s="100" t="str">
        <f>IF(Table25781014[[#This Row],[Line Section]]="","",VLOOKUP(Table25781014[[#This Row],[Line Section]],Reference!$A$2:$B$47,2,FALSE))</f>
        <v>C017</v>
      </c>
      <c r="F322" s="157"/>
      <c r="G322" s="440"/>
      <c r="H322" s="248"/>
      <c r="I322" s="54" t="s">
        <v>93</v>
      </c>
      <c r="J322" s="60">
        <v>6.5609999999999999</v>
      </c>
      <c r="K322" s="60">
        <v>6.8</v>
      </c>
      <c r="L322" s="53">
        <f>IF(Table25781014[[#This Row],[End
(km)]]="","",Table25781014[[#This Row],[End
(km)]]-Table25781014[[#This Row],[Start
(km)]])</f>
        <v>0.23899999999999988</v>
      </c>
      <c r="M322" s="61" t="s">
        <v>279</v>
      </c>
      <c r="N322" s="59" t="s">
        <v>112</v>
      </c>
      <c r="O322" s="295" t="s">
        <v>112</v>
      </c>
      <c r="P322" s="64">
        <v>43230</v>
      </c>
      <c r="Q322" s="71">
        <v>43480</v>
      </c>
      <c r="R322" s="57"/>
      <c r="S322" s="55"/>
      <c r="T322" s="66"/>
      <c r="U322" s="66"/>
      <c r="V322" s="268"/>
      <c r="W322" s="67"/>
      <c r="X322" s="77" t="s">
        <v>684</v>
      </c>
      <c r="Y322" s="113"/>
      <c r="Z322" s="80" t="s">
        <v>122</v>
      </c>
      <c r="AA322" s="282"/>
      <c r="AB322" s="96"/>
      <c r="AC322" s="96"/>
      <c r="AD322" s="226" t="str">
        <f>IF(Table25781014[[#This Row],[End Completed Section (km)]]="","",Table25781014[[#This Row],[End Completed Section (km)]]-Table25781014[[#This Row],[Start Completed Section (km)]])</f>
        <v/>
      </c>
      <c r="AE322" s="72"/>
      <c r="AF32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22" s="229" t="str">
        <f>IF(Table25781014[[#This Row],[Planned Date]]="","",TEXT(Table25781014[[#This Row],[Planned Date]],"mmm"))</f>
        <v/>
      </c>
      <c r="AH322" s="56" t="str">
        <f>IF(Table25781014[[#This Row],[Month]]="","",VLOOKUP(Table25781014[[#This Row],[Month]],List!$B$2:$C$13,2,FALSE))</f>
        <v/>
      </c>
    </row>
    <row r="323" spans="1:34" ht="25.5" x14ac:dyDescent="0.2">
      <c r="A323" s="98" t="s">
        <v>118</v>
      </c>
      <c r="B323" s="305"/>
      <c r="C323" s="67" t="s">
        <v>7</v>
      </c>
      <c r="D323" s="59" t="s">
        <v>16</v>
      </c>
      <c r="E323" s="100" t="str">
        <f>IF(Table25781014[[#This Row],[Line Section]]="","",VLOOKUP(Table25781014[[#This Row],[Line Section]],Reference!$A$2:$B$47,2,FALSE))</f>
        <v>C017</v>
      </c>
      <c r="F323" s="157"/>
      <c r="G323" s="440"/>
      <c r="H323" s="306"/>
      <c r="I323" s="54" t="s">
        <v>96</v>
      </c>
      <c r="J323" s="60">
        <v>6.75</v>
      </c>
      <c r="K323" s="60">
        <v>7.15</v>
      </c>
      <c r="L323" s="53">
        <f>IF(Table25781014[[#This Row],[End
(km)]]="","",Table25781014[[#This Row],[End
(km)]]-Table25781014[[#This Row],[Start
(km)]])</f>
        <v>0.40000000000000036</v>
      </c>
      <c r="M323" s="61" t="s">
        <v>189</v>
      </c>
      <c r="N323" s="59" t="s">
        <v>113</v>
      </c>
      <c r="O323" s="295" t="s">
        <v>113</v>
      </c>
      <c r="P323" s="64">
        <v>43230</v>
      </c>
      <c r="Q323" s="307">
        <v>43480</v>
      </c>
      <c r="R323" s="57"/>
      <c r="S323" s="55"/>
      <c r="T323" s="66"/>
      <c r="U323" s="308"/>
      <c r="V323" s="312"/>
      <c r="W323" s="67"/>
      <c r="X323" s="77" t="s">
        <v>691</v>
      </c>
      <c r="Y323" s="330"/>
      <c r="Z323" s="80" t="s">
        <v>122</v>
      </c>
      <c r="AA323" s="323"/>
      <c r="AB323" s="96"/>
      <c r="AC323" s="96"/>
      <c r="AD323" s="314" t="str">
        <f>IF(Table25781014[[#This Row],[End Completed Section (km)]]="","",Table25781014[[#This Row],[End Completed Section (km)]]-Table25781014[[#This Row],[Start Completed Section (km)]])</f>
        <v/>
      </c>
      <c r="AE323" s="72"/>
      <c r="AF32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23" s="229" t="str">
        <f>IF(Table25781014[[#This Row],[Planned Date]]="","",TEXT(Table25781014[[#This Row],[Planned Date]],"mmm"))</f>
        <v/>
      </c>
      <c r="AH323" s="252" t="str">
        <f>IF(Table25781014[[#This Row],[Month]]="","",VLOOKUP(Table25781014[[#This Row],[Month]],List!$B$2:$C$13,2,FALSE))</f>
        <v/>
      </c>
    </row>
    <row r="324" spans="1:34" ht="25.5" x14ac:dyDescent="0.2">
      <c r="A324" s="98" t="s">
        <v>118</v>
      </c>
      <c r="B324" s="305"/>
      <c r="C324" s="67" t="s">
        <v>7</v>
      </c>
      <c r="D324" s="59" t="s">
        <v>16</v>
      </c>
      <c r="E324" s="100" t="str">
        <f>IF(Table25781014[[#This Row],[Line Section]]="","",VLOOKUP(Table25781014[[#This Row],[Line Section]],Reference!$A$2:$B$47,2,FALSE))</f>
        <v>C017</v>
      </c>
      <c r="F324" s="157"/>
      <c r="G324" s="440"/>
      <c r="H324" s="306"/>
      <c r="I324" s="54" t="s">
        <v>95</v>
      </c>
      <c r="J324" s="60">
        <v>7.1</v>
      </c>
      <c r="K324" s="60">
        <v>7.6</v>
      </c>
      <c r="L324" s="53">
        <f>IF(Table25781014[[#This Row],[End
(km)]]="","",Table25781014[[#This Row],[End
(km)]]-Table25781014[[#This Row],[Start
(km)]])</f>
        <v>0.5</v>
      </c>
      <c r="M324" s="61" t="s">
        <v>189</v>
      </c>
      <c r="N324" s="59" t="s">
        <v>113</v>
      </c>
      <c r="O324" s="295"/>
      <c r="P324" s="64">
        <v>43230</v>
      </c>
      <c r="Q324" s="307"/>
      <c r="R324" s="57"/>
      <c r="S324" s="55"/>
      <c r="T324" s="66"/>
      <c r="U324" s="308"/>
      <c r="V324" s="312"/>
      <c r="W324" s="67" t="s">
        <v>694</v>
      </c>
      <c r="X324" s="77" t="s">
        <v>695</v>
      </c>
      <c r="Y324" s="330"/>
      <c r="Z324" s="80" t="s">
        <v>139</v>
      </c>
      <c r="AA324" s="323"/>
      <c r="AB324" s="96"/>
      <c r="AC324" s="96"/>
      <c r="AD324" s="314" t="str">
        <f>IF(Table25781014[[#This Row],[End Completed Section (km)]]="","",Table25781014[[#This Row],[End Completed Section (km)]]-Table25781014[[#This Row],[Start Completed Section (km)]])</f>
        <v/>
      </c>
      <c r="AE324" s="72"/>
      <c r="AF32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24" s="229" t="str">
        <f>IF(Table25781014[[#This Row],[Planned Date]]="","",TEXT(Table25781014[[#This Row],[Planned Date]],"mmm"))</f>
        <v/>
      </c>
      <c r="AH324" s="252" t="str">
        <f>IF(Table25781014[[#This Row],[Month]]="","",VLOOKUP(Table25781014[[#This Row],[Month]],List!$B$2:$C$13,2,FALSE))</f>
        <v/>
      </c>
    </row>
    <row r="325" spans="1:34" ht="51" x14ac:dyDescent="0.2">
      <c r="A325" s="98" t="s">
        <v>116</v>
      </c>
      <c r="B325" s="305">
        <v>8</v>
      </c>
      <c r="C325" s="67" t="s">
        <v>7</v>
      </c>
      <c r="D325" s="59" t="s">
        <v>32</v>
      </c>
      <c r="E325" s="100" t="str">
        <f>IF(Table25781014[[#This Row],[Line Section]]="","",VLOOKUP(Table25781014[[#This Row],[Line Section]],Reference!$A$2:$B$47,2,FALSE))</f>
        <v>C170</v>
      </c>
      <c r="F325" s="157" t="s">
        <v>651</v>
      </c>
      <c r="G325" s="440"/>
      <c r="H325" s="306"/>
      <c r="I325" s="54" t="s">
        <v>96</v>
      </c>
      <c r="J325" s="60">
        <v>7.15</v>
      </c>
      <c r="K325" s="60">
        <v>7.6</v>
      </c>
      <c r="L325" s="53">
        <f>IF(Table25781014[[#This Row],[End
(km)]]="","",Table25781014[[#This Row],[End
(km)]]-Table25781014[[#This Row],[Start
(km)]])</f>
        <v>0.44999999999999929</v>
      </c>
      <c r="M325" s="61" t="s">
        <v>189</v>
      </c>
      <c r="N325" s="59" t="s">
        <v>113</v>
      </c>
      <c r="O325" s="295" t="s">
        <v>113</v>
      </c>
      <c r="P325" s="64">
        <v>43230</v>
      </c>
      <c r="Q325" s="307">
        <v>43489</v>
      </c>
      <c r="R325" s="57" t="s">
        <v>121</v>
      </c>
      <c r="S325" s="55"/>
      <c r="T325" s="66"/>
      <c r="U325" s="308"/>
      <c r="V325" s="312"/>
      <c r="W325" s="67" t="s">
        <v>692</v>
      </c>
      <c r="X325" s="77" t="s">
        <v>761</v>
      </c>
      <c r="Y325" s="330"/>
      <c r="Z325" s="80" t="s">
        <v>122</v>
      </c>
      <c r="AA325" s="323"/>
      <c r="AB325" s="96"/>
      <c r="AC325" s="96"/>
      <c r="AD325" s="314" t="str">
        <f>IF(Table25781014[[#This Row],[End Completed Section (km)]]="","",Table25781014[[#This Row],[End Completed Section (km)]]-Table25781014[[#This Row],[Start Completed Section (km)]])</f>
        <v/>
      </c>
      <c r="AE325" s="72"/>
      <c r="AF325"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25" s="229" t="str">
        <f>IF(Table25781014[[#This Row],[Planned Date]]="","",TEXT(Table25781014[[#This Row],[Planned Date]],"mmm"))</f>
        <v>21/22</v>
      </c>
      <c r="AH325" s="252" t="e">
        <f>IF(Table25781014[[#This Row],[Month]]="","",VLOOKUP(Table25781014[[#This Row],[Month]],List!$B$2:$C$13,2,FALSE))</f>
        <v>#N/A</v>
      </c>
    </row>
    <row r="326" spans="1:34" ht="25.5" x14ac:dyDescent="0.2">
      <c r="A326" s="98" t="s">
        <v>116</v>
      </c>
      <c r="B326" s="305"/>
      <c r="C326" s="67" t="s">
        <v>7</v>
      </c>
      <c r="D326" s="59" t="s">
        <v>17</v>
      </c>
      <c r="E326" s="100" t="str">
        <f>IF(Table25781014[[#This Row],[Line Section]]="","",VLOOKUP(Table25781014[[#This Row],[Line Section]],Reference!$A$2:$B$47,2,FALSE))</f>
        <v>C064</v>
      </c>
      <c r="F326" s="157"/>
      <c r="G326" s="440"/>
      <c r="H326" s="306"/>
      <c r="I326" s="54" t="s">
        <v>95</v>
      </c>
      <c r="J326" s="60">
        <v>8.1</v>
      </c>
      <c r="K326" s="60">
        <v>8.5</v>
      </c>
      <c r="L326" s="53">
        <f>IF(Table25781014[[#This Row],[End
(km)]]="","",Table25781014[[#This Row],[End
(km)]]-Table25781014[[#This Row],[Start
(km)]])</f>
        <v>0.40000000000000036</v>
      </c>
      <c r="M326" s="61" t="s">
        <v>189</v>
      </c>
      <c r="N326" s="59" t="s">
        <v>113</v>
      </c>
      <c r="O326" s="295"/>
      <c r="P326" s="64">
        <v>43230</v>
      </c>
      <c r="Q326" s="307">
        <v>43367</v>
      </c>
      <c r="R326" s="57" t="s">
        <v>121</v>
      </c>
      <c r="S326" s="55"/>
      <c r="T326" s="66"/>
      <c r="U326" s="308"/>
      <c r="V326" s="312"/>
      <c r="W326" s="67"/>
      <c r="X326" s="77" t="s">
        <v>550</v>
      </c>
      <c r="Y326" s="330"/>
      <c r="Z326" s="80" t="s">
        <v>139</v>
      </c>
      <c r="AA326" s="323"/>
      <c r="AB326" s="96"/>
      <c r="AC326" s="96"/>
      <c r="AD326" s="314" t="str">
        <f>IF(Table25781014[[#This Row],[End Completed Section (km)]]="","",Table25781014[[#This Row],[End Completed Section (km)]]-Table25781014[[#This Row],[Start Completed Section (km)]])</f>
        <v/>
      </c>
      <c r="AE326" s="72"/>
      <c r="AF32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26" s="229" t="str">
        <f>IF(Table25781014[[#This Row],[Planned Date]]="","",TEXT(Table25781014[[#This Row],[Planned Date]],"mmm"))</f>
        <v/>
      </c>
      <c r="AH326" s="252" t="str">
        <f>IF(Table25781014[[#This Row],[Month]]="","",VLOOKUP(Table25781014[[#This Row],[Month]],List!$B$2:$C$13,2,FALSE))</f>
        <v/>
      </c>
    </row>
    <row r="327" spans="1:34" ht="25.5" x14ac:dyDescent="0.2">
      <c r="A327" s="98" t="s">
        <v>117</v>
      </c>
      <c r="B327" s="305"/>
      <c r="C327" s="67" t="s">
        <v>7</v>
      </c>
      <c r="D327" s="59" t="s">
        <v>17</v>
      </c>
      <c r="E327" s="100" t="str">
        <f>IF(Table25781014[[#This Row],[Line Section]]="","",VLOOKUP(Table25781014[[#This Row],[Line Section]],Reference!$A$2:$B$47,2,FALSE))</f>
        <v>C064</v>
      </c>
      <c r="F327" s="157"/>
      <c r="G327" s="440"/>
      <c r="H327" s="306"/>
      <c r="I327" s="54" t="s">
        <v>96</v>
      </c>
      <c r="J327" s="60">
        <v>8.1999999999999993</v>
      </c>
      <c r="K327" s="60">
        <v>8.75</v>
      </c>
      <c r="L327" s="53">
        <f>IF(Table25781014[[#This Row],[End
(km)]]="","",Table25781014[[#This Row],[End
(km)]]-Table25781014[[#This Row],[Start
(km)]])</f>
        <v>0.55000000000000071</v>
      </c>
      <c r="M327" s="61" t="s">
        <v>189</v>
      </c>
      <c r="N327" s="59" t="s">
        <v>113</v>
      </c>
      <c r="O327" s="295" t="s">
        <v>113</v>
      </c>
      <c r="P327" s="64">
        <v>43230</v>
      </c>
      <c r="Q327" s="307">
        <v>43480</v>
      </c>
      <c r="R327" s="57"/>
      <c r="S327" s="55"/>
      <c r="T327" s="66"/>
      <c r="U327" s="308"/>
      <c r="V327" s="309"/>
      <c r="W327" s="67" t="s">
        <v>693</v>
      </c>
      <c r="X327" s="77"/>
      <c r="Y327" s="330"/>
      <c r="Z327" s="80" t="s">
        <v>122</v>
      </c>
      <c r="AA327" s="323"/>
      <c r="AB327" s="96"/>
      <c r="AC327" s="96"/>
      <c r="AD327" s="310" t="str">
        <f>IF(Table25781014[[#This Row],[End Completed Section (km)]]="","",Table25781014[[#This Row],[End Completed Section (km)]]-Table25781014[[#This Row],[Start Completed Section (km)]])</f>
        <v/>
      </c>
      <c r="AE327" s="72"/>
      <c r="AF32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27" s="229" t="str">
        <f>IF(Table25781014[[#This Row],[Planned Date]]="","",TEXT(Table25781014[[#This Row],[Planned Date]],"mmm"))</f>
        <v/>
      </c>
      <c r="AH327" s="252" t="str">
        <f>IF(Table25781014[[#This Row],[Month]]="","",VLOOKUP(Table25781014[[#This Row],[Month]],List!$B$2:$C$13,2,FALSE))</f>
        <v/>
      </c>
    </row>
    <row r="328" spans="1:34" s="56" customFormat="1" ht="51" x14ac:dyDescent="0.2">
      <c r="A328" s="98" t="s">
        <v>116</v>
      </c>
      <c r="B328" s="305"/>
      <c r="C328" s="67" t="s">
        <v>7</v>
      </c>
      <c r="D328" s="59" t="s">
        <v>17</v>
      </c>
      <c r="E328" s="100" t="str">
        <f>IF(Table25781014[[#This Row],[Line Section]]="","",VLOOKUP(Table25781014[[#This Row],[Line Section]],Reference!$A$2:$B$47,2,FALSE))</f>
        <v>C064</v>
      </c>
      <c r="F328" s="157">
        <v>43513</v>
      </c>
      <c r="G328" s="440"/>
      <c r="H328" s="306" t="s">
        <v>533</v>
      </c>
      <c r="I328" s="54" t="s">
        <v>96</v>
      </c>
      <c r="J328" s="60">
        <v>8.9</v>
      </c>
      <c r="K328" s="60">
        <v>9.56</v>
      </c>
      <c r="L328" s="53">
        <f>IF(Table25781014[[#This Row],[End
(km)]]="","",Table25781014[[#This Row],[End
(km)]]-Table25781014[[#This Row],[Start
(km)]])</f>
        <v>0.66000000000000014</v>
      </c>
      <c r="M328" s="61" t="s">
        <v>189</v>
      </c>
      <c r="N328" s="59" t="s">
        <v>113</v>
      </c>
      <c r="O328" s="295" t="s">
        <v>113</v>
      </c>
      <c r="P328" s="64">
        <v>43230</v>
      </c>
      <c r="Q328" s="307">
        <v>43480</v>
      </c>
      <c r="R328" s="57" t="s">
        <v>121</v>
      </c>
      <c r="S328" s="55"/>
      <c r="T328" s="66"/>
      <c r="U328" s="308"/>
      <c r="V328" s="309"/>
      <c r="W328" s="67"/>
      <c r="X328" s="77" t="s">
        <v>793</v>
      </c>
      <c r="Y328" s="327"/>
      <c r="Z328" s="80" t="s">
        <v>121</v>
      </c>
      <c r="AA328" s="342"/>
      <c r="AB328" s="96">
        <v>8.9</v>
      </c>
      <c r="AC328" s="96">
        <v>9.56</v>
      </c>
      <c r="AD328" s="310">
        <f>IF(Table25781014[[#This Row],[End Completed Section (km)]]="","",Table25781014[[#This Row],[End Completed Section (km)]]-Table25781014[[#This Row],[Start Completed Section (km)]])</f>
        <v>0.66000000000000014</v>
      </c>
      <c r="AE328" s="72">
        <v>43512</v>
      </c>
      <c r="AF32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328" s="229" t="str">
        <f>IF(Table25781014[[#This Row],[Planned Date]]="","",TEXT(Table25781014[[#This Row],[Planned Date]],"mmm"))</f>
        <v>Feb</v>
      </c>
      <c r="AH328" s="252">
        <f>IF(Table25781014[[#This Row],[Month]]="","",VLOOKUP(Table25781014[[#This Row],[Month]],List!$B$2:$C$13,2,FALSE))</f>
        <v>8</v>
      </c>
    </row>
    <row r="329" spans="1:34" ht="25.5" x14ac:dyDescent="0.2">
      <c r="A329" s="98" t="s">
        <v>118</v>
      </c>
      <c r="B329" s="305"/>
      <c r="C329" s="67" t="s">
        <v>7</v>
      </c>
      <c r="D329" s="59" t="s">
        <v>17</v>
      </c>
      <c r="E329" s="100" t="str">
        <f>IF(Table25781014[[#This Row],[Line Section]]="","",VLOOKUP(Table25781014[[#This Row],[Line Section]],Reference!$A$2:$B$47,2,FALSE))</f>
        <v>C064</v>
      </c>
      <c r="F329" s="157"/>
      <c r="G329" s="440"/>
      <c r="H329" s="306"/>
      <c r="I329" s="54" t="s">
        <v>95</v>
      </c>
      <c r="J329" s="60">
        <v>10.3</v>
      </c>
      <c r="K329" s="60">
        <v>10.4</v>
      </c>
      <c r="L329" s="53">
        <f>IF(Table25781014[[#This Row],[End
(km)]]="","",Table25781014[[#This Row],[End
(km)]]-Table25781014[[#This Row],[Start
(km)]])</f>
        <v>9.9999999999999645E-2</v>
      </c>
      <c r="M329" s="61" t="s">
        <v>189</v>
      </c>
      <c r="N329" s="59" t="s">
        <v>113</v>
      </c>
      <c r="O329" s="295" t="s">
        <v>113</v>
      </c>
      <c r="P329" s="64">
        <v>43230</v>
      </c>
      <c r="Q329" s="307">
        <v>43480</v>
      </c>
      <c r="R329" s="57"/>
      <c r="S329" s="55"/>
      <c r="T329" s="66"/>
      <c r="U329" s="308"/>
      <c r="V329" s="312"/>
      <c r="W329" s="67"/>
      <c r="X329" s="77" t="s">
        <v>696</v>
      </c>
      <c r="Y329" s="327"/>
      <c r="Z329" s="80" t="s">
        <v>122</v>
      </c>
      <c r="AA329" s="323"/>
      <c r="AB329" s="96"/>
      <c r="AC329" s="96"/>
      <c r="AD329" s="314" t="str">
        <f>IF(Table25781014[[#This Row],[End Completed Section (km)]]="","",Table25781014[[#This Row],[End Completed Section (km)]]-Table25781014[[#This Row],[Start Completed Section (km)]])</f>
        <v/>
      </c>
      <c r="AE329" s="72"/>
      <c r="AF32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29" s="229" t="str">
        <f>IF(Table25781014[[#This Row],[Planned Date]]="","",TEXT(Table25781014[[#This Row],[Planned Date]],"mmm"))</f>
        <v/>
      </c>
      <c r="AH329" s="252" t="str">
        <f>IF(Table25781014[[#This Row],[Month]]="","",VLOOKUP(Table25781014[[#This Row],[Month]],List!$B$2:$C$13,2,FALSE))</f>
        <v/>
      </c>
    </row>
    <row r="330" spans="1:34" ht="25.5" x14ac:dyDescent="0.2">
      <c r="A330" s="98" t="s">
        <v>118</v>
      </c>
      <c r="B330" s="305"/>
      <c r="C330" s="67" t="s">
        <v>7</v>
      </c>
      <c r="D330" s="59" t="s">
        <v>17</v>
      </c>
      <c r="E330" s="100" t="str">
        <f>IF(Table25781014[[#This Row],[Line Section]]="","",VLOOKUP(Table25781014[[#This Row],[Line Section]],Reference!$A$2:$B$47,2,FALSE))</f>
        <v>C064</v>
      </c>
      <c r="F330" s="157"/>
      <c r="G330" s="440"/>
      <c r="H330" s="306"/>
      <c r="I330" s="54" t="s">
        <v>95</v>
      </c>
      <c r="J330" s="60">
        <v>10.5</v>
      </c>
      <c r="K330" s="60">
        <v>10.6</v>
      </c>
      <c r="L330" s="53">
        <f>IF(Table25781014[[#This Row],[End
(km)]]="","",Table25781014[[#This Row],[End
(km)]]-Table25781014[[#This Row],[Start
(km)]])</f>
        <v>9.9999999999999645E-2</v>
      </c>
      <c r="M330" s="61" t="s">
        <v>189</v>
      </c>
      <c r="N330" s="59" t="s">
        <v>113</v>
      </c>
      <c r="O330" s="295" t="s">
        <v>113</v>
      </c>
      <c r="P330" s="64">
        <v>43230</v>
      </c>
      <c r="Q330" s="307">
        <v>43480</v>
      </c>
      <c r="R330" s="57"/>
      <c r="S330" s="55"/>
      <c r="T330" s="66"/>
      <c r="U330" s="308"/>
      <c r="V330" s="309"/>
      <c r="W330" s="67"/>
      <c r="X330" s="77" t="s">
        <v>696</v>
      </c>
      <c r="Y330" s="327"/>
      <c r="Z330" s="80" t="s">
        <v>122</v>
      </c>
      <c r="AA330" s="323"/>
      <c r="AB330" s="96"/>
      <c r="AC330" s="96"/>
      <c r="AD330" s="310" t="str">
        <f>IF(Table25781014[[#This Row],[End Completed Section (km)]]="","",Table25781014[[#This Row],[End Completed Section (km)]]-Table25781014[[#This Row],[Start Completed Section (km)]])</f>
        <v/>
      </c>
      <c r="AE330" s="72"/>
      <c r="AF33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30" s="229" t="str">
        <f>IF(Table25781014[[#This Row],[Planned Date]]="","",TEXT(Table25781014[[#This Row],[Planned Date]],"mmm"))</f>
        <v/>
      </c>
      <c r="AH330" s="252" t="str">
        <f>IF(Table25781014[[#This Row],[Month]]="","",VLOOKUP(Table25781014[[#This Row],[Month]],List!$B$2:$C$13,2,FALSE))</f>
        <v/>
      </c>
    </row>
    <row r="331" spans="1:34" ht="25.5" x14ac:dyDescent="0.2">
      <c r="A331" s="98" t="s">
        <v>117</v>
      </c>
      <c r="B331" s="305"/>
      <c r="C331" s="67" t="s">
        <v>7</v>
      </c>
      <c r="D331" s="59" t="s">
        <v>17</v>
      </c>
      <c r="E331" s="100" t="str">
        <f>IF(Table25781014[[#This Row],[Line Section]]="","",VLOOKUP(Table25781014[[#This Row],[Line Section]],Reference!$A$2:$B$47,2,FALSE))</f>
        <v>C064</v>
      </c>
      <c r="F331" s="157"/>
      <c r="G331" s="440"/>
      <c r="H331" s="306"/>
      <c r="I331" s="54" t="s">
        <v>96</v>
      </c>
      <c r="J331" s="60">
        <v>10.55</v>
      </c>
      <c r="K331" s="60">
        <v>11</v>
      </c>
      <c r="L331" s="53">
        <f>IF(Table25781014[[#This Row],[End
(km)]]="","",Table25781014[[#This Row],[End
(km)]]-Table25781014[[#This Row],[Start
(km)]])</f>
        <v>0.44999999999999929</v>
      </c>
      <c r="M331" s="61" t="s">
        <v>189</v>
      </c>
      <c r="N331" s="59" t="s">
        <v>113</v>
      </c>
      <c r="O331" s="295" t="s">
        <v>113</v>
      </c>
      <c r="P331" s="64">
        <v>43230</v>
      </c>
      <c r="Q331" s="307">
        <v>43480</v>
      </c>
      <c r="R331" s="57"/>
      <c r="S331" s="55"/>
      <c r="T331" s="66"/>
      <c r="U331" s="308"/>
      <c r="V331" s="309"/>
      <c r="W331" s="156" t="s">
        <v>276</v>
      </c>
      <c r="X331" s="77"/>
      <c r="Y331" s="327"/>
      <c r="Z331" s="80" t="s">
        <v>122</v>
      </c>
      <c r="AA331" s="323"/>
      <c r="AB331" s="96"/>
      <c r="AC331" s="96"/>
      <c r="AD331" s="310" t="str">
        <f>IF(Table25781014[[#This Row],[End Completed Section (km)]]="","",Table25781014[[#This Row],[End Completed Section (km)]]-Table25781014[[#This Row],[Start Completed Section (km)]])</f>
        <v/>
      </c>
      <c r="AE331" s="72"/>
      <c r="AF33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31" s="229" t="str">
        <f>IF(Table25781014[[#This Row],[Planned Date]]="","",TEXT(Table25781014[[#This Row],[Planned Date]],"mmm"))</f>
        <v/>
      </c>
      <c r="AH331" s="252" t="str">
        <f>IF(Table25781014[[#This Row],[Month]]="","",VLOOKUP(Table25781014[[#This Row],[Month]],List!$B$2:$C$13,2,FALSE))</f>
        <v/>
      </c>
    </row>
    <row r="332" spans="1:34" s="56" customFormat="1" ht="114.75" x14ac:dyDescent="0.2">
      <c r="A332" s="98" t="s">
        <v>117</v>
      </c>
      <c r="B332" s="305"/>
      <c r="C332" s="67" t="s">
        <v>7</v>
      </c>
      <c r="D332" s="59" t="s">
        <v>31</v>
      </c>
      <c r="E332" s="100" t="str">
        <f>IF(Table25781014[[#This Row],[Line Section]]="","",VLOOKUP(Table25781014[[#This Row],[Line Section]],Reference!$A$2:$B$47,2,FALSE))</f>
        <v>C138</v>
      </c>
      <c r="F332" s="157"/>
      <c r="G332" s="440"/>
      <c r="H332" s="306"/>
      <c r="I332" s="54" t="s">
        <v>94</v>
      </c>
      <c r="J332" s="60">
        <v>10.9</v>
      </c>
      <c r="K332" s="60">
        <v>11.2</v>
      </c>
      <c r="L332" s="53">
        <f>IF(Table25781014[[#This Row],[End
(km)]]="","",Table25781014[[#This Row],[End
(km)]]-Table25781014[[#This Row],[Start
(km)]])</f>
        <v>0.29999999999999893</v>
      </c>
      <c r="M332" s="61" t="s">
        <v>146</v>
      </c>
      <c r="N332" s="59" t="s">
        <v>110</v>
      </c>
      <c r="O332" s="295" t="s">
        <v>109</v>
      </c>
      <c r="P332" s="64">
        <v>43238</v>
      </c>
      <c r="Q332" s="307">
        <v>43489</v>
      </c>
      <c r="R332" s="57" t="s">
        <v>121</v>
      </c>
      <c r="S332" s="55" t="s">
        <v>121</v>
      </c>
      <c r="T332" s="66"/>
      <c r="U332" s="308"/>
      <c r="V332" s="309"/>
      <c r="W332" s="67"/>
      <c r="X332" s="77" t="s">
        <v>752</v>
      </c>
      <c r="Y332" s="327" t="s">
        <v>364</v>
      </c>
      <c r="Z332" s="80" t="s">
        <v>139</v>
      </c>
      <c r="AA332" s="323"/>
      <c r="AB332" s="96"/>
      <c r="AC332" s="96"/>
      <c r="AD332" s="310" t="str">
        <f>IF(Table25781014[[#This Row],[End Completed Section (km)]]="","",Table25781014[[#This Row],[End Completed Section (km)]]-Table25781014[[#This Row],[Start Completed Section (km)]])</f>
        <v/>
      </c>
      <c r="AE332" s="72"/>
      <c r="AF33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32" s="229" t="str">
        <f>IF(Table25781014[[#This Row],[Planned Date]]="","",TEXT(Table25781014[[#This Row],[Planned Date]],"mmm"))</f>
        <v/>
      </c>
      <c r="AH332" s="252" t="str">
        <f>IF(Table25781014[[#This Row],[Month]]="","",VLOOKUP(Table25781014[[#This Row],[Month]],List!$B$2:$C$13,2,FALSE))</f>
        <v/>
      </c>
    </row>
    <row r="333" spans="1:34" ht="38.25" x14ac:dyDescent="0.2">
      <c r="A333" s="98" t="s">
        <v>116</v>
      </c>
      <c r="B333" s="305">
        <v>15</v>
      </c>
      <c r="C333" s="67" t="s">
        <v>7</v>
      </c>
      <c r="D333" s="59" t="s">
        <v>17</v>
      </c>
      <c r="E333" s="100" t="str">
        <f>IF(Table25781014[[#This Row],[Line Section]]="","",VLOOKUP(Table25781014[[#This Row],[Line Section]],Reference!$A$2:$B$47,2,FALSE))</f>
        <v>C064</v>
      </c>
      <c r="F333" s="157" t="s">
        <v>651</v>
      </c>
      <c r="G333" s="440"/>
      <c r="H333" s="306"/>
      <c r="I333" s="54" t="s">
        <v>96</v>
      </c>
      <c r="J333" s="60">
        <v>11.407</v>
      </c>
      <c r="K333" s="60">
        <v>11.85</v>
      </c>
      <c r="L333" s="53">
        <f>IF(Table25781014[[#This Row],[End
(km)]]="","",Table25781014[[#This Row],[End
(km)]]-Table25781014[[#This Row],[Start
(km)]])</f>
        <v>0.44299999999999962</v>
      </c>
      <c r="M333" s="61" t="s">
        <v>189</v>
      </c>
      <c r="N333" s="59" t="s">
        <v>113</v>
      </c>
      <c r="O333" s="295" t="s">
        <v>113</v>
      </c>
      <c r="P333" s="64">
        <v>43230</v>
      </c>
      <c r="Q333" s="307">
        <v>43489</v>
      </c>
      <c r="R333" s="57" t="s">
        <v>121</v>
      </c>
      <c r="S333" s="55"/>
      <c r="T333" s="66"/>
      <c r="U333" s="308"/>
      <c r="V333" s="309"/>
      <c r="W333" s="67"/>
      <c r="X333" s="77" t="s">
        <v>753</v>
      </c>
      <c r="Y333" s="327"/>
      <c r="Z333" s="80" t="s">
        <v>122</v>
      </c>
      <c r="AA333" s="323"/>
      <c r="AB333" s="96"/>
      <c r="AC333" s="96"/>
      <c r="AD333" s="310" t="str">
        <f>IF(Table25781014[[#This Row],[End Completed Section (km)]]="","",Table25781014[[#This Row],[End Completed Section (km)]]-Table25781014[[#This Row],[Start Completed Section (km)]])</f>
        <v/>
      </c>
      <c r="AE333" s="72"/>
      <c r="AF333"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33" s="229" t="str">
        <f>IF(Table25781014[[#This Row],[Planned Date]]="","",TEXT(Table25781014[[#This Row],[Planned Date]],"mmm"))</f>
        <v>21/22</v>
      </c>
      <c r="AH333" s="252" t="e">
        <f>IF(Table25781014[[#This Row],[Month]]="","",VLOOKUP(Table25781014[[#This Row],[Month]],List!$B$2:$C$13,2,FALSE))</f>
        <v>#N/A</v>
      </c>
    </row>
    <row r="334" spans="1:34" ht="25.5" x14ac:dyDescent="0.2">
      <c r="A334" s="98" t="s">
        <v>117</v>
      </c>
      <c r="B334" s="305"/>
      <c r="C334" s="67" t="s">
        <v>7</v>
      </c>
      <c r="D334" s="99" t="s">
        <v>31</v>
      </c>
      <c r="E334" s="100" t="str">
        <f>IF(Table25781014[[#This Row],[Line Section]]="","",VLOOKUP(Table25781014[[#This Row],[Line Section]],Reference!$A$2:$B$47,2,FALSE))</f>
        <v>C138</v>
      </c>
      <c r="F334" s="157"/>
      <c r="G334" s="440"/>
      <c r="H334" s="306"/>
      <c r="I334" s="54" t="s">
        <v>93</v>
      </c>
      <c r="J334" s="101">
        <v>12.1</v>
      </c>
      <c r="K334" s="60">
        <v>12.37</v>
      </c>
      <c r="L334" s="102">
        <f>IF(Table25781014[[#This Row],[End
(km)]]="","",Table25781014[[#This Row],[End
(km)]]-Table25781014[[#This Row],[Start
(km)]])</f>
        <v>0.26999999999999957</v>
      </c>
      <c r="M334" s="61" t="s">
        <v>126</v>
      </c>
      <c r="N334" s="99" t="s">
        <v>109</v>
      </c>
      <c r="O334" s="71" t="s">
        <v>108</v>
      </c>
      <c r="P334" s="64">
        <v>43222</v>
      </c>
      <c r="Q334" s="307">
        <v>43480</v>
      </c>
      <c r="R334" s="57"/>
      <c r="S334" s="55" t="s">
        <v>121</v>
      </c>
      <c r="T334" s="66" t="s">
        <v>122</v>
      </c>
      <c r="U334" s="308"/>
      <c r="V334" s="309"/>
      <c r="W334" s="67"/>
      <c r="X334" s="107" t="s">
        <v>187</v>
      </c>
      <c r="Y334" s="451"/>
      <c r="Z334" s="103" t="s">
        <v>139</v>
      </c>
      <c r="AA334" s="320"/>
      <c r="AB334" s="96"/>
      <c r="AC334" s="96"/>
      <c r="AD334" s="310" t="str">
        <f>IF(Table25781014[[#This Row],[End Completed Section (km)]]="","",Table25781014[[#This Row],[End Completed Section (km)]]-Table25781014[[#This Row],[Start Completed Section (km)]])</f>
        <v/>
      </c>
      <c r="AE334" s="72"/>
      <c r="AF33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34" s="229" t="str">
        <f>IF(Table25781014[[#This Row],[Planned Date]]="","",TEXT(Table25781014[[#This Row],[Planned Date]],"mmm"))</f>
        <v/>
      </c>
      <c r="AH334" s="252" t="str">
        <f>IF(Table25781014[[#This Row],[Month]]="","",VLOOKUP(Table25781014[[#This Row],[Month]],List!$B$2:$C$13,2,FALSE))</f>
        <v/>
      </c>
    </row>
    <row r="335" spans="1:34" s="56" customFormat="1" ht="102" x14ac:dyDescent="0.2">
      <c r="A335" s="98" t="s">
        <v>116</v>
      </c>
      <c r="B335" s="305"/>
      <c r="C335" s="67" t="s">
        <v>7</v>
      </c>
      <c r="D335" s="59" t="s">
        <v>31</v>
      </c>
      <c r="E335" s="100" t="str">
        <f>IF(Table25781014[[#This Row],[Line Section]]="","",VLOOKUP(Table25781014[[#This Row],[Line Section]],Reference!$A$2:$B$47,2,FALSE))</f>
        <v>C138</v>
      </c>
      <c r="F335" s="157"/>
      <c r="G335" s="440"/>
      <c r="H335" s="306"/>
      <c r="I335" s="54" t="s">
        <v>94</v>
      </c>
      <c r="J335" s="60">
        <v>12.1</v>
      </c>
      <c r="K335" s="60">
        <v>12.38</v>
      </c>
      <c r="L335" s="53">
        <f>IF(Table25781014[[#This Row],[End
(km)]]="","",Table25781014[[#This Row],[End
(km)]]-Table25781014[[#This Row],[Start
(km)]])</f>
        <v>0.28000000000000114</v>
      </c>
      <c r="M335" s="61" t="s">
        <v>145</v>
      </c>
      <c r="N335" s="59" t="s">
        <v>112</v>
      </c>
      <c r="O335" s="295" t="s">
        <v>207</v>
      </c>
      <c r="P335" s="64">
        <v>43214</v>
      </c>
      <c r="Q335" s="307">
        <v>43480</v>
      </c>
      <c r="R335" s="61"/>
      <c r="S335" s="55" t="s">
        <v>121</v>
      </c>
      <c r="T335" s="66" t="s">
        <v>122</v>
      </c>
      <c r="U335" s="308"/>
      <c r="V335" s="309"/>
      <c r="W335" s="67" t="s">
        <v>154</v>
      </c>
      <c r="X335" s="77" t="s">
        <v>677</v>
      </c>
      <c r="Y335" s="326"/>
      <c r="Z335" s="159" t="s">
        <v>233</v>
      </c>
      <c r="AA335" s="323"/>
      <c r="AB335" s="96"/>
      <c r="AC335" s="96"/>
      <c r="AD335" s="310" t="str">
        <f>IF(Table25781014[[#This Row],[End Completed Section (km)]]="","",Table25781014[[#This Row],[End Completed Section (km)]]-Table25781014[[#This Row],[Start Completed Section (km)]])</f>
        <v/>
      </c>
      <c r="AE335" s="72"/>
      <c r="AF33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35" s="229" t="str">
        <f>IF(Table25781014[[#This Row],[Planned Date]]="","",TEXT(Table25781014[[#This Row],[Planned Date]],"mmm"))</f>
        <v/>
      </c>
      <c r="AH335" s="252" t="str">
        <f>IF(Table25781014[[#This Row],[Month]]="","",VLOOKUP(Table25781014[[#This Row],[Month]],List!$B$2:$C$13,2,FALSE))</f>
        <v/>
      </c>
    </row>
    <row r="336" spans="1:34" s="56" customFormat="1" ht="63.75" x14ac:dyDescent="0.2">
      <c r="A336" s="98" t="s">
        <v>116</v>
      </c>
      <c r="B336" s="305"/>
      <c r="C336" s="67" t="s">
        <v>7</v>
      </c>
      <c r="D336" s="59" t="s">
        <v>31</v>
      </c>
      <c r="E336" s="100" t="str">
        <f>IF(Table25781014[[#This Row],[Line Section]]="","",VLOOKUP(Table25781014[[#This Row],[Line Section]],Reference!$A$2:$B$47,2,FALSE))</f>
        <v>C138</v>
      </c>
      <c r="F336" s="157">
        <v>43562</v>
      </c>
      <c r="G336" s="440"/>
      <c r="H336" s="306" t="s">
        <v>533</v>
      </c>
      <c r="I336" s="54" t="s">
        <v>99</v>
      </c>
      <c r="J336" s="60">
        <v>13.38</v>
      </c>
      <c r="K336" s="60">
        <v>14.3</v>
      </c>
      <c r="L336" s="53">
        <f>IF(Table25781014[[#This Row],[End
(km)]]="","",Table25781014[[#This Row],[End
(km)]]-Table25781014[[#This Row],[Start
(km)]])</f>
        <v>0.91999999999999993</v>
      </c>
      <c r="M336" s="61" t="s">
        <v>146</v>
      </c>
      <c r="N336" s="59" t="s">
        <v>113</v>
      </c>
      <c r="O336" s="295" t="s">
        <v>113</v>
      </c>
      <c r="P336" s="64">
        <v>43207</v>
      </c>
      <c r="Q336" s="307">
        <v>43480</v>
      </c>
      <c r="R336" s="61" t="s">
        <v>121</v>
      </c>
      <c r="S336" s="55"/>
      <c r="T336" s="66" t="s">
        <v>122</v>
      </c>
      <c r="U336" s="308" t="s">
        <v>121</v>
      </c>
      <c r="V336" s="309"/>
      <c r="W336" s="67"/>
      <c r="X336" s="77" t="s">
        <v>419</v>
      </c>
      <c r="Y336" s="326"/>
      <c r="Z336" s="159" t="s">
        <v>121</v>
      </c>
      <c r="AA336" s="323"/>
      <c r="AB336" s="96">
        <v>13.38</v>
      </c>
      <c r="AC336" s="96">
        <v>14.06</v>
      </c>
      <c r="AD336" s="310">
        <f>IF(Table25781014[[#This Row],[End Completed Section (km)]]="","",Table25781014[[#This Row],[End Completed Section (km)]]-Table25781014[[#This Row],[Start Completed Section (km)]])</f>
        <v>0.67999999999999972</v>
      </c>
      <c r="AE336" s="72">
        <v>43562</v>
      </c>
      <c r="AF33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336" s="229" t="str">
        <f>IF(Table25781014[[#This Row],[Planned Date]]="","",TEXT(Table25781014[[#This Row],[Planned Date]],"mmm"))</f>
        <v>Apr</v>
      </c>
      <c r="AH336" s="252">
        <f>IF(Table25781014[[#This Row],[Month]]="","",VLOOKUP(Table25781014[[#This Row],[Month]],List!$B$2:$C$13,2,FALSE))</f>
        <v>10</v>
      </c>
    </row>
    <row r="337" spans="1:34" s="56" customFormat="1" ht="25.5" x14ac:dyDescent="0.2">
      <c r="A337" s="98" t="s">
        <v>117</v>
      </c>
      <c r="B337" s="305"/>
      <c r="C337" s="67" t="s">
        <v>7</v>
      </c>
      <c r="D337" s="59" t="s">
        <v>31</v>
      </c>
      <c r="E337" s="100" t="str">
        <f>IF(Table25781014[[#This Row],[Line Section]]="","",VLOOKUP(Table25781014[[#This Row],[Line Section]],Reference!$A$2:$B$47,2,FALSE))</f>
        <v>C138</v>
      </c>
      <c r="F337" s="157"/>
      <c r="G337" s="440"/>
      <c r="H337" s="306"/>
      <c r="I337" s="54" t="s">
        <v>94</v>
      </c>
      <c r="J337" s="60">
        <v>14.3</v>
      </c>
      <c r="K337" s="60">
        <v>14.55</v>
      </c>
      <c r="L337" s="53">
        <f>IF(Table25781014[[#This Row],[End
(km)]]="","",Table25781014[[#This Row],[End
(km)]]-Table25781014[[#This Row],[Start
(km)]])</f>
        <v>0.25</v>
      </c>
      <c r="M337" s="61" t="s">
        <v>126</v>
      </c>
      <c r="N337" s="59" t="s">
        <v>113</v>
      </c>
      <c r="O337" s="295" t="s">
        <v>110</v>
      </c>
      <c r="P337" s="64">
        <v>43214</v>
      </c>
      <c r="Q337" s="307">
        <v>43480</v>
      </c>
      <c r="R337" s="61"/>
      <c r="S337" s="55" t="s">
        <v>121</v>
      </c>
      <c r="T337" s="66" t="s">
        <v>122</v>
      </c>
      <c r="U337" s="308"/>
      <c r="V337" s="309"/>
      <c r="W337" s="67" t="s">
        <v>155</v>
      </c>
      <c r="X337" s="77" t="s">
        <v>678</v>
      </c>
      <c r="Y337" s="326"/>
      <c r="Z337" s="159" t="s">
        <v>122</v>
      </c>
      <c r="AA337" s="323"/>
      <c r="AB337" s="96"/>
      <c r="AC337" s="96"/>
      <c r="AD337" s="310" t="str">
        <f>IF(Table25781014[[#This Row],[End Completed Section (km)]]="","",Table25781014[[#This Row],[End Completed Section (km)]]-Table25781014[[#This Row],[Start Completed Section (km)]])</f>
        <v/>
      </c>
      <c r="AE337" s="72"/>
      <c r="AF33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37" s="229" t="str">
        <f>IF(Table25781014[[#This Row],[Planned Date]]="","",TEXT(Table25781014[[#This Row],[Planned Date]],"mmm"))</f>
        <v/>
      </c>
      <c r="AH337" s="252" t="str">
        <f>IF(Table25781014[[#This Row],[Month]]="","",VLOOKUP(Table25781014[[#This Row],[Month]],List!$B$2:$C$13,2,FALSE))</f>
        <v/>
      </c>
    </row>
    <row r="338" spans="1:34" s="56" customFormat="1" ht="63.75" x14ac:dyDescent="0.2">
      <c r="A338" s="98" t="s">
        <v>116</v>
      </c>
      <c r="B338" s="305"/>
      <c r="C338" s="67" t="s">
        <v>7</v>
      </c>
      <c r="D338" s="317" t="s">
        <v>31</v>
      </c>
      <c r="E338" s="100" t="str">
        <f>IF(Table25781014[[#This Row],[Line Section]]="","",VLOOKUP(Table25781014[[#This Row],[Line Section]],Reference!$A$2:$B$47,2,FALSE))</f>
        <v>C138</v>
      </c>
      <c r="F338" s="157">
        <v>43618</v>
      </c>
      <c r="G338" s="440"/>
      <c r="H338" s="306" t="s">
        <v>533</v>
      </c>
      <c r="I338" s="54" t="s">
        <v>94</v>
      </c>
      <c r="J338" s="60">
        <v>15.2</v>
      </c>
      <c r="K338" s="60">
        <v>15.73</v>
      </c>
      <c r="L338" s="53">
        <f>IF(Table25781014[[#This Row],[End
(km)]]="","",Table25781014[[#This Row],[End
(km)]]-Table25781014[[#This Row],[Start
(km)]])</f>
        <v>0.53000000000000114</v>
      </c>
      <c r="M338" s="61" t="s">
        <v>126</v>
      </c>
      <c r="N338" s="59" t="s">
        <v>113</v>
      </c>
      <c r="O338" s="295" t="s">
        <v>113</v>
      </c>
      <c r="P338" s="64">
        <v>43214</v>
      </c>
      <c r="Q338" s="307">
        <v>43480</v>
      </c>
      <c r="R338" s="61" t="s">
        <v>121</v>
      </c>
      <c r="S338" s="55" t="s">
        <v>121</v>
      </c>
      <c r="T338" s="66" t="s">
        <v>121</v>
      </c>
      <c r="U338" s="308" t="s">
        <v>121</v>
      </c>
      <c r="V338" s="312"/>
      <c r="W338" s="67"/>
      <c r="X338" s="77" t="s">
        <v>582</v>
      </c>
      <c r="Y338" s="326"/>
      <c r="Z338" s="159" t="s">
        <v>121</v>
      </c>
      <c r="AA338" s="323"/>
      <c r="AB338" s="96">
        <v>15.2</v>
      </c>
      <c r="AC338" s="96">
        <v>15.79</v>
      </c>
      <c r="AD338" s="314">
        <f>IF(Table25781014[[#This Row],[End Completed Section (km)]]="","",Table25781014[[#This Row],[End Completed Section (km)]]-Table25781014[[#This Row],[Start Completed Section (km)]])</f>
        <v>0.58999999999999986</v>
      </c>
      <c r="AE338" s="72">
        <v>43618</v>
      </c>
      <c r="AF33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338" s="229" t="str">
        <f>IF(Table25781014[[#This Row],[Planned Date]]="","",TEXT(Table25781014[[#This Row],[Planned Date]],"mmm"))</f>
        <v>Jun</v>
      </c>
      <c r="AH338" s="252">
        <f>IF(Table25781014[[#This Row],[Month]]="","",VLOOKUP(Table25781014[[#This Row],[Month]],List!$B$2:$C$13,2,FALSE))</f>
        <v>12</v>
      </c>
    </row>
    <row r="339" spans="1:34" s="56" customFormat="1" ht="63.75" x14ac:dyDescent="0.2">
      <c r="A339" s="98" t="s">
        <v>117</v>
      </c>
      <c r="B339" s="305">
        <v>9</v>
      </c>
      <c r="C339" s="67" t="s">
        <v>7</v>
      </c>
      <c r="D339" s="317" t="s">
        <v>31</v>
      </c>
      <c r="E339" s="100" t="str">
        <f>IF(Table25781014[[#This Row],[Line Section]]="","",VLOOKUP(Table25781014[[#This Row],[Line Section]],Reference!$A$2:$B$47,2,FALSE))</f>
        <v>C138</v>
      </c>
      <c r="F339" s="157">
        <v>44283</v>
      </c>
      <c r="G339" s="440" t="s">
        <v>430</v>
      </c>
      <c r="H339" s="247" t="s">
        <v>533</v>
      </c>
      <c r="I339" s="54" t="s">
        <v>94</v>
      </c>
      <c r="J339" s="60">
        <v>16.05</v>
      </c>
      <c r="K339" s="60">
        <v>16.5</v>
      </c>
      <c r="L339" s="53">
        <f>IF(Table25781014[[#This Row],[End
(km)]]="","",Table25781014[[#This Row],[End
(km)]]-Table25781014[[#This Row],[Start
(km)]])</f>
        <v>0.44999999999999929</v>
      </c>
      <c r="M339" s="61" t="s">
        <v>126</v>
      </c>
      <c r="N339" s="59" t="s">
        <v>113</v>
      </c>
      <c r="O339" s="295" t="s">
        <v>113</v>
      </c>
      <c r="P339" s="64">
        <v>43480</v>
      </c>
      <c r="Q339" s="307">
        <v>43489</v>
      </c>
      <c r="R339" s="61" t="s">
        <v>121</v>
      </c>
      <c r="S339" s="55"/>
      <c r="T339" s="66"/>
      <c r="U339" s="308"/>
      <c r="V339" s="312"/>
      <c r="W339" s="67"/>
      <c r="X339" s="77" t="s">
        <v>828</v>
      </c>
      <c r="Y339" s="332"/>
      <c r="Z339" s="159" t="s">
        <v>122</v>
      </c>
      <c r="AA339" s="323"/>
      <c r="AB339" s="96"/>
      <c r="AC339" s="96"/>
      <c r="AD339" s="314" t="str">
        <f>IF(Table25781014[[#This Row],[End Completed Section (km)]]="","",Table25781014[[#This Row],[End Completed Section (km)]]-Table25781014[[#This Row],[Start Completed Section (km)]])</f>
        <v/>
      </c>
      <c r="AE339" s="72"/>
      <c r="AF33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339" s="229" t="str">
        <f>IF(Table25781014[[#This Row],[Planned Date]]="","",TEXT(Table25781014[[#This Row],[Planned Date]],"mmm"))</f>
        <v>Mar</v>
      </c>
      <c r="AH339" s="252">
        <f>IF(Table25781014[[#This Row],[Month]]="","",VLOOKUP(Table25781014[[#This Row],[Month]],List!$B$2:$C$13,2,FALSE))</f>
        <v>9</v>
      </c>
    </row>
    <row r="340" spans="1:34" s="56" customFormat="1" x14ac:dyDescent="0.2">
      <c r="A340" s="98" t="s">
        <v>118</v>
      </c>
      <c r="B340" s="305"/>
      <c r="C340" s="67" t="s">
        <v>7</v>
      </c>
      <c r="D340" s="59" t="s">
        <v>31</v>
      </c>
      <c r="E340" s="100" t="str">
        <f>IF(Table25781014[[#This Row],[Line Section]]="","",VLOOKUP(Table25781014[[#This Row],[Line Section]],Reference!$A$2:$B$47,2,FALSE))</f>
        <v>C138</v>
      </c>
      <c r="F340" s="157"/>
      <c r="G340" s="440"/>
      <c r="H340" s="306"/>
      <c r="I340" s="54" t="s">
        <v>99</v>
      </c>
      <c r="J340" s="60">
        <v>16.78</v>
      </c>
      <c r="K340" s="60">
        <v>16.91</v>
      </c>
      <c r="L340" s="53">
        <f>IF(Table25781014[[#This Row],[End
(km)]]="","",Table25781014[[#This Row],[End
(km)]]-Table25781014[[#This Row],[Start
(km)]])</f>
        <v>0.12999999999999901</v>
      </c>
      <c r="M340" s="61" t="s">
        <v>126</v>
      </c>
      <c r="N340" s="59" t="s">
        <v>113</v>
      </c>
      <c r="O340" s="295" t="s">
        <v>113</v>
      </c>
      <c r="P340" s="64">
        <v>43207</v>
      </c>
      <c r="Q340" s="307">
        <v>43480</v>
      </c>
      <c r="R340" s="61"/>
      <c r="S340" s="55" t="s">
        <v>121</v>
      </c>
      <c r="T340" s="66" t="s">
        <v>122</v>
      </c>
      <c r="U340" s="308"/>
      <c r="V340" s="309"/>
      <c r="W340" s="67"/>
      <c r="X340" s="77"/>
      <c r="Y340" s="326"/>
      <c r="Z340" s="159" t="s">
        <v>122</v>
      </c>
      <c r="AA340" s="323"/>
      <c r="AB340" s="96"/>
      <c r="AC340" s="96"/>
      <c r="AD340" s="310" t="str">
        <f>IF(Table25781014[[#This Row],[End Completed Section (km)]]="","",Table25781014[[#This Row],[End Completed Section (km)]]-Table25781014[[#This Row],[Start Completed Section (km)]])</f>
        <v/>
      </c>
      <c r="AE340" s="72"/>
      <c r="AF34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40" s="229" t="str">
        <f>IF(Table25781014[[#This Row],[Planned Date]]="","",TEXT(Table25781014[[#This Row],[Planned Date]],"mmm"))</f>
        <v/>
      </c>
      <c r="AH340" s="252" t="str">
        <f>IF(Table25781014[[#This Row],[Month]]="","",VLOOKUP(Table25781014[[#This Row],[Month]],List!$B$2:$C$13,2,FALSE))</f>
        <v/>
      </c>
    </row>
    <row r="341" spans="1:34" s="56" customFormat="1" ht="25.5" x14ac:dyDescent="0.2">
      <c r="A341" s="98" t="s">
        <v>116</v>
      </c>
      <c r="B341" s="305">
        <v>3</v>
      </c>
      <c r="C341" s="67" t="s">
        <v>7</v>
      </c>
      <c r="D341" s="59" t="s">
        <v>31</v>
      </c>
      <c r="E341" s="100" t="str">
        <f>IF(Table25781014[[#This Row],[Line Section]]="","",VLOOKUP(Table25781014[[#This Row],[Line Section]],Reference!$A$2:$B$47,2,FALSE))</f>
        <v>C138</v>
      </c>
      <c r="F341" s="157">
        <v>43926</v>
      </c>
      <c r="G341" s="440"/>
      <c r="H341" s="247" t="s">
        <v>534</v>
      </c>
      <c r="I341" s="54" t="s">
        <v>94</v>
      </c>
      <c r="J341" s="60">
        <v>20.9</v>
      </c>
      <c r="K341" s="60">
        <v>21.1</v>
      </c>
      <c r="L341" s="53">
        <f>IF(Table25781014[[#This Row],[End
(km)]]="","",Table25781014[[#This Row],[End
(km)]]-Table25781014[[#This Row],[Start
(km)]])</f>
        <v>0.20000000000000284</v>
      </c>
      <c r="M341" s="61" t="s">
        <v>126</v>
      </c>
      <c r="N341" s="59" t="s">
        <v>113</v>
      </c>
      <c r="O341" s="295" t="s">
        <v>113</v>
      </c>
      <c r="P341" s="64">
        <v>43214</v>
      </c>
      <c r="Q341" s="307">
        <v>43480</v>
      </c>
      <c r="R341" s="61" t="s">
        <v>121</v>
      </c>
      <c r="S341" s="55" t="s">
        <v>121</v>
      </c>
      <c r="T341" s="66" t="s">
        <v>122</v>
      </c>
      <c r="U341" s="308"/>
      <c r="V341" s="312"/>
      <c r="W341" s="67" t="s">
        <v>153</v>
      </c>
      <c r="X341" s="77" t="s">
        <v>412</v>
      </c>
      <c r="Y341" s="332"/>
      <c r="Z341" s="159" t="s">
        <v>573</v>
      </c>
      <c r="AA341" s="342">
        <v>43618</v>
      </c>
      <c r="AB341" s="96"/>
      <c r="AC341" s="96"/>
      <c r="AD341" s="314" t="str">
        <f>IF(Table25781014[[#This Row],[End Completed Section (km)]]="","",Table25781014[[#This Row],[End Completed Section (km)]]-Table25781014[[#This Row],[Start Completed Section (km)]])</f>
        <v/>
      </c>
      <c r="AE341" s="72"/>
      <c r="AF34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341" s="229" t="str">
        <f>IF(Table25781014[[#This Row],[Planned Date]]="","",TEXT(Table25781014[[#This Row],[Planned Date]],"mmm"))</f>
        <v>Apr</v>
      </c>
      <c r="AH341" s="252">
        <f>IF(Table25781014[[#This Row],[Month]]="","",VLOOKUP(Table25781014[[#This Row],[Month]],List!$B$2:$C$13,2,FALSE))</f>
        <v>10</v>
      </c>
    </row>
    <row r="342" spans="1:34" s="56" customFormat="1" ht="51" x14ac:dyDescent="0.2">
      <c r="A342" s="98" t="s">
        <v>117</v>
      </c>
      <c r="B342" s="305">
        <v>20</v>
      </c>
      <c r="C342" s="67" t="s">
        <v>7</v>
      </c>
      <c r="D342" s="59" t="s">
        <v>31</v>
      </c>
      <c r="E342" s="100" t="str">
        <f>IF(Table25781014[[#This Row],[Line Section]]="","",VLOOKUP(Table25781014[[#This Row],[Line Section]],Reference!$A$2:$B$47,2,FALSE))</f>
        <v>C138</v>
      </c>
      <c r="F342" s="157" t="s">
        <v>651</v>
      </c>
      <c r="G342" s="440"/>
      <c r="H342" s="247"/>
      <c r="I342" s="54" t="s">
        <v>99</v>
      </c>
      <c r="J342" s="60">
        <v>21.05</v>
      </c>
      <c r="K342" s="60">
        <v>21.25</v>
      </c>
      <c r="L342" s="53">
        <f>IF(Table25781014[[#This Row],[End
(km)]]="","",Table25781014[[#This Row],[End
(km)]]-Table25781014[[#This Row],[Start
(km)]])</f>
        <v>0.19999999999999929</v>
      </c>
      <c r="M342" s="61" t="s">
        <v>126</v>
      </c>
      <c r="N342" s="59" t="s">
        <v>113</v>
      </c>
      <c r="O342" s="295" t="s">
        <v>113</v>
      </c>
      <c r="P342" s="64">
        <v>43207</v>
      </c>
      <c r="Q342" s="307">
        <v>43390</v>
      </c>
      <c r="R342" s="61" t="s">
        <v>121</v>
      </c>
      <c r="S342" s="55"/>
      <c r="T342" s="66" t="s">
        <v>122</v>
      </c>
      <c r="U342" s="308"/>
      <c r="V342" s="312"/>
      <c r="W342" s="67" t="s">
        <v>588</v>
      </c>
      <c r="X342" s="77" t="s">
        <v>410</v>
      </c>
      <c r="Y342" s="332"/>
      <c r="Z342" s="159" t="s">
        <v>573</v>
      </c>
      <c r="AA342" s="342">
        <v>43562</v>
      </c>
      <c r="AB342" s="96"/>
      <c r="AC342" s="96"/>
      <c r="AD342" s="314" t="str">
        <f>IF(Table25781014[[#This Row],[End Completed Section (km)]]="","",Table25781014[[#This Row],[End Completed Section (km)]]-Table25781014[[#This Row],[Start Completed Section (km)]])</f>
        <v/>
      </c>
      <c r="AE342" s="72"/>
      <c r="AF342"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42" s="229" t="str">
        <f>IF(Table25781014[[#This Row],[Planned Date]]="","",TEXT(Table25781014[[#This Row],[Planned Date]],"mmm"))</f>
        <v>21/22</v>
      </c>
      <c r="AH342" s="252" t="e">
        <f>IF(Table25781014[[#This Row],[Month]]="","",VLOOKUP(Table25781014[[#This Row],[Month]],List!$B$2:$C$13,2,FALSE))</f>
        <v>#N/A</v>
      </c>
    </row>
    <row r="343" spans="1:34" s="56" customFormat="1" x14ac:dyDescent="0.2">
      <c r="A343" s="98" t="s">
        <v>118</v>
      </c>
      <c r="B343" s="305"/>
      <c r="C343" s="67" t="s">
        <v>7</v>
      </c>
      <c r="D343" s="99" t="s">
        <v>31</v>
      </c>
      <c r="E343" s="100" t="str">
        <f>IF(Table25781014[[#This Row],[Line Section]]="","",VLOOKUP(Table25781014[[#This Row],[Line Section]],Reference!$A$2:$B$47,2,FALSE))</f>
        <v>C138</v>
      </c>
      <c r="F343" s="157"/>
      <c r="G343" s="440"/>
      <c r="H343" s="306"/>
      <c r="I343" s="54" t="s">
        <v>93</v>
      </c>
      <c r="J343" s="101">
        <v>21.55</v>
      </c>
      <c r="K343" s="60">
        <v>21.75</v>
      </c>
      <c r="L343" s="102">
        <f>IF(Table25781014[[#This Row],[End
(km)]]="","",Table25781014[[#This Row],[End
(km)]]-Table25781014[[#This Row],[Start
(km)]])</f>
        <v>0.19999999999999929</v>
      </c>
      <c r="M343" s="61" t="s">
        <v>126</v>
      </c>
      <c r="N343" s="99" t="s">
        <v>113</v>
      </c>
      <c r="O343" s="71" t="s">
        <v>207</v>
      </c>
      <c r="P343" s="64">
        <v>43222</v>
      </c>
      <c r="Q343" s="307">
        <v>43480</v>
      </c>
      <c r="R343" s="57"/>
      <c r="S343" s="55" t="s">
        <v>121</v>
      </c>
      <c r="T343" s="66" t="s">
        <v>122</v>
      </c>
      <c r="U343" s="308"/>
      <c r="V343" s="312"/>
      <c r="W343" s="67" t="s">
        <v>180</v>
      </c>
      <c r="X343" s="107"/>
      <c r="Y343" s="334" t="s">
        <v>181</v>
      </c>
      <c r="Z343" s="103" t="s">
        <v>122</v>
      </c>
      <c r="AA343" s="320"/>
      <c r="AB343" s="96"/>
      <c r="AC343" s="96"/>
      <c r="AD343" s="314" t="str">
        <f>IF(Table25781014[[#This Row],[End Completed Section (km)]]="","",Table25781014[[#This Row],[End Completed Section (km)]]-Table25781014[[#This Row],[Start Completed Section (km)]])</f>
        <v/>
      </c>
      <c r="AE343" s="72"/>
      <c r="AF34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43" s="229" t="str">
        <f>IF(Table25781014[[#This Row],[Planned Date]]="","",TEXT(Table25781014[[#This Row],[Planned Date]],"mmm"))</f>
        <v/>
      </c>
      <c r="AH343" s="252" t="str">
        <f>IF(Table25781014[[#This Row],[Month]]="","",VLOOKUP(Table25781014[[#This Row],[Month]],List!$B$2:$C$13,2,FALSE))</f>
        <v/>
      </c>
    </row>
    <row r="344" spans="1:34" ht="38.25" x14ac:dyDescent="0.2">
      <c r="A344" s="98" t="s">
        <v>118</v>
      </c>
      <c r="B344" s="305"/>
      <c r="C344" s="67" t="s">
        <v>7</v>
      </c>
      <c r="D344" s="59" t="s">
        <v>31</v>
      </c>
      <c r="E344" s="100" t="str">
        <f>IF(Table25781014[[#This Row],[Line Section]]="","",VLOOKUP(Table25781014[[#This Row],[Line Section]],Reference!$A$2:$B$47,2,FALSE))</f>
        <v>C138</v>
      </c>
      <c r="F344" s="157"/>
      <c r="G344" s="440"/>
      <c r="H344" s="306"/>
      <c r="I344" s="54" t="s">
        <v>99</v>
      </c>
      <c r="J344" s="60">
        <v>23.05</v>
      </c>
      <c r="K344" s="60">
        <v>23.15</v>
      </c>
      <c r="L344" s="53">
        <f>IF(Table25781014[[#This Row],[End
(km)]]="","",Table25781014[[#This Row],[End
(km)]]-Table25781014[[#This Row],[Start
(km)]])</f>
        <v>9.9999999999997868E-2</v>
      </c>
      <c r="M344" s="61" t="s">
        <v>126</v>
      </c>
      <c r="N344" s="59" t="s">
        <v>112</v>
      </c>
      <c r="O344" s="295" t="s">
        <v>113</v>
      </c>
      <c r="P344" s="64">
        <v>43207</v>
      </c>
      <c r="Q344" s="307">
        <v>43480</v>
      </c>
      <c r="R344" s="61"/>
      <c r="S344" s="55"/>
      <c r="T344" s="66" t="s">
        <v>121</v>
      </c>
      <c r="U344" s="308"/>
      <c r="V344" s="312"/>
      <c r="W344" s="67"/>
      <c r="X344" s="77" t="s">
        <v>147</v>
      </c>
      <c r="Y344" s="332"/>
      <c r="Z344" s="159" t="s">
        <v>122</v>
      </c>
      <c r="AA344" s="323"/>
      <c r="AB344" s="96"/>
      <c r="AC344" s="96"/>
      <c r="AD344" s="314" t="str">
        <f>IF(Table25781014[[#This Row],[End Completed Section (km)]]="","",Table25781014[[#This Row],[End Completed Section (km)]]-Table25781014[[#This Row],[Start Completed Section (km)]])</f>
        <v/>
      </c>
      <c r="AE344" s="72"/>
      <c r="AF34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44" s="229" t="str">
        <f>IF(Table25781014[[#This Row],[Planned Date]]="","",TEXT(Table25781014[[#This Row],[Planned Date]],"mmm"))</f>
        <v/>
      </c>
      <c r="AH344" s="252" t="str">
        <f>IF(Table25781014[[#This Row],[Month]]="","",VLOOKUP(Table25781014[[#This Row],[Month]],List!$B$2:$C$13,2,FALSE))</f>
        <v/>
      </c>
    </row>
    <row r="345" spans="1:34" ht="51" x14ac:dyDescent="0.2">
      <c r="A345" s="98" t="s">
        <v>117</v>
      </c>
      <c r="B345" s="305"/>
      <c r="C345" s="67" t="s">
        <v>7</v>
      </c>
      <c r="D345" s="99" t="s">
        <v>31</v>
      </c>
      <c r="E345" s="100" t="str">
        <f>IF(Table25781014[[#This Row],[Line Section]]="","",VLOOKUP(Table25781014[[#This Row],[Line Section]],Reference!$A$2:$B$47,2,FALSE))</f>
        <v>C138</v>
      </c>
      <c r="F345" s="157"/>
      <c r="G345" s="440"/>
      <c r="H345" s="306"/>
      <c r="I345" s="54" t="s">
        <v>93</v>
      </c>
      <c r="J345" s="101">
        <v>23.35</v>
      </c>
      <c r="K345" s="60">
        <v>23.8</v>
      </c>
      <c r="L345" s="102">
        <f>IF(Table25781014[[#This Row],[End
(km)]]="","",Table25781014[[#This Row],[End
(km)]]-Table25781014[[#This Row],[Start
(km)]])</f>
        <v>0.44999999999999929</v>
      </c>
      <c r="M345" s="61" t="s">
        <v>126</v>
      </c>
      <c r="N345" s="99" t="s">
        <v>113</v>
      </c>
      <c r="O345" s="71"/>
      <c r="P345" s="64">
        <v>43222</v>
      </c>
      <c r="Q345" s="307">
        <v>43480</v>
      </c>
      <c r="R345" s="57"/>
      <c r="S345" s="55" t="s">
        <v>121</v>
      </c>
      <c r="T345" s="66" t="s">
        <v>121</v>
      </c>
      <c r="U345" s="308"/>
      <c r="V345" s="312"/>
      <c r="W345" s="67" t="s">
        <v>315</v>
      </c>
      <c r="X345" s="107" t="s">
        <v>685</v>
      </c>
      <c r="Y345" s="334" t="s">
        <v>182</v>
      </c>
      <c r="Z345" s="103" t="s">
        <v>139</v>
      </c>
      <c r="AA345" s="320"/>
      <c r="AB345" s="96"/>
      <c r="AC345" s="96"/>
      <c r="AD345" s="314" t="str">
        <f>IF(Table25781014[[#This Row],[End Completed Section (km)]]="","",Table25781014[[#This Row],[End Completed Section (km)]]-Table25781014[[#This Row],[Start Completed Section (km)]])</f>
        <v/>
      </c>
      <c r="AE345" s="72"/>
      <c r="AF34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45" s="229" t="str">
        <f>IF(Table25781014[[#This Row],[Planned Date]]="","",TEXT(Table25781014[[#This Row],[Planned Date]],"mmm"))</f>
        <v/>
      </c>
      <c r="AH345" s="252" t="str">
        <f>IF(Table25781014[[#This Row],[Month]]="","",VLOOKUP(Table25781014[[#This Row],[Month]],List!$B$2:$C$13,2,FALSE))</f>
        <v/>
      </c>
    </row>
    <row r="346" spans="1:34" ht="89.25" x14ac:dyDescent="0.2">
      <c r="A346" s="98" t="s">
        <v>117</v>
      </c>
      <c r="B346" s="305">
        <v>22</v>
      </c>
      <c r="C346" s="67" t="s">
        <v>7</v>
      </c>
      <c r="D346" s="59" t="s">
        <v>31</v>
      </c>
      <c r="E346" s="100" t="str">
        <f>IF(Table25781014[[#This Row],[Line Section]]="","",VLOOKUP(Table25781014[[#This Row],[Line Section]],Reference!$A$2:$B$47,2,FALSE))</f>
        <v>C138</v>
      </c>
      <c r="F346" s="157" t="s">
        <v>651</v>
      </c>
      <c r="G346" s="440"/>
      <c r="H346" s="247"/>
      <c r="I346" s="54" t="s">
        <v>99</v>
      </c>
      <c r="J346" s="60">
        <v>24.1</v>
      </c>
      <c r="K346" s="60">
        <v>24.4</v>
      </c>
      <c r="L346" s="53">
        <f>IF(Table25781014[[#This Row],[End
(km)]]="","",Table25781014[[#This Row],[End
(km)]]-Table25781014[[#This Row],[Start
(km)]])</f>
        <v>0.29999999999999716</v>
      </c>
      <c r="M346" s="61" t="s">
        <v>126</v>
      </c>
      <c r="N346" s="59" t="s">
        <v>113</v>
      </c>
      <c r="O346" s="295" t="s">
        <v>113</v>
      </c>
      <c r="P346" s="64">
        <v>43207</v>
      </c>
      <c r="Q346" s="307">
        <v>43480</v>
      </c>
      <c r="R346" s="61" t="s">
        <v>121</v>
      </c>
      <c r="S346" s="55" t="s">
        <v>121</v>
      </c>
      <c r="T346" s="66" t="s">
        <v>121</v>
      </c>
      <c r="U346" s="308"/>
      <c r="V346" s="312"/>
      <c r="W346" s="67"/>
      <c r="X346" s="77" t="s">
        <v>575</v>
      </c>
      <c r="Y346" s="332"/>
      <c r="Z346" s="159" t="s">
        <v>573</v>
      </c>
      <c r="AA346" s="342">
        <v>43562</v>
      </c>
      <c r="AB346" s="96"/>
      <c r="AC346" s="96"/>
      <c r="AD346" s="314" t="str">
        <f>IF(Table25781014[[#This Row],[End Completed Section (km)]]="","",Table25781014[[#This Row],[End Completed Section (km)]]-Table25781014[[#This Row],[Start Completed Section (km)]])</f>
        <v/>
      </c>
      <c r="AE346" s="72"/>
      <c r="AF346"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46" s="229" t="str">
        <f>IF(Table25781014[[#This Row],[Planned Date]]="","",TEXT(Table25781014[[#This Row],[Planned Date]],"mmm"))</f>
        <v>21/22</v>
      </c>
      <c r="AH346" s="252" t="e">
        <f>IF(Table25781014[[#This Row],[Month]]="","",VLOOKUP(Table25781014[[#This Row],[Month]],List!$B$2:$C$13,2,FALSE))</f>
        <v>#N/A</v>
      </c>
    </row>
    <row r="347" spans="1:34" ht="38.25" x14ac:dyDescent="0.2">
      <c r="A347" s="98" t="s">
        <v>118</v>
      </c>
      <c r="B347" s="305"/>
      <c r="C347" s="67" t="s">
        <v>7</v>
      </c>
      <c r="D347" s="59" t="s">
        <v>31</v>
      </c>
      <c r="E347" s="100" t="str">
        <f>IF(Table25781014[[#This Row],[Line Section]]="","",VLOOKUP(Table25781014[[#This Row],[Line Section]],Reference!$A$2:$B$47,2,FALSE))</f>
        <v>C138</v>
      </c>
      <c r="F347" s="157"/>
      <c r="G347" s="440"/>
      <c r="H347" s="306"/>
      <c r="I347" s="54" t="s">
        <v>99</v>
      </c>
      <c r="J347" s="60">
        <v>24.6</v>
      </c>
      <c r="K347" s="60">
        <v>24.79</v>
      </c>
      <c r="L347" s="53">
        <f>IF(Table25781014[[#This Row],[End
(km)]]="","",Table25781014[[#This Row],[End
(km)]]-Table25781014[[#This Row],[Start
(km)]])</f>
        <v>0.18999999999999773</v>
      </c>
      <c r="M347" s="61" t="s">
        <v>126</v>
      </c>
      <c r="N347" s="59" t="s">
        <v>110</v>
      </c>
      <c r="O347" s="295" t="s">
        <v>207</v>
      </c>
      <c r="P347" s="64">
        <v>43207</v>
      </c>
      <c r="Q347" s="307">
        <v>43480</v>
      </c>
      <c r="R347" s="57"/>
      <c r="S347" s="55" t="s">
        <v>121</v>
      </c>
      <c r="T347" s="66" t="s">
        <v>122</v>
      </c>
      <c r="U347" s="308"/>
      <c r="V347" s="312"/>
      <c r="W347" s="67" t="s">
        <v>156</v>
      </c>
      <c r="X347" s="77" t="s">
        <v>697</v>
      </c>
      <c r="Y347" s="332"/>
      <c r="Z347" s="80" t="s">
        <v>139</v>
      </c>
      <c r="AA347" s="323"/>
      <c r="AB347" s="96"/>
      <c r="AC347" s="96"/>
      <c r="AD347" s="314" t="str">
        <f>IF(Table25781014[[#This Row],[End Completed Section (km)]]="","",Table25781014[[#This Row],[End Completed Section (km)]]-Table25781014[[#This Row],[Start Completed Section (km)]])</f>
        <v/>
      </c>
      <c r="AE347" s="72"/>
      <c r="AF34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47" s="229" t="str">
        <f>IF(Table25781014[[#This Row],[Planned Date]]="","",TEXT(Table25781014[[#This Row],[Planned Date]],"mmm"))</f>
        <v/>
      </c>
      <c r="AH347" s="252" t="str">
        <f>IF(Table25781014[[#This Row],[Month]]="","",VLOOKUP(Table25781014[[#This Row],[Month]],List!$B$2:$C$13,2,FALSE))</f>
        <v/>
      </c>
    </row>
    <row r="348" spans="1:34" ht="25.5" x14ac:dyDescent="0.2">
      <c r="A348" s="98" t="s">
        <v>118</v>
      </c>
      <c r="B348" s="305"/>
      <c r="C348" s="67" t="s">
        <v>7</v>
      </c>
      <c r="D348" s="99" t="s">
        <v>31</v>
      </c>
      <c r="E348" s="100" t="str">
        <f>IF(Table25781014[[#This Row],[Line Section]]="","",VLOOKUP(Table25781014[[#This Row],[Line Section]],Reference!$A$2:$B$47,2,FALSE))</f>
        <v>C138</v>
      </c>
      <c r="F348" s="157"/>
      <c r="G348" s="440"/>
      <c r="H348" s="306"/>
      <c r="I348" s="54" t="s">
        <v>93</v>
      </c>
      <c r="J348" s="101">
        <v>24.8</v>
      </c>
      <c r="K348" s="60">
        <v>25.24</v>
      </c>
      <c r="L348" s="102">
        <f>IF(Table25781014[[#This Row],[End
(km)]]="","",Table25781014[[#This Row],[End
(km)]]-Table25781014[[#This Row],[Start
(km)]])</f>
        <v>0.43999999999999773</v>
      </c>
      <c r="M348" s="61" t="s">
        <v>126</v>
      </c>
      <c r="N348" s="99" t="s">
        <v>113</v>
      </c>
      <c r="O348" s="71" t="s">
        <v>113</v>
      </c>
      <c r="P348" s="64">
        <v>43222</v>
      </c>
      <c r="Q348" s="307">
        <v>43480</v>
      </c>
      <c r="R348" s="57"/>
      <c r="S348" s="55" t="s">
        <v>121</v>
      </c>
      <c r="T348" s="66" t="s">
        <v>122</v>
      </c>
      <c r="U348" s="308"/>
      <c r="V348" s="312"/>
      <c r="W348" s="67"/>
      <c r="X348" s="107" t="s">
        <v>686</v>
      </c>
      <c r="Y348" s="334" t="s">
        <v>183</v>
      </c>
      <c r="Z348" s="103" t="s">
        <v>122</v>
      </c>
      <c r="AA348" s="320"/>
      <c r="AB348" s="96"/>
      <c r="AC348" s="96"/>
      <c r="AD348" s="314" t="str">
        <f>IF(Table25781014[[#This Row],[End Completed Section (km)]]="","",Table25781014[[#This Row],[End Completed Section (km)]]-Table25781014[[#This Row],[Start Completed Section (km)]])</f>
        <v/>
      </c>
      <c r="AE348" s="72"/>
      <c r="AF34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48" s="229" t="str">
        <f>IF(Table25781014[[#This Row],[Planned Date]]="","",TEXT(Table25781014[[#This Row],[Planned Date]],"mmm"))</f>
        <v/>
      </c>
      <c r="AH348" s="252" t="str">
        <f>IF(Table25781014[[#This Row],[Month]]="","",VLOOKUP(Table25781014[[#This Row],[Month]],List!$B$2:$C$13,2,FALSE))</f>
        <v/>
      </c>
    </row>
    <row r="349" spans="1:34" ht="76.5" x14ac:dyDescent="0.2">
      <c r="A349" s="98" t="s">
        <v>117</v>
      </c>
      <c r="B349" s="305"/>
      <c r="C349" s="67" t="s">
        <v>7</v>
      </c>
      <c r="D349" s="59" t="s">
        <v>31</v>
      </c>
      <c r="E349" s="100" t="str">
        <f>IF(Table25781014[[#This Row],[Line Section]]="","",VLOOKUP(Table25781014[[#This Row],[Line Section]],Reference!$A$2:$B$47,2,FALSE))</f>
        <v>C138</v>
      </c>
      <c r="F349" s="157">
        <v>44283</v>
      </c>
      <c r="G349" s="440"/>
      <c r="H349" s="247" t="s">
        <v>534</v>
      </c>
      <c r="I349" s="54" t="s">
        <v>99</v>
      </c>
      <c r="J349" s="60">
        <v>24.95</v>
      </c>
      <c r="K349" s="60">
        <v>25.15</v>
      </c>
      <c r="L349" s="53">
        <f>IF(Table25781014[[#This Row],[End
(km)]]="","",Table25781014[[#This Row],[End
(km)]]-Table25781014[[#This Row],[Start
(km)]])</f>
        <v>0.19999999999999929</v>
      </c>
      <c r="M349" s="61" t="s">
        <v>126</v>
      </c>
      <c r="N349" s="59" t="s">
        <v>113</v>
      </c>
      <c r="O349" s="295" t="s">
        <v>113</v>
      </c>
      <c r="P349" s="64">
        <v>43207</v>
      </c>
      <c r="Q349" s="307">
        <v>43480</v>
      </c>
      <c r="R349" s="57" t="s">
        <v>121</v>
      </c>
      <c r="S349" s="55" t="s">
        <v>121</v>
      </c>
      <c r="T349" s="66" t="s">
        <v>121</v>
      </c>
      <c r="U349" s="308"/>
      <c r="V349" s="312" t="s">
        <v>121</v>
      </c>
      <c r="W349" s="67" t="s">
        <v>134</v>
      </c>
      <c r="X349" s="77" t="s">
        <v>553</v>
      </c>
      <c r="Y349" s="332"/>
      <c r="Z349" s="80" t="s">
        <v>122</v>
      </c>
      <c r="AA349" s="323"/>
      <c r="AB349" s="96"/>
      <c r="AC349" s="96"/>
      <c r="AD349" s="314" t="str">
        <f>IF(Table25781014[[#This Row],[End Completed Section (km)]]="","",Table25781014[[#This Row],[End Completed Section (km)]]-Table25781014[[#This Row],[Start Completed Section (km)]])</f>
        <v/>
      </c>
      <c r="AE349" s="72"/>
      <c r="AF34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349" s="229" t="str">
        <f>IF(Table25781014[[#This Row],[Planned Date]]="","",TEXT(Table25781014[[#This Row],[Planned Date]],"mmm"))</f>
        <v>Mar</v>
      </c>
      <c r="AH349" s="252">
        <f>IF(Table25781014[[#This Row],[Month]]="","",VLOOKUP(Table25781014[[#This Row],[Month]],List!$B$2:$C$13,2,FALSE))</f>
        <v>9</v>
      </c>
    </row>
    <row r="350" spans="1:34" x14ac:dyDescent="0.2">
      <c r="A350" s="98" t="s">
        <v>118</v>
      </c>
      <c r="B350" s="305"/>
      <c r="C350" s="67" t="s">
        <v>7</v>
      </c>
      <c r="D350" s="99" t="s">
        <v>31</v>
      </c>
      <c r="E350" s="100" t="str">
        <f>IF(Table25781014[[#This Row],[Line Section]]="","",VLOOKUP(Table25781014[[#This Row],[Line Section]],Reference!$A$2:$B$47,2,FALSE))</f>
        <v>C138</v>
      </c>
      <c r="F350" s="157"/>
      <c r="G350" s="440"/>
      <c r="H350" s="306"/>
      <c r="I350" s="54" t="s">
        <v>93</v>
      </c>
      <c r="J350" s="101">
        <v>26.15</v>
      </c>
      <c r="K350" s="60">
        <v>26.5</v>
      </c>
      <c r="L350" s="102">
        <f>IF(Table25781014[[#This Row],[End
(km)]]="","",Table25781014[[#This Row],[End
(km)]]-Table25781014[[#This Row],[Start
(km)]])</f>
        <v>0.35000000000000142</v>
      </c>
      <c r="M350" s="61" t="s">
        <v>126</v>
      </c>
      <c r="N350" s="99" t="s">
        <v>113</v>
      </c>
      <c r="O350" s="71" t="s">
        <v>113</v>
      </c>
      <c r="P350" s="64">
        <v>43222</v>
      </c>
      <c r="Q350" s="307">
        <v>43480</v>
      </c>
      <c r="R350" s="57"/>
      <c r="S350" s="55"/>
      <c r="T350" s="66" t="s">
        <v>122</v>
      </c>
      <c r="U350" s="308"/>
      <c r="V350" s="312"/>
      <c r="W350" s="67"/>
      <c r="X350" s="107"/>
      <c r="Y350" s="334" t="s">
        <v>184</v>
      </c>
      <c r="Z350" s="103" t="s">
        <v>122</v>
      </c>
      <c r="AA350" s="320"/>
      <c r="AB350" s="96"/>
      <c r="AC350" s="96"/>
      <c r="AD350" s="314" t="str">
        <f>IF(Table25781014[[#This Row],[End Completed Section (km)]]="","",Table25781014[[#This Row],[End Completed Section (km)]]-Table25781014[[#This Row],[Start Completed Section (km)]])</f>
        <v/>
      </c>
      <c r="AE350" s="72"/>
      <c r="AF35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50" s="229" t="str">
        <f>IF(Table25781014[[#This Row],[Planned Date]]="","",TEXT(Table25781014[[#This Row],[Planned Date]],"mmm"))</f>
        <v/>
      </c>
      <c r="AH350" s="252" t="str">
        <f>IF(Table25781014[[#This Row],[Month]]="","",VLOOKUP(Table25781014[[#This Row],[Month]],List!$B$2:$C$13,2,FALSE))</f>
        <v/>
      </c>
    </row>
    <row r="351" spans="1:34" ht="38.25" x14ac:dyDescent="0.2">
      <c r="A351" s="98" t="s">
        <v>116</v>
      </c>
      <c r="B351" s="305">
        <v>4</v>
      </c>
      <c r="C351" s="67" t="s">
        <v>7</v>
      </c>
      <c r="D351" s="59" t="s">
        <v>31</v>
      </c>
      <c r="E351" s="100" t="str">
        <f>IF(Table25781014[[#This Row],[Line Section]]="","",VLOOKUP(Table25781014[[#This Row],[Line Section]],Reference!$A$2:$B$47,2,FALSE))</f>
        <v>C138</v>
      </c>
      <c r="F351" s="157">
        <v>44073</v>
      </c>
      <c r="G351" s="440"/>
      <c r="H351" s="247" t="s">
        <v>534</v>
      </c>
      <c r="I351" s="54" t="s">
        <v>99</v>
      </c>
      <c r="J351" s="60">
        <v>26.32</v>
      </c>
      <c r="K351" s="60">
        <v>26.48</v>
      </c>
      <c r="L351" s="53">
        <f>IF(Table25781014[[#This Row],[End
(km)]]="","",Table25781014[[#This Row],[End
(km)]]-Table25781014[[#This Row],[Start
(km)]])</f>
        <v>0.16000000000000014</v>
      </c>
      <c r="M351" s="61" t="s">
        <v>126</v>
      </c>
      <c r="N351" s="59" t="s">
        <v>113</v>
      </c>
      <c r="O351" s="295" t="s">
        <v>113</v>
      </c>
      <c r="P351" s="64">
        <v>43207</v>
      </c>
      <c r="Q351" s="307">
        <v>43416</v>
      </c>
      <c r="R351" s="57" t="s">
        <v>121</v>
      </c>
      <c r="S351" s="55"/>
      <c r="T351" s="66" t="s">
        <v>122</v>
      </c>
      <c r="U351" s="308"/>
      <c r="V351" s="312"/>
      <c r="W351" s="67" t="s">
        <v>135</v>
      </c>
      <c r="X351" s="77" t="s">
        <v>580</v>
      </c>
      <c r="Y351" s="332"/>
      <c r="Z351" s="80" t="s">
        <v>122</v>
      </c>
      <c r="AA351" s="323"/>
      <c r="AB351" s="96"/>
      <c r="AC351" s="96"/>
      <c r="AD351" s="314" t="str">
        <f>IF(Table25781014[[#This Row],[End Completed Section (km)]]="","",Table25781014[[#This Row],[End Completed Section (km)]]-Table25781014[[#This Row],[Start Completed Section (km)]])</f>
        <v/>
      </c>
      <c r="AE351" s="72"/>
      <c r="AF35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351" s="229" t="str">
        <f>IF(Table25781014[[#This Row],[Planned Date]]="","",TEXT(Table25781014[[#This Row],[Planned Date]],"mmm"))</f>
        <v>Aug</v>
      </c>
      <c r="AH351" s="252">
        <f>IF(Table25781014[[#This Row],[Month]]="","",VLOOKUP(Table25781014[[#This Row],[Month]],List!$B$2:$C$13,2,FALSE))</f>
        <v>2</v>
      </c>
    </row>
    <row r="352" spans="1:34" ht="25.5" x14ac:dyDescent="0.2">
      <c r="A352" s="98" t="s">
        <v>118</v>
      </c>
      <c r="B352" s="305"/>
      <c r="C352" s="67" t="s">
        <v>7</v>
      </c>
      <c r="D352" s="99" t="s">
        <v>31</v>
      </c>
      <c r="E352" s="100" t="str">
        <f>IF(Table25781014[[#This Row],[Line Section]]="","",VLOOKUP(Table25781014[[#This Row],[Line Section]],Reference!$A$2:$B$47,2,FALSE))</f>
        <v>C138</v>
      </c>
      <c r="F352" s="157"/>
      <c r="G352" s="440"/>
      <c r="H352" s="306"/>
      <c r="I352" s="54" t="s">
        <v>93</v>
      </c>
      <c r="J352" s="101">
        <v>26.74</v>
      </c>
      <c r="K352" s="60">
        <v>26.9</v>
      </c>
      <c r="L352" s="102">
        <f>IF(Table25781014[[#This Row],[End
(km)]]="","",Table25781014[[#This Row],[End
(km)]]-Table25781014[[#This Row],[Start
(km)]])</f>
        <v>0.16000000000000014</v>
      </c>
      <c r="M352" s="61" t="s">
        <v>126</v>
      </c>
      <c r="N352" s="99" t="s">
        <v>113</v>
      </c>
      <c r="O352" s="71" t="s">
        <v>113</v>
      </c>
      <c r="P352" s="64">
        <v>43222</v>
      </c>
      <c r="Q352" s="307">
        <v>43480</v>
      </c>
      <c r="R352" s="57"/>
      <c r="S352" s="55"/>
      <c r="T352" s="66" t="s">
        <v>122</v>
      </c>
      <c r="U352" s="308"/>
      <c r="V352" s="312"/>
      <c r="W352" s="67"/>
      <c r="X352" s="107" t="s">
        <v>186</v>
      </c>
      <c r="Y352" s="334" t="s">
        <v>185</v>
      </c>
      <c r="Z352" s="103" t="s">
        <v>122</v>
      </c>
      <c r="AA352" s="320"/>
      <c r="AB352" s="96"/>
      <c r="AC352" s="96"/>
      <c r="AD352" s="314" t="str">
        <f>IF(Table25781014[[#This Row],[End Completed Section (km)]]="","",Table25781014[[#This Row],[End Completed Section (km)]]-Table25781014[[#This Row],[Start Completed Section (km)]])</f>
        <v/>
      </c>
      <c r="AE352" s="72"/>
      <c r="AF35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52" s="229" t="str">
        <f>IF(Table25781014[[#This Row],[Planned Date]]="","",TEXT(Table25781014[[#This Row],[Planned Date]],"mmm"))</f>
        <v/>
      </c>
      <c r="AH352" s="252" t="str">
        <f>IF(Table25781014[[#This Row],[Month]]="","",VLOOKUP(Table25781014[[#This Row],[Month]],List!$B$2:$C$13,2,FALSE))</f>
        <v/>
      </c>
    </row>
    <row r="353" spans="1:34" ht="63.75" x14ac:dyDescent="0.2">
      <c r="A353" s="98" t="s">
        <v>116</v>
      </c>
      <c r="B353" s="305"/>
      <c r="C353" s="67" t="s">
        <v>7</v>
      </c>
      <c r="D353" s="59" t="s">
        <v>31</v>
      </c>
      <c r="E353" s="100" t="str">
        <f>IF(Table25781014[[#This Row],[Line Section]]="","",VLOOKUP(Table25781014[[#This Row],[Line Section]],Reference!$A$2:$B$47,2,FALSE))</f>
        <v>C138</v>
      </c>
      <c r="F353" s="157"/>
      <c r="G353" s="440"/>
      <c r="H353" s="306"/>
      <c r="I353" s="54" t="s">
        <v>94</v>
      </c>
      <c r="J353" s="60">
        <v>27.8</v>
      </c>
      <c r="K353" s="60">
        <v>28.15</v>
      </c>
      <c r="L353" s="53">
        <f>IF(Table25781014[[#This Row],[End
(km)]]="","",Table25781014[[#This Row],[End
(km)]]-Table25781014[[#This Row],[Start
(km)]])</f>
        <v>0.34999999999999787</v>
      </c>
      <c r="M353" s="61" t="s">
        <v>126</v>
      </c>
      <c r="N353" s="59" t="s">
        <v>113</v>
      </c>
      <c r="O353" s="295"/>
      <c r="P353" s="64">
        <v>43216</v>
      </c>
      <c r="Q353" s="307">
        <v>43250</v>
      </c>
      <c r="R353" s="61" t="s">
        <v>121</v>
      </c>
      <c r="S353" s="55" t="s">
        <v>121</v>
      </c>
      <c r="T353" s="66" t="s">
        <v>122</v>
      </c>
      <c r="U353" s="308"/>
      <c r="V353" s="312"/>
      <c r="W353" s="67"/>
      <c r="X353" s="77" t="s">
        <v>549</v>
      </c>
      <c r="Y353" s="332"/>
      <c r="Z353" s="159" t="s">
        <v>233</v>
      </c>
      <c r="AA353" s="323"/>
      <c r="AB353" s="96"/>
      <c r="AC353" s="96"/>
      <c r="AD353" s="314" t="str">
        <f>IF(Table25781014[[#This Row],[End Completed Section (km)]]="","",Table25781014[[#This Row],[End Completed Section (km)]]-Table25781014[[#This Row],[Start Completed Section (km)]])</f>
        <v/>
      </c>
      <c r="AE353" s="72"/>
      <c r="AF35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53" s="229" t="str">
        <f>IF(Table25781014[[#This Row],[Planned Date]]="","",TEXT(Table25781014[[#This Row],[Planned Date]],"mmm"))</f>
        <v/>
      </c>
      <c r="AH353" s="252" t="str">
        <f>IF(Table25781014[[#This Row],[Month]]="","",VLOOKUP(Table25781014[[#This Row],[Month]],List!$B$2:$C$13,2,FALSE))</f>
        <v/>
      </c>
    </row>
    <row r="354" spans="1:34" ht="38.25" x14ac:dyDescent="0.2">
      <c r="A354" s="98" t="s">
        <v>116</v>
      </c>
      <c r="B354" s="305">
        <v>24</v>
      </c>
      <c r="C354" s="67" t="s">
        <v>7</v>
      </c>
      <c r="D354" s="59" t="s">
        <v>31</v>
      </c>
      <c r="E354" s="100" t="str">
        <f>IF(Table25781014[[#This Row],[Line Section]]="","",VLOOKUP(Table25781014[[#This Row],[Line Section]],Reference!$A$2:$B$47,2,FALSE))</f>
        <v>C138</v>
      </c>
      <c r="F354" s="157" t="s">
        <v>651</v>
      </c>
      <c r="G354" s="440"/>
      <c r="H354" s="306"/>
      <c r="I354" s="54" t="s">
        <v>93</v>
      </c>
      <c r="J354" s="60">
        <v>29.1</v>
      </c>
      <c r="K354" s="60">
        <v>29.65</v>
      </c>
      <c r="L354" s="53">
        <f>IF(Table25781014[[#This Row],[End
(km)]]="","",Table25781014[[#This Row],[End
(km)]]-Table25781014[[#This Row],[Start
(km)]])</f>
        <v>0.54999999999999716</v>
      </c>
      <c r="M354" s="61" t="s">
        <v>189</v>
      </c>
      <c r="N354" s="59" t="s">
        <v>113</v>
      </c>
      <c r="O354" s="295" t="s">
        <v>113</v>
      </c>
      <c r="P354" s="64">
        <v>43230</v>
      </c>
      <c r="Q354" s="307">
        <v>43686</v>
      </c>
      <c r="R354" s="57" t="s">
        <v>121</v>
      </c>
      <c r="S354" s="55"/>
      <c r="T354" s="66"/>
      <c r="U354" s="308"/>
      <c r="V354" s="309"/>
      <c r="W354" s="67"/>
      <c r="X354" s="77" t="s">
        <v>862</v>
      </c>
      <c r="Y354" s="330"/>
      <c r="Z354" s="80" t="s">
        <v>122</v>
      </c>
      <c r="AA354" s="323"/>
      <c r="AB354" s="96"/>
      <c r="AC354" s="96"/>
      <c r="AD354" s="310" t="str">
        <f>IF(Table25781014[[#This Row],[End Completed Section (km)]]="","",Table25781014[[#This Row],[End Completed Section (km)]]-Table25781014[[#This Row],[Start Completed Section (km)]])</f>
        <v/>
      </c>
      <c r="AE354" s="72"/>
      <c r="AF354"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54" s="229" t="str">
        <f>IF(Table25781014[[#This Row],[Planned Date]]="","",TEXT(Table25781014[[#This Row],[Planned Date]],"mmm"))</f>
        <v>21/22</v>
      </c>
      <c r="AH354" s="252" t="e">
        <f>IF(Table25781014[[#This Row],[Month]]="","",VLOOKUP(Table25781014[[#This Row],[Month]],List!$B$2:$C$13,2,FALSE))</f>
        <v>#N/A</v>
      </c>
    </row>
    <row r="355" spans="1:34" ht="51" x14ac:dyDescent="0.2">
      <c r="A355" s="98" t="s">
        <v>118</v>
      </c>
      <c r="B355" s="305">
        <v>25</v>
      </c>
      <c r="C355" s="67" t="s">
        <v>7</v>
      </c>
      <c r="D355" s="59" t="s">
        <v>31</v>
      </c>
      <c r="E355" s="100" t="str">
        <f>IF(Table25781014[[#This Row],[Line Section]]="","",VLOOKUP(Table25781014[[#This Row],[Line Section]],Reference!$A$2:$B$47,2,FALSE))</f>
        <v>C138</v>
      </c>
      <c r="F355" s="157" t="s">
        <v>651</v>
      </c>
      <c r="G355" s="440"/>
      <c r="H355" s="306"/>
      <c r="I355" s="54" t="s">
        <v>94</v>
      </c>
      <c r="J355" s="60">
        <v>29.2</v>
      </c>
      <c r="K355" s="60">
        <v>29.6</v>
      </c>
      <c r="L355" s="53">
        <f>IF(Table25781014[[#This Row],[End
(km)]]="","",Table25781014[[#This Row],[End
(km)]]-Table25781014[[#This Row],[Start
(km)]])</f>
        <v>0.40000000000000213</v>
      </c>
      <c r="M355" s="61" t="s">
        <v>129</v>
      </c>
      <c r="N355" s="59" t="s">
        <v>113</v>
      </c>
      <c r="O355" s="295" t="s">
        <v>113</v>
      </c>
      <c r="P355" s="64">
        <v>43375</v>
      </c>
      <c r="Q355" s="307">
        <v>43480</v>
      </c>
      <c r="R355" s="57" t="s">
        <v>121</v>
      </c>
      <c r="S355" s="55"/>
      <c r="T355" s="66"/>
      <c r="U355" s="308"/>
      <c r="V355" s="312"/>
      <c r="W355" s="67"/>
      <c r="X355" s="77" t="s">
        <v>679</v>
      </c>
      <c r="Y355" s="326"/>
      <c r="Z355" s="80" t="s">
        <v>122</v>
      </c>
      <c r="AA355" s="323"/>
      <c r="AB355" s="96"/>
      <c r="AC355" s="96"/>
      <c r="AD355" s="314" t="str">
        <f>IF(Table25781014[[#This Row],[End Completed Section (km)]]="","",Table25781014[[#This Row],[End Completed Section (km)]]-Table25781014[[#This Row],[Start Completed Section (km)]])</f>
        <v/>
      </c>
      <c r="AE355" s="72"/>
      <c r="AF355"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55" s="229" t="str">
        <f>IF(Table25781014[[#This Row],[Planned Date]]="","",TEXT(Table25781014[[#This Row],[Planned Date]],"mmm"))</f>
        <v>21/22</v>
      </c>
      <c r="AH355" s="252" t="e">
        <f>IF(Table25781014[[#This Row],[Month]]="","",VLOOKUP(Table25781014[[#This Row],[Month]],List!$B$2:$C$13,2,FALSE))</f>
        <v>#N/A</v>
      </c>
    </row>
    <row r="356" spans="1:34" s="56" customFormat="1" ht="25.5" x14ac:dyDescent="0.2">
      <c r="A356" s="98" t="s">
        <v>118</v>
      </c>
      <c r="B356" s="305"/>
      <c r="C356" s="67" t="s">
        <v>7</v>
      </c>
      <c r="D356" s="59" t="s">
        <v>31</v>
      </c>
      <c r="E356" s="100" t="str">
        <f>IF(Table25781014[[#This Row],[Line Section]]="","",VLOOKUP(Table25781014[[#This Row],[Line Section]],Reference!$A$2:$B$47,2,FALSE))</f>
        <v>C138</v>
      </c>
      <c r="F356" s="157"/>
      <c r="G356" s="440"/>
      <c r="H356" s="306"/>
      <c r="I356" s="54" t="s">
        <v>94</v>
      </c>
      <c r="J356" s="60">
        <v>29.6</v>
      </c>
      <c r="K356" s="60">
        <v>30.1</v>
      </c>
      <c r="L356" s="53">
        <f>IF(Table25781014[[#This Row],[End
(km)]]="","",Table25781014[[#This Row],[End
(km)]]-Table25781014[[#This Row],[Start
(km)]])</f>
        <v>0.5</v>
      </c>
      <c r="M356" s="61" t="s">
        <v>129</v>
      </c>
      <c r="N356" s="59" t="s">
        <v>113</v>
      </c>
      <c r="O356" s="295" t="s">
        <v>113</v>
      </c>
      <c r="P356" s="64">
        <v>43375</v>
      </c>
      <c r="Q356" s="307">
        <v>43480</v>
      </c>
      <c r="R356" s="57" t="s">
        <v>121</v>
      </c>
      <c r="S356" s="55"/>
      <c r="T356" s="66"/>
      <c r="U356" s="308"/>
      <c r="V356" s="309"/>
      <c r="W356" s="67"/>
      <c r="X356" s="77" t="s">
        <v>559</v>
      </c>
      <c r="Y356" s="326"/>
      <c r="Z356" s="80"/>
      <c r="AA356" s="323"/>
      <c r="AB356" s="96"/>
      <c r="AC356" s="96"/>
      <c r="AD356" s="310" t="str">
        <f>IF(Table25781014[[#This Row],[End Completed Section (km)]]="","",Table25781014[[#This Row],[End Completed Section (km)]]-Table25781014[[#This Row],[Start Completed Section (km)]])</f>
        <v/>
      </c>
      <c r="AE356" s="72"/>
      <c r="AF35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56" s="229" t="str">
        <f>IF(Table25781014[[#This Row],[Planned Date]]="","",TEXT(Table25781014[[#This Row],[Planned Date]],"mmm"))</f>
        <v/>
      </c>
      <c r="AH356" s="252" t="str">
        <f>IF(Table25781014[[#This Row],[Month]]="","",VLOOKUP(Table25781014[[#This Row],[Month]],List!$B$2:$C$13,2,FALSE))</f>
        <v/>
      </c>
    </row>
    <row r="357" spans="1:34" ht="51" x14ac:dyDescent="0.2">
      <c r="A357" s="98" t="s">
        <v>116</v>
      </c>
      <c r="B357" s="305">
        <v>23</v>
      </c>
      <c r="C357" s="67" t="s">
        <v>7</v>
      </c>
      <c r="D357" s="59" t="s">
        <v>31</v>
      </c>
      <c r="E357" s="100" t="str">
        <f>IF(Table25781014[[#This Row],[Line Section]]="","",VLOOKUP(Table25781014[[#This Row],[Line Section]],Reference!$A$2:$B$47,2,FALSE))</f>
        <v>C138</v>
      </c>
      <c r="F357" s="157" t="s">
        <v>651</v>
      </c>
      <c r="G357" s="440"/>
      <c r="H357" s="306"/>
      <c r="I357" s="54" t="s">
        <v>94</v>
      </c>
      <c r="J357" s="60">
        <v>30.1</v>
      </c>
      <c r="K357" s="60">
        <v>31</v>
      </c>
      <c r="L357" s="53">
        <f>IF(Table25781014[[#This Row],[End
(km)]]="","",Table25781014[[#This Row],[End
(km)]]-Table25781014[[#This Row],[Start
(km)]])</f>
        <v>0.89999999999999858</v>
      </c>
      <c r="M357" s="61" t="s">
        <v>126</v>
      </c>
      <c r="N357" s="59" t="s">
        <v>277</v>
      </c>
      <c r="O357" s="295" t="s">
        <v>113</v>
      </c>
      <c r="P357" s="64">
        <v>43480</v>
      </c>
      <c r="Q357" s="307">
        <v>43489</v>
      </c>
      <c r="R357" s="57" t="s">
        <v>121</v>
      </c>
      <c r="S357" s="55" t="s">
        <v>121</v>
      </c>
      <c r="T357" s="66"/>
      <c r="U357" s="308"/>
      <c r="V357" s="312"/>
      <c r="W357" s="67"/>
      <c r="X357" s="77" t="s">
        <v>754</v>
      </c>
      <c r="Y357" s="332"/>
      <c r="Z357" s="80" t="s">
        <v>188</v>
      </c>
      <c r="AA357" s="323"/>
      <c r="AB357" s="96"/>
      <c r="AC357" s="96"/>
      <c r="AD357" s="314" t="str">
        <f>IF(Table25781014[[#This Row],[End Completed Section (km)]]="","",Table25781014[[#This Row],[End Completed Section (km)]]-Table25781014[[#This Row],[Start Completed Section (km)]])</f>
        <v/>
      </c>
      <c r="AE357" s="72"/>
      <c r="AF357"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57" s="229" t="str">
        <f>IF(Table25781014[[#This Row],[Planned Date]]="","",TEXT(Table25781014[[#This Row],[Planned Date]],"mmm"))</f>
        <v>21/22</v>
      </c>
      <c r="AH357" s="252" t="e">
        <f>IF(Table25781014[[#This Row],[Month]]="","",VLOOKUP(Table25781014[[#This Row],[Month]],List!$B$2:$C$13,2,FALSE))</f>
        <v>#N/A</v>
      </c>
    </row>
    <row r="358" spans="1:34" ht="38.25" x14ac:dyDescent="0.2">
      <c r="A358" s="98" t="s">
        <v>116</v>
      </c>
      <c r="B358" s="305">
        <v>11</v>
      </c>
      <c r="C358" s="67" t="s">
        <v>7</v>
      </c>
      <c r="D358" s="59" t="s">
        <v>31</v>
      </c>
      <c r="E358" s="100" t="str">
        <f>IF(Table25781014[[#This Row],[Line Section]]="","",VLOOKUP(Table25781014[[#This Row],[Line Section]],Reference!$A$2:$B$47,2,FALSE))</f>
        <v>C138</v>
      </c>
      <c r="F358" s="157" t="s">
        <v>651</v>
      </c>
      <c r="G358" s="440"/>
      <c r="H358" s="306"/>
      <c r="I358" s="54" t="s">
        <v>93</v>
      </c>
      <c r="J358" s="60">
        <v>30.15</v>
      </c>
      <c r="K358" s="60">
        <v>30.9</v>
      </c>
      <c r="L358" s="53">
        <f>IF(Table25781014[[#This Row],[End
(km)]]="","",Table25781014[[#This Row],[End
(km)]]-Table25781014[[#This Row],[Start
(km)]])</f>
        <v>0.75</v>
      </c>
      <c r="M358" s="61" t="s">
        <v>189</v>
      </c>
      <c r="N358" s="59" t="s">
        <v>112</v>
      </c>
      <c r="O358" s="295" t="s">
        <v>113</v>
      </c>
      <c r="P358" s="64">
        <v>43230</v>
      </c>
      <c r="Q358" s="307">
        <v>43686</v>
      </c>
      <c r="R358" s="57" t="s">
        <v>121</v>
      </c>
      <c r="S358" s="55" t="s">
        <v>121</v>
      </c>
      <c r="T358" s="66"/>
      <c r="U358" s="308"/>
      <c r="V358" s="312"/>
      <c r="W358" s="67"/>
      <c r="X358" s="77" t="s">
        <v>842</v>
      </c>
      <c r="Y358" s="330"/>
      <c r="Z358" s="80" t="s">
        <v>122</v>
      </c>
      <c r="AA358" s="323"/>
      <c r="AB358" s="96"/>
      <c r="AC358" s="96"/>
      <c r="AD358" s="314" t="str">
        <f>IF(Table25781014[[#This Row],[End Completed Section (km)]]="","",Table25781014[[#This Row],[End Completed Section (km)]]-Table25781014[[#This Row],[Start Completed Section (km)]])</f>
        <v/>
      </c>
      <c r="AE358" s="72"/>
      <c r="AF358"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58" s="229" t="str">
        <f>IF(Table25781014[[#This Row],[Planned Date]]="","",TEXT(Table25781014[[#This Row],[Planned Date]],"mmm"))</f>
        <v>21/22</v>
      </c>
      <c r="AH358" s="252" t="e">
        <f>IF(Table25781014[[#This Row],[Month]]="","",VLOOKUP(Table25781014[[#This Row],[Month]],List!$B$2:$C$13,2,FALSE))</f>
        <v>#N/A</v>
      </c>
    </row>
    <row r="359" spans="1:34" ht="25.5" x14ac:dyDescent="0.2">
      <c r="A359" s="98" t="s">
        <v>118</v>
      </c>
      <c r="B359" s="305"/>
      <c r="C359" s="67" t="s">
        <v>7</v>
      </c>
      <c r="D359" s="59" t="s">
        <v>31</v>
      </c>
      <c r="E359" s="100" t="str">
        <f>IF(Table25781014[[#This Row],[Line Section]]="","",VLOOKUP(Table25781014[[#This Row],[Line Section]],Reference!$A$2:$B$47,2,FALSE))</f>
        <v>C138</v>
      </c>
      <c r="F359" s="157"/>
      <c r="G359" s="440"/>
      <c r="H359" s="306"/>
      <c r="I359" s="54" t="s">
        <v>93</v>
      </c>
      <c r="J359" s="60">
        <v>31.2</v>
      </c>
      <c r="K359" s="60">
        <v>31.55</v>
      </c>
      <c r="L359" s="53">
        <f>IF(Table25781014[[#This Row],[End
(km)]]="","",Table25781014[[#This Row],[End
(km)]]-Table25781014[[#This Row],[Start
(km)]])</f>
        <v>0.35000000000000142</v>
      </c>
      <c r="M359" s="61" t="s">
        <v>189</v>
      </c>
      <c r="N359" s="59" t="s">
        <v>277</v>
      </c>
      <c r="O359" s="295" t="s">
        <v>113</v>
      </c>
      <c r="P359" s="64">
        <v>43230</v>
      </c>
      <c r="Q359" s="307">
        <v>43480</v>
      </c>
      <c r="R359" s="57"/>
      <c r="S359" s="55"/>
      <c r="T359" s="66"/>
      <c r="U359" s="308"/>
      <c r="V359" s="312"/>
      <c r="W359" s="67"/>
      <c r="X359" s="77"/>
      <c r="Y359" s="330"/>
      <c r="Z359" s="80" t="s">
        <v>122</v>
      </c>
      <c r="AA359" s="323"/>
      <c r="AB359" s="96"/>
      <c r="AC359" s="96"/>
      <c r="AD359" s="314" t="str">
        <f>IF(Table25781014[[#This Row],[End Completed Section (km)]]="","",Table25781014[[#This Row],[End Completed Section (km)]]-Table25781014[[#This Row],[Start Completed Section (km)]])</f>
        <v/>
      </c>
      <c r="AE359" s="72"/>
      <c r="AF35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59" s="229" t="str">
        <f>IF(Table25781014[[#This Row],[Planned Date]]="","",TEXT(Table25781014[[#This Row],[Planned Date]],"mmm"))</f>
        <v/>
      </c>
      <c r="AH359" s="252" t="str">
        <f>IF(Table25781014[[#This Row],[Month]]="","",VLOOKUP(Table25781014[[#This Row],[Month]],List!$B$2:$C$13,2,FALSE))</f>
        <v/>
      </c>
    </row>
    <row r="360" spans="1:34" s="56" customFormat="1" ht="25.5" x14ac:dyDescent="0.2">
      <c r="A360" s="98" t="s">
        <v>118</v>
      </c>
      <c r="B360" s="305"/>
      <c r="C360" s="67" t="s">
        <v>7</v>
      </c>
      <c r="D360" s="59" t="s">
        <v>31</v>
      </c>
      <c r="E360" s="100" t="str">
        <f>IF(Table25781014[[#This Row],[Line Section]]="","",VLOOKUP(Table25781014[[#This Row],[Line Section]],Reference!$A$2:$B$47,2,FALSE))</f>
        <v>C138</v>
      </c>
      <c r="F360" s="157"/>
      <c r="G360" s="440"/>
      <c r="H360" s="306"/>
      <c r="I360" s="54" t="s">
        <v>93</v>
      </c>
      <c r="J360" s="60">
        <v>32.4</v>
      </c>
      <c r="K360" s="60">
        <v>32.799999999999997</v>
      </c>
      <c r="L360" s="53">
        <f>IF(Table25781014[[#This Row],[End
(km)]]="","",Table25781014[[#This Row],[End
(km)]]-Table25781014[[#This Row],[Start
(km)]])</f>
        <v>0.39999999999999858</v>
      </c>
      <c r="M360" s="61" t="s">
        <v>189</v>
      </c>
      <c r="N360" s="59" t="s">
        <v>112</v>
      </c>
      <c r="O360" s="295" t="s">
        <v>113</v>
      </c>
      <c r="P360" s="64">
        <v>43230</v>
      </c>
      <c r="Q360" s="307">
        <v>43480</v>
      </c>
      <c r="R360" s="57"/>
      <c r="S360" s="55"/>
      <c r="T360" s="66"/>
      <c r="U360" s="308"/>
      <c r="V360" s="312"/>
      <c r="W360" s="67"/>
      <c r="X360" s="77"/>
      <c r="Y360" s="327"/>
      <c r="Z360" s="80" t="s">
        <v>122</v>
      </c>
      <c r="AA360" s="323"/>
      <c r="AB360" s="96"/>
      <c r="AC360" s="96"/>
      <c r="AD360" s="310" t="str">
        <f>IF(Table25781014[[#This Row],[End Completed Section (km)]]="","",Table25781014[[#This Row],[End Completed Section (km)]]-Table25781014[[#This Row],[Start Completed Section (km)]])</f>
        <v/>
      </c>
      <c r="AE360" s="72"/>
      <c r="AF36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60" s="229" t="str">
        <f>IF(Table25781014[[#This Row],[Planned Date]]="","",TEXT(Table25781014[[#This Row],[Planned Date]],"mmm"))</f>
        <v/>
      </c>
      <c r="AH360" s="252" t="str">
        <f>IF(Table25781014[[#This Row],[Month]]="","",VLOOKUP(Table25781014[[#This Row],[Month]],List!$B$2:$C$13,2,FALSE))</f>
        <v/>
      </c>
    </row>
    <row r="361" spans="1:34" ht="25.5" x14ac:dyDescent="0.2">
      <c r="A361" s="98" t="s">
        <v>118</v>
      </c>
      <c r="B361" s="305"/>
      <c r="C361" s="67" t="s">
        <v>7</v>
      </c>
      <c r="D361" s="59" t="s">
        <v>31</v>
      </c>
      <c r="E361" s="100" t="str">
        <f>IF(Table25781014[[#This Row],[Line Section]]="","",VLOOKUP(Table25781014[[#This Row],[Line Section]],Reference!$A$2:$B$47,2,FALSE))</f>
        <v>C138</v>
      </c>
      <c r="F361" s="157"/>
      <c r="G361" s="440"/>
      <c r="H361" s="306"/>
      <c r="I361" s="54" t="s">
        <v>93</v>
      </c>
      <c r="J361" s="60">
        <v>32.950000000000003</v>
      </c>
      <c r="K361" s="60">
        <v>33.353999999999999</v>
      </c>
      <c r="L361" s="53">
        <f>IF(Table25781014[[#This Row],[End
(km)]]="","",Table25781014[[#This Row],[End
(km)]]-Table25781014[[#This Row],[Start
(km)]])</f>
        <v>0.40399999999999636</v>
      </c>
      <c r="M361" s="61" t="s">
        <v>189</v>
      </c>
      <c r="N361" s="59" t="s">
        <v>113</v>
      </c>
      <c r="O361" s="295" t="s">
        <v>113</v>
      </c>
      <c r="P361" s="64">
        <v>43230</v>
      </c>
      <c r="Q361" s="307">
        <v>43480</v>
      </c>
      <c r="R361" s="57"/>
      <c r="S361" s="55"/>
      <c r="T361" s="66"/>
      <c r="U361" s="308"/>
      <c r="V361" s="312"/>
      <c r="W361" s="67"/>
      <c r="X361" s="77" t="s">
        <v>278</v>
      </c>
      <c r="Y361" s="330"/>
      <c r="Z361" s="80" t="s">
        <v>122</v>
      </c>
      <c r="AA361" s="323"/>
      <c r="AB361" s="96"/>
      <c r="AC361" s="96"/>
      <c r="AD361" s="314" t="str">
        <f>IF(Table25781014[[#This Row],[End Completed Section (km)]]="","",Table25781014[[#This Row],[End Completed Section (km)]]-Table25781014[[#This Row],[Start Completed Section (km)]])</f>
        <v/>
      </c>
      <c r="AE361" s="72"/>
      <c r="AF36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61" s="229" t="str">
        <f>IF(Table25781014[[#This Row],[Planned Date]]="","",TEXT(Table25781014[[#This Row],[Planned Date]],"mmm"))</f>
        <v/>
      </c>
      <c r="AH361" s="252" t="str">
        <f>IF(Table25781014[[#This Row],[Month]]="","",VLOOKUP(Table25781014[[#This Row],[Month]],List!$B$2:$C$13,2,FALSE))</f>
        <v/>
      </c>
    </row>
    <row r="362" spans="1:34" ht="25.5" x14ac:dyDescent="0.2">
      <c r="A362" s="98" t="s">
        <v>117</v>
      </c>
      <c r="B362" s="305"/>
      <c r="C362" s="67" t="s">
        <v>7</v>
      </c>
      <c r="D362" s="59" t="s">
        <v>31</v>
      </c>
      <c r="E362" s="100" t="str">
        <f>IF(Table25781014[[#This Row],[Line Section]]="","",VLOOKUP(Table25781014[[#This Row],[Line Section]],Reference!$A$2:$B$47,2,FALSE))</f>
        <v>C138</v>
      </c>
      <c r="F362" s="157"/>
      <c r="G362" s="440"/>
      <c r="H362" s="306"/>
      <c r="I362" s="54" t="s">
        <v>93</v>
      </c>
      <c r="J362" s="60">
        <v>35.950000000000003</v>
      </c>
      <c r="K362" s="60">
        <v>36.25</v>
      </c>
      <c r="L362" s="53">
        <f>IF(Table25781014[[#This Row],[End
(km)]]="","",Table25781014[[#This Row],[End
(km)]]-Table25781014[[#This Row],[Start
(km)]])</f>
        <v>0.29999999999999716</v>
      </c>
      <c r="M362" s="61" t="s">
        <v>189</v>
      </c>
      <c r="N362" s="59" t="s">
        <v>112</v>
      </c>
      <c r="O362" s="295" t="s">
        <v>113</v>
      </c>
      <c r="P362" s="64">
        <v>43230</v>
      </c>
      <c r="Q362" s="307">
        <v>43480</v>
      </c>
      <c r="R362" s="57"/>
      <c r="S362" s="55"/>
      <c r="T362" s="66"/>
      <c r="U362" s="308"/>
      <c r="V362" s="312"/>
      <c r="W362" s="67"/>
      <c r="X362" s="77"/>
      <c r="Y362" s="332"/>
      <c r="Z362" s="80" t="s">
        <v>122</v>
      </c>
      <c r="AA362" s="323"/>
      <c r="AB362" s="96"/>
      <c r="AC362" s="96"/>
      <c r="AD362" s="314" t="str">
        <f>IF(Table25781014[[#This Row],[End Completed Section (km)]]="","",Table25781014[[#This Row],[End Completed Section (km)]]-Table25781014[[#This Row],[Start Completed Section (km)]])</f>
        <v/>
      </c>
      <c r="AE362" s="72"/>
      <c r="AF36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62" s="229" t="str">
        <f>IF(Table25781014[[#This Row],[Planned Date]]="","",TEXT(Table25781014[[#This Row],[Planned Date]],"mmm"))</f>
        <v/>
      </c>
      <c r="AH362" s="252" t="str">
        <f>IF(Table25781014[[#This Row],[Month]]="","",VLOOKUP(Table25781014[[#This Row],[Month]],List!$B$2:$C$13,2,FALSE))</f>
        <v/>
      </c>
    </row>
    <row r="363" spans="1:34" s="56" customFormat="1" ht="25.5" x14ac:dyDescent="0.2">
      <c r="A363" s="98" t="s">
        <v>117</v>
      </c>
      <c r="B363" s="305"/>
      <c r="C363" s="67" t="s">
        <v>7</v>
      </c>
      <c r="D363" s="59" t="s">
        <v>31</v>
      </c>
      <c r="E363" s="100" t="str">
        <f>IF(Table25781014[[#This Row],[Line Section]]="","",VLOOKUP(Table25781014[[#This Row],[Line Section]],Reference!$A$2:$B$47,2,FALSE))</f>
        <v>C138</v>
      </c>
      <c r="F363" s="157"/>
      <c r="G363" s="440"/>
      <c r="H363" s="306"/>
      <c r="I363" s="54" t="s">
        <v>93</v>
      </c>
      <c r="J363" s="60">
        <v>36.299999999999997</v>
      </c>
      <c r="K363" s="60">
        <v>36.712000000000003</v>
      </c>
      <c r="L363" s="53">
        <f>IF(Table25781014[[#This Row],[End
(km)]]="","",Table25781014[[#This Row],[End
(km)]]-Table25781014[[#This Row],[Start
(km)]])</f>
        <v>0.41200000000000614</v>
      </c>
      <c r="M363" s="61" t="s">
        <v>189</v>
      </c>
      <c r="N363" s="59" t="s">
        <v>112</v>
      </c>
      <c r="O363" s="295" t="s">
        <v>113</v>
      </c>
      <c r="P363" s="64">
        <v>43230</v>
      </c>
      <c r="Q363" s="307">
        <v>43480</v>
      </c>
      <c r="R363" s="57"/>
      <c r="S363" s="55"/>
      <c r="T363" s="66"/>
      <c r="U363" s="308"/>
      <c r="V363" s="309"/>
      <c r="W363" s="67"/>
      <c r="X363" s="77" t="s">
        <v>687</v>
      </c>
      <c r="Y363" s="326"/>
      <c r="Z363" s="80" t="s">
        <v>122</v>
      </c>
      <c r="AA363" s="323"/>
      <c r="AB363" s="96"/>
      <c r="AC363" s="96"/>
      <c r="AD363" s="310" t="str">
        <f>IF(Table25781014[[#This Row],[End Completed Section (km)]]="","",Table25781014[[#This Row],[End Completed Section (km)]]-Table25781014[[#This Row],[Start Completed Section (km)]])</f>
        <v/>
      </c>
      <c r="AE363" s="72"/>
      <c r="AF36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63" s="229" t="str">
        <f>IF(Table25781014[[#This Row],[Planned Date]]="","",TEXT(Table25781014[[#This Row],[Planned Date]],"mmm"))</f>
        <v/>
      </c>
      <c r="AH363" s="252" t="str">
        <f>IF(Table25781014[[#This Row],[Month]]="","",VLOOKUP(Table25781014[[#This Row],[Month]],List!$B$2:$C$13,2,FALSE))</f>
        <v/>
      </c>
    </row>
    <row r="364" spans="1:34" ht="38.25" x14ac:dyDescent="0.2">
      <c r="A364" s="98" t="s">
        <v>118</v>
      </c>
      <c r="B364" s="305"/>
      <c r="C364" s="67" t="s">
        <v>7</v>
      </c>
      <c r="D364" s="59" t="s">
        <v>31</v>
      </c>
      <c r="E364" s="100" t="str">
        <f>IF(Table25781014[[#This Row],[Line Section]]="","",VLOOKUP(Table25781014[[#This Row],[Line Section]],Reference!$A$2:$B$47,2,FALSE))</f>
        <v>C138</v>
      </c>
      <c r="F364" s="157"/>
      <c r="G364" s="440"/>
      <c r="H364" s="306"/>
      <c r="I364" s="54" t="s">
        <v>94</v>
      </c>
      <c r="J364" s="60">
        <v>36.76</v>
      </c>
      <c r="K364" s="60">
        <v>36.82</v>
      </c>
      <c r="L364" s="53">
        <f>IF(Table25781014[[#This Row],[End
(km)]]="","",Table25781014[[#This Row],[End
(km)]]-Table25781014[[#This Row],[Start
(km)]])</f>
        <v>6.0000000000002274E-2</v>
      </c>
      <c r="M364" s="61" t="s">
        <v>146</v>
      </c>
      <c r="N364" s="59" t="s">
        <v>111</v>
      </c>
      <c r="O364" s="295" t="s">
        <v>111</v>
      </c>
      <c r="P364" s="64">
        <v>43349</v>
      </c>
      <c r="Q364" s="307">
        <v>43480</v>
      </c>
      <c r="R364" s="57" t="s">
        <v>121</v>
      </c>
      <c r="S364" s="55" t="s">
        <v>121</v>
      </c>
      <c r="T364" s="66"/>
      <c r="U364" s="308"/>
      <c r="V364" s="312"/>
      <c r="W364" s="67"/>
      <c r="X364" s="77" t="s">
        <v>680</v>
      </c>
      <c r="Y364" s="330"/>
      <c r="Z364" s="80" t="s">
        <v>122</v>
      </c>
      <c r="AA364" s="323"/>
      <c r="AB364" s="96"/>
      <c r="AC364" s="96"/>
      <c r="AD364" s="314" t="str">
        <f>IF(Table25781014[[#This Row],[End Completed Section (km)]]="","",Table25781014[[#This Row],[End Completed Section (km)]]-Table25781014[[#This Row],[Start Completed Section (km)]])</f>
        <v/>
      </c>
      <c r="AE364" s="161"/>
      <c r="AF364" s="253"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64" s="254" t="str">
        <f>IF(Table25781014[[#This Row],[Planned Date]]="","",TEXT(Table25781014[[#This Row],[Planned Date]],"mmm"))</f>
        <v/>
      </c>
      <c r="AH364" s="255" t="str">
        <f>IF(Table25781014[[#This Row],[Month]]="","",VLOOKUP(Table25781014[[#This Row],[Month]],List!$B$2:$C$13,2,FALSE))</f>
        <v/>
      </c>
    </row>
    <row r="365" spans="1:34" ht="25.5" x14ac:dyDescent="0.2">
      <c r="A365" s="98" t="s">
        <v>116</v>
      </c>
      <c r="B365" s="305">
        <v>17</v>
      </c>
      <c r="C365" s="67" t="s">
        <v>7</v>
      </c>
      <c r="D365" s="59" t="s">
        <v>31</v>
      </c>
      <c r="E365" s="100" t="str">
        <f>IF(Table25781014[[#This Row],[Line Section]]="","",VLOOKUP(Table25781014[[#This Row],[Line Section]],Reference!$A$2:$B$47,2,FALSE))</f>
        <v>C138</v>
      </c>
      <c r="F365" s="157" t="s">
        <v>651</v>
      </c>
      <c r="G365" s="440"/>
      <c r="H365" s="306"/>
      <c r="I365" s="54" t="s">
        <v>93</v>
      </c>
      <c r="J365" s="60">
        <v>37.15</v>
      </c>
      <c r="K365" s="60">
        <v>37.6</v>
      </c>
      <c r="L365" s="53">
        <f>IF(Table25781014[[#This Row],[End
(km)]]="","",Table25781014[[#This Row],[End
(km)]]-Table25781014[[#This Row],[Start
(km)]])</f>
        <v>0.45000000000000284</v>
      </c>
      <c r="M365" s="61" t="s">
        <v>189</v>
      </c>
      <c r="N365" s="59" t="s">
        <v>113</v>
      </c>
      <c r="O365" s="295" t="s">
        <v>113</v>
      </c>
      <c r="P365" s="64">
        <v>43230</v>
      </c>
      <c r="Q365" s="307">
        <v>43480</v>
      </c>
      <c r="R365" s="57"/>
      <c r="S365" s="55"/>
      <c r="T365" s="66"/>
      <c r="U365" s="308"/>
      <c r="V365" s="312"/>
      <c r="W365" s="67" t="s">
        <v>287</v>
      </c>
      <c r="X365" s="77"/>
      <c r="Y365" s="332"/>
      <c r="Z365" s="80" t="s">
        <v>122</v>
      </c>
      <c r="AA365" s="323"/>
      <c r="AB365" s="96"/>
      <c r="AC365" s="96"/>
      <c r="AD365" s="314" t="str">
        <f>IF(Table25781014[[#This Row],[End Completed Section (km)]]="","",Table25781014[[#This Row],[End Completed Section (km)]]-Table25781014[[#This Row],[Start Completed Section (km)]])</f>
        <v/>
      </c>
      <c r="AE365" s="72"/>
      <c r="AF365"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65" s="229" t="str">
        <f>IF(Table25781014[[#This Row],[Planned Date]]="","",TEXT(Table25781014[[#This Row],[Planned Date]],"mmm"))</f>
        <v>21/22</v>
      </c>
      <c r="AH365" s="252" t="e">
        <f>IF(Table25781014[[#This Row],[Month]]="","",VLOOKUP(Table25781014[[#This Row],[Month]],List!$B$2:$C$13,2,FALSE))</f>
        <v>#N/A</v>
      </c>
    </row>
    <row r="366" spans="1:34" s="56" customFormat="1" ht="63.75" x14ac:dyDescent="0.2">
      <c r="A366" s="98" t="s">
        <v>117</v>
      </c>
      <c r="B366" s="305"/>
      <c r="C366" s="67" t="s">
        <v>7</v>
      </c>
      <c r="D366" s="59" t="s">
        <v>31</v>
      </c>
      <c r="E366" s="100" t="str">
        <f>IF(Table25781014[[#This Row],[Line Section]]="","",VLOOKUP(Table25781014[[#This Row],[Line Section]],Reference!$A$2:$B$47,2,FALSE))</f>
        <v>C138</v>
      </c>
      <c r="F366" s="157"/>
      <c r="G366" s="440"/>
      <c r="H366" s="306"/>
      <c r="I366" s="54" t="s">
        <v>94</v>
      </c>
      <c r="J366" s="60">
        <v>37.15</v>
      </c>
      <c r="K366" s="60">
        <v>37.4</v>
      </c>
      <c r="L366" s="53">
        <f>IF(Table25781014[[#This Row],[End
(km)]]="","",Table25781014[[#This Row],[End
(km)]]-Table25781014[[#This Row],[Start
(km)]])</f>
        <v>0.25</v>
      </c>
      <c r="M366" s="61" t="s">
        <v>126</v>
      </c>
      <c r="N366" s="59" t="s">
        <v>113</v>
      </c>
      <c r="O366" s="295"/>
      <c r="P366" s="64">
        <v>43216</v>
      </c>
      <c r="Q366" s="307">
        <v>43489</v>
      </c>
      <c r="R366" s="61" t="s">
        <v>121</v>
      </c>
      <c r="S366" s="55" t="s">
        <v>121</v>
      </c>
      <c r="T366" s="66" t="s">
        <v>121</v>
      </c>
      <c r="U366" s="308"/>
      <c r="V366" s="309"/>
      <c r="W366" s="67" t="s">
        <v>150</v>
      </c>
      <c r="X366" s="77" t="s">
        <v>755</v>
      </c>
      <c r="Y366" s="326"/>
      <c r="Z366" s="159" t="s">
        <v>122</v>
      </c>
      <c r="AA366" s="323"/>
      <c r="AB366" s="96"/>
      <c r="AC366" s="96"/>
      <c r="AD366" s="310" t="str">
        <f>IF(Table25781014[[#This Row],[End Completed Section (km)]]="","",Table25781014[[#This Row],[End Completed Section (km)]]-Table25781014[[#This Row],[Start Completed Section (km)]])</f>
        <v/>
      </c>
      <c r="AE366" s="72"/>
      <c r="AF36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66" s="229" t="str">
        <f>IF(Table25781014[[#This Row],[Planned Date]]="","",TEXT(Table25781014[[#This Row],[Planned Date]],"mmm"))</f>
        <v/>
      </c>
      <c r="AH366" s="252" t="str">
        <f>IF(Table25781014[[#This Row],[Month]]="","",VLOOKUP(Table25781014[[#This Row],[Month]],List!$B$2:$C$13,2,FALSE))</f>
        <v/>
      </c>
    </row>
    <row r="367" spans="1:34" s="56" customFormat="1" ht="25.5" x14ac:dyDescent="0.2">
      <c r="A367" s="98" t="s">
        <v>118</v>
      </c>
      <c r="B367" s="305"/>
      <c r="C367" s="67" t="s">
        <v>7</v>
      </c>
      <c r="D367" s="59" t="s">
        <v>31</v>
      </c>
      <c r="E367" s="100" t="str">
        <f>IF(Table25781014[[#This Row],[Line Section]]="","",VLOOKUP(Table25781014[[#This Row],[Line Section]],Reference!$A$2:$B$47,2,FALSE))</f>
        <v>C138</v>
      </c>
      <c r="F367" s="157"/>
      <c r="G367" s="440"/>
      <c r="H367" s="306"/>
      <c r="I367" s="54" t="s">
        <v>93</v>
      </c>
      <c r="J367" s="60">
        <v>37.6</v>
      </c>
      <c r="K367" s="60">
        <v>37.950000000000003</v>
      </c>
      <c r="L367" s="53">
        <f>IF(Table25781014[[#This Row],[End
(km)]]="","",Table25781014[[#This Row],[End
(km)]]-Table25781014[[#This Row],[Start
(km)]])</f>
        <v>0.35000000000000142</v>
      </c>
      <c r="M367" s="61" t="s">
        <v>189</v>
      </c>
      <c r="N367" s="59" t="s">
        <v>112</v>
      </c>
      <c r="O367" s="295" t="s">
        <v>113</v>
      </c>
      <c r="P367" s="64">
        <v>43230</v>
      </c>
      <c r="Q367" s="307">
        <v>43480</v>
      </c>
      <c r="R367" s="57"/>
      <c r="S367" s="55"/>
      <c r="T367" s="66"/>
      <c r="U367" s="308"/>
      <c r="V367" s="312"/>
      <c r="W367" s="67"/>
      <c r="X367" s="77" t="s">
        <v>688</v>
      </c>
      <c r="Y367" s="326"/>
      <c r="Z367" s="80" t="s">
        <v>122</v>
      </c>
      <c r="AA367" s="323"/>
      <c r="AB367" s="96"/>
      <c r="AC367" s="96"/>
      <c r="AD367" s="314" t="str">
        <f>IF(Table25781014[[#This Row],[End Completed Section (km)]]="","",Table25781014[[#This Row],[End Completed Section (km)]]-Table25781014[[#This Row],[Start Completed Section (km)]])</f>
        <v/>
      </c>
      <c r="AE367" s="72"/>
      <c r="AF36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67" s="229" t="str">
        <f>IF(Table25781014[[#This Row],[Planned Date]]="","",TEXT(Table25781014[[#This Row],[Planned Date]],"mmm"))</f>
        <v/>
      </c>
      <c r="AH367" s="252" t="str">
        <f>IF(Table25781014[[#This Row],[Month]]="","",VLOOKUP(Table25781014[[#This Row],[Month]],List!$B$2:$C$13,2,FALSE))</f>
        <v/>
      </c>
    </row>
    <row r="368" spans="1:34" s="56" customFormat="1" ht="25.5" x14ac:dyDescent="0.2">
      <c r="A368" s="98" t="s">
        <v>118</v>
      </c>
      <c r="B368" s="305"/>
      <c r="C368" s="67" t="s">
        <v>7</v>
      </c>
      <c r="D368" s="59" t="s">
        <v>31</v>
      </c>
      <c r="E368" s="100" t="str">
        <f>IF(Table25781014[[#This Row],[Line Section]]="","",VLOOKUP(Table25781014[[#This Row],[Line Section]],Reference!$A$2:$B$47,2,FALSE))</f>
        <v>C138</v>
      </c>
      <c r="F368" s="157"/>
      <c r="G368" s="440"/>
      <c r="H368" s="306"/>
      <c r="I368" s="54" t="s">
        <v>94</v>
      </c>
      <c r="J368" s="60">
        <v>37.799999999999997</v>
      </c>
      <c r="K368" s="60">
        <v>37.950000000000003</v>
      </c>
      <c r="L368" s="53">
        <f>IF(Table25781014[[#This Row],[End
(km)]]="","",Table25781014[[#This Row],[End
(km)]]-Table25781014[[#This Row],[Start
(km)]])</f>
        <v>0.15000000000000568</v>
      </c>
      <c r="M368" s="61" t="s">
        <v>126</v>
      </c>
      <c r="N368" s="59" t="s">
        <v>113</v>
      </c>
      <c r="O368" s="295" t="s">
        <v>113</v>
      </c>
      <c r="P368" s="64">
        <v>43216</v>
      </c>
      <c r="Q368" s="307">
        <v>43480</v>
      </c>
      <c r="R368" s="61"/>
      <c r="S368" s="55" t="s">
        <v>121</v>
      </c>
      <c r="T368" s="66" t="s">
        <v>122</v>
      </c>
      <c r="U368" s="308"/>
      <c r="V368" s="312"/>
      <c r="W368" s="67"/>
      <c r="X368" s="77" t="s">
        <v>151</v>
      </c>
      <c r="Y368" s="326"/>
      <c r="Z368" s="159" t="s">
        <v>122</v>
      </c>
      <c r="AA368" s="323"/>
      <c r="AB368" s="96"/>
      <c r="AC368" s="96"/>
      <c r="AD368" s="314" t="str">
        <f>IF(Table25781014[[#This Row],[End Completed Section (km)]]="","",Table25781014[[#This Row],[End Completed Section (km)]]-Table25781014[[#This Row],[Start Completed Section (km)]])</f>
        <v/>
      </c>
      <c r="AE368" s="72"/>
      <c r="AF36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68" s="229" t="str">
        <f>IF(Table25781014[[#This Row],[Planned Date]]="","",TEXT(Table25781014[[#This Row],[Planned Date]],"mmm"))</f>
        <v/>
      </c>
      <c r="AH368" s="252" t="str">
        <f>IF(Table25781014[[#This Row],[Month]]="","",VLOOKUP(Table25781014[[#This Row],[Month]],List!$B$2:$C$13,2,FALSE))</f>
        <v/>
      </c>
    </row>
    <row r="369" spans="1:34" s="56" customFormat="1" ht="25.5" x14ac:dyDescent="0.2">
      <c r="A369" s="98" t="s">
        <v>117</v>
      </c>
      <c r="B369" s="305"/>
      <c r="C369" s="67" t="s">
        <v>7</v>
      </c>
      <c r="D369" s="59" t="s">
        <v>31</v>
      </c>
      <c r="E369" s="100" t="str">
        <f>IF(Table25781014[[#This Row],[Line Section]]="","",VLOOKUP(Table25781014[[#This Row],[Line Section]],Reference!$A$2:$B$47,2,FALSE))</f>
        <v>C138</v>
      </c>
      <c r="F369" s="157"/>
      <c r="G369" s="440"/>
      <c r="H369" s="306"/>
      <c r="I369" s="54" t="s">
        <v>93</v>
      </c>
      <c r="J369" s="60">
        <v>38.299999999999997</v>
      </c>
      <c r="K369" s="60">
        <v>38.700000000000003</v>
      </c>
      <c r="L369" s="53">
        <f>IF(Table25781014[[#This Row],[End
(km)]]="","",Table25781014[[#This Row],[End
(km)]]-Table25781014[[#This Row],[Start
(km)]])</f>
        <v>0.40000000000000568</v>
      </c>
      <c r="M369" s="61" t="s">
        <v>189</v>
      </c>
      <c r="N369" s="59" t="s">
        <v>113</v>
      </c>
      <c r="O369" s="295" t="s">
        <v>113</v>
      </c>
      <c r="P369" s="64">
        <v>43230</v>
      </c>
      <c r="Q369" s="307">
        <v>43480</v>
      </c>
      <c r="R369" s="57"/>
      <c r="S369" s="55"/>
      <c r="T369" s="66"/>
      <c r="U369" s="308"/>
      <c r="V369" s="312"/>
      <c r="W369" s="67"/>
      <c r="X369" s="77"/>
      <c r="Y369" s="326"/>
      <c r="Z369" s="80" t="s">
        <v>122</v>
      </c>
      <c r="AA369" s="323"/>
      <c r="AB369" s="96"/>
      <c r="AC369" s="96"/>
      <c r="AD369" s="314" t="str">
        <f>IF(Table25781014[[#This Row],[End Completed Section (km)]]="","",Table25781014[[#This Row],[End Completed Section (km)]]-Table25781014[[#This Row],[Start Completed Section (km)]])</f>
        <v/>
      </c>
      <c r="AE369" s="72"/>
      <c r="AF36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69" s="229" t="str">
        <f>IF(Table25781014[[#This Row],[Planned Date]]="","",TEXT(Table25781014[[#This Row],[Planned Date]],"mmm"))</f>
        <v/>
      </c>
      <c r="AH369" s="252" t="str">
        <f>IF(Table25781014[[#This Row],[Month]]="","",VLOOKUP(Table25781014[[#This Row],[Month]],List!$B$2:$C$13,2,FALSE))</f>
        <v/>
      </c>
    </row>
    <row r="370" spans="1:34" ht="140.25" x14ac:dyDescent="0.2">
      <c r="A370" s="98" t="s">
        <v>116</v>
      </c>
      <c r="B370" s="305">
        <v>5</v>
      </c>
      <c r="C370" s="67" t="s">
        <v>7</v>
      </c>
      <c r="D370" s="59" t="s">
        <v>31</v>
      </c>
      <c r="E370" s="100" t="str">
        <f>IF(Table25781014[[#This Row],[Line Section]]="","",VLOOKUP(Table25781014[[#This Row],[Line Section]],Reference!$A$2:$B$47,2,FALSE))</f>
        <v>C138</v>
      </c>
      <c r="F370" s="157">
        <v>43926</v>
      </c>
      <c r="G370" s="440" t="s">
        <v>430</v>
      </c>
      <c r="H370" s="247" t="s">
        <v>533</v>
      </c>
      <c r="I370" s="54" t="s">
        <v>94</v>
      </c>
      <c r="J370" s="60">
        <v>38.479999999999997</v>
      </c>
      <c r="K370" s="60">
        <v>38.92</v>
      </c>
      <c r="L370" s="53">
        <f>IF(Table25781014[[#This Row],[End
(km)]]="","",Table25781014[[#This Row],[End
(km)]]-Table25781014[[#This Row],[Start
(km)]])</f>
        <v>0.44000000000000483</v>
      </c>
      <c r="M370" s="61" t="s">
        <v>126</v>
      </c>
      <c r="N370" s="59" t="s">
        <v>113</v>
      </c>
      <c r="O370" s="295" t="s">
        <v>113</v>
      </c>
      <c r="P370" s="64">
        <v>43216</v>
      </c>
      <c r="Q370" s="307">
        <v>43489</v>
      </c>
      <c r="R370" s="61" t="s">
        <v>121</v>
      </c>
      <c r="S370" s="55" t="s">
        <v>121</v>
      </c>
      <c r="T370" s="66" t="s">
        <v>121</v>
      </c>
      <c r="U370" s="308"/>
      <c r="V370" s="312"/>
      <c r="W370" s="67"/>
      <c r="X370" s="77" t="s">
        <v>840</v>
      </c>
      <c r="Y370" s="332"/>
      <c r="Z370" s="159" t="s">
        <v>122</v>
      </c>
      <c r="AA370" s="323"/>
      <c r="AB370" s="96"/>
      <c r="AC370" s="96"/>
      <c r="AD370" s="314" t="str">
        <f>IF(Table25781014[[#This Row],[End Completed Section (km)]]="","",Table25781014[[#This Row],[End Completed Section (km)]]-Table25781014[[#This Row],[Start Completed Section (km)]])</f>
        <v/>
      </c>
      <c r="AE370" s="72"/>
      <c r="AF37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370" s="229" t="str">
        <f>IF(Table25781014[[#This Row],[Planned Date]]="","",TEXT(Table25781014[[#This Row],[Planned Date]],"mmm"))</f>
        <v>Apr</v>
      </c>
      <c r="AH370" s="252">
        <f>IF(Table25781014[[#This Row],[Month]]="","",VLOOKUP(Table25781014[[#This Row],[Month]],List!$B$2:$C$13,2,FALSE))</f>
        <v>10</v>
      </c>
    </row>
    <row r="371" spans="1:34" s="56" customFormat="1" ht="25.5" x14ac:dyDescent="0.2">
      <c r="A371" s="98" t="s">
        <v>117</v>
      </c>
      <c r="B371" s="305"/>
      <c r="C371" s="67" t="s">
        <v>7</v>
      </c>
      <c r="D371" s="59" t="s">
        <v>31</v>
      </c>
      <c r="E371" s="100" t="str">
        <f>IF(Table25781014[[#This Row],[Line Section]]="","",VLOOKUP(Table25781014[[#This Row],[Line Section]],Reference!$A$2:$B$47,2,FALSE))</f>
        <v>C138</v>
      </c>
      <c r="F371" s="157"/>
      <c r="G371" s="440"/>
      <c r="H371" s="306"/>
      <c r="I371" s="54" t="s">
        <v>93</v>
      </c>
      <c r="J371" s="60">
        <v>39.1</v>
      </c>
      <c r="K371" s="60">
        <v>39.700000000000003</v>
      </c>
      <c r="L371" s="53">
        <f>IF(Table25781014[[#This Row],[End
(km)]]="","",Table25781014[[#This Row],[End
(km)]]-Table25781014[[#This Row],[Start
(km)]])</f>
        <v>0.60000000000000142</v>
      </c>
      <c r="M371" s="61" t="s">
        <v>189</v>
      </c>
      <c r="N371" s="59" t="s">
        <v>113</v>
      </c>
      <c r="O371" s="295" t="s">
        <v>113</v>
      </c>
      <c r="P371" s="64">
        <v>43480</v>
      </c>
      <c r="Q371" s="307">
        <v>43480</v>
      </c>
      <c r="R371" s="57"/>
      <c r="S371" s="55"/>
      <c r="T371" s="66"/>
      <c r="U371" s="308"/>
      <c r="V371" s="312"/>
      <c r="W371" s="67" t="s">
        <v>689</v>
      </c>
      <c r="X371" s="77"/>
      <c r="Y371" s="326"/>
      <c r="Z371" s="80"/>
      <c r="AA371" s="323"/>
      <c r="AB371" s="96"/>
      <c r="AC371" s="96"/>
      <c r="AD371" s="310" t="str">
        <f>IF(Table25781014[[#This Row],[End Completed Section (km)]]="","",Table25781014[[#This Row],[End Completed Section (km)]]-Table25781014[[#This Row],[Start Completed Section (km)]])</f>
        <v/>
      </c>
      <c r="AE371" s="72"/>
      <c r="AF37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71" s="229" t="str">
        <f>IF(Table25781014[[#This Row],[Planned Date]]="","",TEXT(Table25781014[[#This Row],[Planned Date]],"mmm"))</f>
        <v/>
      </c>
      <c r="AH371" s="252" t="str">
        <f>IF(Table25781014[[#This Row],[Month]]="","",VLOOKUP(Table25781014[[#This Row],[Month]],List!$B$2:$C$13,2,FALSE))</f>
        <v/>
      </c>
    </row>
    <row r="372" spans="1:34" x14ac:dyDescent="0.2">
      <c r="A372" s="98" t="s">
        <v>116</v>
      </c>
      <c r="B372" s="305"/>
      <c r="C372" s="67" t="s">
        <v>7</v>
      </c>
      <c r="D372" s="59" t="s">
        <v>31</v>
      </c>
      <c r="E372" s="100" t="str">
        <f>IF(Table25781014[[#This Row],[Line Section]]="","",VLOOKUP(Table25781014[[#This Row],[Line Section]],Reference!$A$2:$B$47,2,FALSE))</f>
        <v>C138</v>
      </c>
      <c r="F372" s="157">
        <v>43338</v>
      </c>
      <c r="G372" s="440"/>
      <c r="H372" s="306" t="s">
        <v>533</v>
      </c>
      <c r="I372" s="54" t="s">
        <v>94</v>
      </c>
      <c r="J372" s="60">
        <v>39.25</v>
      </c>
      <c r="K372" s="60">
        <v>40.1</v>
      </c>
      <c r="L372" s="53">
        <f>IF(Table25781014[[#This Row],[End
(km)]]="","",Table25781014[[#This Row],[End
(km)]]-Table25781014[[#This Row],[Start
(km)]])</f>
        <v>0.85000000000000142</v>
      </c>
      <c r="M372" s="61" t="s">
        <v>129</v>
      </c>
      <c r="N372" s="59" t="s">
        <v>113</v>
      </c>
      <c r="O372" s="295"/>
      <c r="P372" s="64">
        <v>43278</v>
      </c>
      <c r="Q372" s="307"/>
      <c r="R372" s="57" t="s">
        <v>121</v>
      </c>
      <c r="S372" s="55" t="s">
        <v>121</v>
      </c>
      <c r="T372" s="66"/>
      <c r="U372" s="308"/>
      <c r="V372" s="312"/>
      <c r="W372" s="67"/>
      <c r="X372" s="77"/>
      <c r="Y372" s="330" t="s">
        <v>448</v>
      </c>
      <c r="Z372" s="80" t="s">
        <v>556</v>
      </c>
      <c r="AA372" s="323"/>
      <c r="AB372" s="96">
        <v>39.25</v>
      </c>
      <c r="AC372" s="96">
        <v>40.1</v>
      </c>
      <c r="AD372" s="314">
        <f>IF(Table25781014[[#This Row],[End Completed Section (km)]]="","",Table25781014[[#This Row],[End Completed Section (km)]]-Table25781014[[#This Row],[Start Completed Section (km)]])</f>
        <v>0.85000000000000142</v>
      </c>
      <c r="AE372" s="161">
        <v>43338</v>
      </c>
      <c r="AF37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372" s="229" t="str">
        <f>IF(Table25781014[[#This Row],[Planned Date]]="","",TEXT(Table25781014[[#This Row],[Planned Date]],"mmm"))</f>
        <v>Aug</v>
      </c>
      <c r="AH372" s="252">
        <f>IF(Table25781014[[#This Row],[Month]]="","",VLOOKUP(Table25781014[[#This Row],[Month]],List!$B$2:$C$13,2,FALSE))</f>
        <v>2</v>
      </c>
    </row>
    <row r="373" spans="1:34" ht="25.5" x14ac:dyDescent="0.2">
      <c r="A373" s="98" t="s">
        <v>116</v>
      </c>
      <c r="B373" s="305">
        <v>13</v>
      </c>
      <c r="C373" s="67" t="s">
        <v>7</v>
      </c>
      <c r="D373" s="59" t="s">
        <v>31</v>
      </c>
      <c r="E373" s="100" t="str">
        <f>IF(Table25781014[[#This Row],[Line Section]]="","",VLOOKUP(Table25781014[[#This Row],[Line Section]],Reference!$A$2:$B$47,2,FALSE))</f>
        <v>C138</v>
      </c>
      <c r="F373" s="157" t="s">
        <v>651</v>
      </c>
      <c r="G373" s="440"/>
      <c r="H373" s="306"/>
      <c r="I373" s="54" t="s">
        <v>94</v>
      </c>
      <c r="J373" s="60">
        <v>40.4</v>
      </c>
      <c r="K373" s="60">
        <v>41</v>
      </c>
      <c r="L373" s="53">
        <f>IF(Table25781014[[#This Row],[End
(km)]]="","",Table25781014[[#This Row],[End
(km)]]-Table25781014[[#This Row],[Start
(km)]])</f>
        <v>0.60000000000000142</v>
      </c>
      <c r="M373" s="61" t="s">
        <v>126</v>
      </c>
      <c r="N373" s="59" t="s">
        <v>113</v>
      </c>
      <c r="O373" s="295" t="s">
        <v>113</v>
      </c>
      <c r="P373" s="64">
        <v>43480</v>
      </c>
      <c r="Q373" s="307">
        <v>43489</v>
      </c>
      <c r="R373" s="57" t="s">
        <v>121</v>
      </c>
      <c r="S373" s="55" t="s">
        <v>121</v>
      </c>
      <c r="T373" s="66"/>
      <c r="U373" s="308"/>
      <c r="V373" s="312"/>
      <c r="W373" s="67"/>
      <c r="X373" s="77" t="s">
        <v>756</v>
      </c>
      <c r="Y373" s="332"/>
      <c r="Z373" s="80" t="s">
        <v>188</v>
      </c>
      <c r="AA373" s="323"/>
      <c r="AB373" s="96"/>
      <c r="AC373" s="96"/>
      <c r="AD373" s="314" t="str">
        <f>IF(Table25781014[[#This Row],[End Completed Section (km)]]="","",Table25781014[[#This Row],[End Completed Section (km)]]-Table25781014[[#This Row],[Start Completed Section (km)]])</f>
        <v/>
      </c>
      <c r="AE373" s="72"/>
      <c r="AF373"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73" s="229" t="str">
        <f>IF(Table25781014[[#This Row],[Planned Date]]="","",TEXT(Table25781014[[#This Row],[Planned Date]],"mmm"))</f>
        <v>21/22</v>
      </c>
      <c r="AH373" s="252" t="e">
        <f>IF(Table25781014[[#This Row],[Month]]="","",VLOOKUP(Table25781014[[#This Row],[Month]],List!$B$2:$C$13,2,FALSE))</f>
        <v>#N/A</v>
      </c>
    </row>
    <row r="374" spans="1:34" ht="76.5" x14ac:dyDescent="0.2">
      <c r="A374" s="98" t="s">
        <v>116</v>
      </c>
      <c r="B374" s="305">
        <v>2</v>
      </c>
      <c r="C374" s="67" t="s">
        <v>7</v>
      </c>
      <c r="D374" s="59" t="s">
        <v>31</v>
      </c>
      <c r="E374" s="100" t="str">
        <f>IF(Table25781014[[#This Row],[Line Section]]="","",VLOOKUP(Table25781014[[#This Row],[Line Section]],Reference!$A$2:$B$47,2,FALSE))</f>
        <v>C138</v>
      </c>
      <c r="F374" s="157">
        <v>43702</v>
      </c>
      <c r="G374" s="440" t="s">
        <v>430</v>
      </c>
      <c r="H374" s="247" t="s">
        <v>533</v>
      </c>
      <c r="I374" s="54" t="s">
        <v>93</v>
      </c>
      <c r="J374" s="60">
        <v>41</v>
      </c>
      <c r="K374" s="60">
        <v>41.45</v>
      </c>
      <c r="L374" s="53">
        <f>IF(Table25781014[[#This Row],[End
(km)]]="","",Table25781014[[#This Row],[End
(km)]]-Table25781014[[#This Row],[Start
(km)]])</f>
        <v>0.45000000000000284</v>
      </c>
      <c r="M374" s="61" t="s">
        <v>189</v>
      </c>
      <c r="N374" s="59" t="s">
        <v>113</v>
      </c>
      <c r="O374" s="295" t="s">
        <v>113</v>
      </c>
      <c r="P374" s="64">
        <v>43230</v>
      </c>
      <c r="Q374" s="307">
        <v>43480</v>
      </c>
      <c r="R374" s="57" t="s">
        <v>121</v>
      </c>
      <c r="S374" s="55" t="s">
        <v>121</v>
      </c>
      <c r="T374" s="66"/>
      <c r="U374" s="308"/>
      <c r="V374" s="312"/>
      <c r="W374" s="67"/>
      <c r="X374" s="77" t="s">
        <v>823</v>
      </c>
      <c r="Y374" s="332"/>
      <c r="Z374" s="80" t="s">
        <v>122</v>
      </c>
      <c r="AA374" s="323"/>
      <c r="AB374" s="96"/>
      <c r="AC374" s="96"/>
      <c r="AD374" s="314" t="str">
        <f>IF(Table25781014[[#This Row],[End Completed Section (km)]]="","",Table25781014[[#This Row],[End Completed Section (km)]]-Table25781014[[#This Row],[Start Completed Section (km)]])</f>
        <v/>
      </c>
      <c r="AE374" s="72"/>
      <c r="AF37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374" s="229" t="str">
        <f>IF(Table25781014[[#This Row],[Planned Date]]="","",TEXT(Table25781014[[#This Row],[Planned Date]],"mmm"))</f>
        <v>Aug</v>
      </c>
      <c r="AH374" s="252">
        <f>IF(Table25781014[[#This Row],[Month]]="","",VLOOKUP(Table25781014[[#This Row],[Month]],List!$B$2:$C$13,2,FALSE))</f>
        <v>2</v>
      </c>
    </row>
    <row r="375" spans="1:34" s="56" customFormat="1" ht="76.5" x14ac:dyDescent="0.2">
      <c r="A375" s="98" t="s">
        <v>116</v>
      </c>
      <c r="B375" s="80">
        <v>2</v>
      </c>
      <c r="C375" s="67" t="s">
        <v>7</v>
      </c>
      <c r="D375" s="59" t="s">
        <v>31</v>
      </c>
      <c r="E375" s="100" t="str">
        <f>IF(Table25781014[[#This Row],[Line Section]]="","",VLOOKUP(Table25781014[[#This Row],[Line Section]],Reference!$A$2:$B$47,2,FALSE))</f>
        <v>C138</v>
      </c>
      <c r="F375" s="157">
        <v>43982</v>
      </c>
      <c r="G375" s="440" t="s">
        <v>430</v>
      </c>
      <c r="H375" s="247" t="s">
        <v>533</v>
      </c>
      <c r="I375" s="54" t="s">
        <v>93</v>
      </c>
      <c r="J375" s="60">
        <v>41.45</v>
      </c>
      <c r="K375" s="60">
        <v>42.1</v>
      </c>
      <c r="L375" s="53">
        <f>IF(Table25781014[[#This Row],[End
(km)]]="","",Table25781014[[#This Row],[End
(km)]]-Table25781014[[#This Row],[Start
(km)]])</f>
        <v>0.64999999999999858</v>
      </c>
      <c r="M375" s="61" t="s">
        <v>189</v>
      </c>
      <c r="N375" s="59" t="s">
        <v>113</v>
      </c>
      <c r="O375" s="295" t="s">
        <v>113</v>
      </c>
      <c r="P375" s="64">
        <v>43657</v>
      </c>
      <c r="Q375" s="71"/>
      <c r="R375" s="57" t="s">
        <v>121</v>
      </c>
      <c r="S375" s="55"/>
      <c r="T375" s="66"/>
      <c r="U375" s="66"/>
      <c r="V375" s="268"/>
      <c r="W375" s="67"/>
      <c r="X375" s="77" t="s">
        <v>824</v>
      </c>
      <c r="Y375" s="46"/>
      <c r="Z375" s="80" t="s">
        <v>122</v>
      </c>
      <c r="AA375" s="282"/>
      <c r="AB375" s="96"/>
      <c r="AC375" s="96"/>
      <c r="AD375" s="226" t="str">
        <f>IF(Table25781014[[#This Row],[End Completed Section (km)]]="","",Table25781014[[#This Row],[End Completed Section (km)]]-Table25781014[[#This Row],[Start Completed Section (km)]])</f>
        <v/>
      </c>
      <c r="AE375" s="72"/>
      <c r="AF37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375" s="229" t="str">
        <f>IF(Table25781014[[#This Row],[Planned Date]]="","",TEXT(Table25781014[[#This Row],[Planned Date]],"mmm"))</f>
        <v>May</v>
      </c>
      <c r="AH375" s="252">
        <f>IF(Table25781014[[#This Row],[Month]]="","",VLOOKUP(Table25781014[[#This Row],[Month]],List!$B$2:$C$13,2,FALSE))</f>
        <v>11</v>
      </c>
    </row>
    <row r="376" spans="1:34" s="56" customFormat="1" ht="38.25" x14ac:dyDescent="0.2">
      <c r="A376" s="98" t="s">
        <v>117</v>
      </c>
      <c r="B376" s="305"/>
      <c r="C376" s="67" t="s">
        <v>7</v>
      </c>
      <c r="D376" s="59" t="s">
        <v>31</v>
      </c>
      <c r="E376" s="100" t="str">
        <f>IF(Table25781014[[#This Row],[Line Section]]="","",VLOOKUP(Table25781014[[#This Row],[Line Section]],Reference!$A$2:$B$47,2,FALSE))</f>
        <v>C138</v>
      </c>
      <c r="F376" s="157"/>
      <c r="G376" s="440"/>
      <c r="H376" s="306"/>
      <c r="I376" s="54" t="s">
        <v>93</v>
      </c>
      <c r="J376" s="60">
        <v>42.25</v>
      </c>
      <c r="K376" s="60">
        <v>42.93</v>
      </c>
      <c r="L376" s="53">
        <f>IF(Table25781014[[#This Row],[End
(km)]]="","",Table25781014[[#This Row],[End
(km)]]-Table25781014[[#This Row],[Start
(km)]])</f>
        <v>0.67999999999999972</v>
      </c>
      <c r="M376" s="61" t="s">
        <v>189</v>
      </c>
      <c r="N376" s="59" t="s">
        <v>113</v>
      </c>
      <c r="O376" s="295" t="s">
        <v>113</v>
      </c>
      <c r="P376" s="64">
        <v>43230</v>
      </c>
      <c r="Q376" s="307">
        <v>43480</v>
      </c>
      <c r="R376" s="57" t="s">
        <v>121</v>
      </c>
      <c r="S376" s="55"/>
      <c r="T376" s="66"/>
      <c r="U376" s="308"/>
      <c r="V376" s="312"/>
      <c r="W376" s="67"/>
      <c r="X376" s="77" t="s">
        <v>454</v>
      </c>
      <c r="Y376" s="332"/>
      <c r="Z376" s="80" t="s">
        <v>122</v>
      </c>
      <c r="AA376" s="323"/>
      <c r="AB376" s="96"/>
      <c r="AC376" s="96"/>
      <c r="AD376" s="310" t="str">
        <f>IF(Table25781014[[#This Row],[End Completed Section (km)]]="","",Table25781014[[#This Row],[End Completed Section (km)]]-Table25781014[[#This Row],[Start Completed Section (km)]])</f>
        <v/>
      </c>
      <c r="AE376" s="72"/>
      <c r="AF37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76" s="229" t="str">
        <f>IF(Table25781014[[#This Row],[Planned Date]]="","",TEXT(Table25781014[[#This Row],[Planned Date]],"mmm"))</f>
        <v/>
      </c>
      <c r="AH376" s="252" t="str">
        <f>IF(Table25781014[[#This Row],[Month]]="","",VLOOKUP(Table25781014[[#This Row],[Month]],List!$B$2:$C$13,2,FALSE))</f>
        <v/>
      </c>
    </row>
    <row r="377" spans="1:34" s="56" customFormat="1" ht="25.5" x14ac:dyDescent="0.2">
      <c r="A377" s="98" t="s">
        <v>116</v>
      </c>
      <c r="B377" s="305">
        <v>7</v>
      </c>
      <c r="C377" s="67" t="s">
        <v>7</v>
      </c>
      <c r="D377" s="59" t="s">
        <v>31</v>
      </c>
      <c r="E377" s="100" t="str">
        <f>IF(Table25781014[[#This Row],[Line Section]]="","",VLOOKUP(Table25781014[[#This Row],[Line Section]],Reference!$A$2:$B$47,2,FALSE))</f>
        <v>C138</v>
      </c>
      <c r="F377" s="157">
        <v>44227</v>
      </c>
      <c r="G377" s="440" t="s">
        <v>430</v>
      </c>
      <c r="H377" s="247" t="s">
        <v>533</v>
      </c>
      <c r="I377" s="54" t="s">
        <v>93</v>
      </c>
      <c r="J377" s="60">
        <v>43.2</v>
      </c>
      <c r="K377" s="60">
        <v>44.1</v>
      </c>
      <c r="L377" s="53">
        <f>IF(Table25781014[[#This Row],[End
(km)]]="","",Table25781014[[#This Row],[End
(km)]]-Table25781014[[#This Row],[Start
(km)]])</f>
        <v>0.89999999999999858</v>
      </c>
      <c r="M377" s="61" t="s">
        <v>189</v>
      </c>
      <c r="N377" s="59" t="s">
        <v>113</v>
      </c>
      <c r="O377" s="295" t="s">
        <v>113</v>
      </c>
      <c r="P377" s="64">
        <v>43230</v>
      </c>
      <c r="Q377" s="307">
        <v>43489</v>
      </c>
      <c r="R377" s="57" t="s">
        <v>121</v>
      </c>
      <c r="S377" s="55" t="s">
        <v>121</v>
      </c>
      <c r="T377" s="66"/>
      <c r="U377" s="308"/>
      <c r="V377" s="312"/>
      <c r="W377" s="67"/>
      <c r="X377" s="77" t="s">
        <v>757</v>
      </c>
      <c r="Y377" s="326"/>
      <c r="Z377" s="80" t="s">
        <v>122</v>
      </c>
      <c r="AA377" s="323"/>
      <c r="AB377" s="96"/>
      <c r="AC377" s="96"/>
      <c r="AD377" s="310" t="str">
        <f>IF(Table25781014[[#This Row],[End Completed Section (km)]]="","",Table25781014[[#This Row],[End Completed Section (km)]]-Table25781014[[#This Row],[Start Completed Section (km)]])</f>
        <v/>
      </c>
      <c r="AE377" s="72"/>
      <c r="AF37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377" s="229" t="str">
        <f>IF(Table25781014[[#This Row],[Planned Date]]="","",TEXT(Table25781014[[#This Row],[Planned Date]],"mmm"))</f>
        <v>Jan</v>
      </c>
      <c r="AH377" s="252">
        <f>IF(Table25781014[[#This Row],[Month]]="","",VLOOKUP(Table25781014[[#This Row],[Month]],List!$B$2:$C$13,2,FALSE))</f>
        <v>7</v>
      </c>
    </row>
    <row r="378" spans="1:34" s="56" customFormat="1" ht="25.5" x14ac:dyDescent="0.2">
      <c r="A378" s="98" t="s">
        <v>118</v>
      </c>
      <c r="B378" s="305"/>
      <c r="C378" s="67" t="s">
        <v>7</v>
      </c>
      <c r="D378" s="59" t="s">
        <v>31</v>
      </c>
      <c r="E378" s="100" t="str">
        <f>IF(Table25781014[[#This Row],[Line Section]]="","",VLOOKUP(Table25781014[[#This Row],[Line Section]],Reference!$A$2:$B$47,2,FALSE))</f>
        <v>C138</v>
      </c>
      <c r="F378" s="157"/>
      <c r="G378" s="440"/>
      <c r="H378" s="247" t="s">
        <v>533</v>
      </c>
      <c r="I378" s="54" t="s">
        <v>93</v>
      </c>
      <c r="J378" s="60">
        <v>44.1</v>
      </c>
      <c r="K378" s="60">
        <v>44.85</v>
      </c>
      <c r="L378" s="53">
        <f>IF(Table25781014[[#This Row],[End
(km)]]="","",Table25781014[[#This Row],[End
(km)]]-Table25781014[[#This Row],[Start
(km)]])</f>
        <v>0.75</v>
      </c>
      <c r="M378" s="61" t="s">
        <v>189</v>
      </c>
      <c r="N378" s="59" t="s">
        <v>113</v>
      </c>
      <c r="O378" s="295" t="s">
        <v>113</v>
      </c>
      <c r="P378" s="64">
        <v>43230</v>
      </c>
      <c r="Q378" s="307">
        <v>43671</v>
      </c>
      <c r="R378" s="57"/>
      <c r="S378" s="55"/>
      <c r="T378" s="66"/>
      <c r="U378" s="308"/>
      <c r="V378" s="312"/>
      <c r="W378" s="67"/>
      <c r="X378" s="77" t="s">
        <v>850</v>
      </c>
      <c r="Y378" s="326"/>
      <c r="Z378" s="80" t="s">
        <v>122</v>
      </c>
      <c r="AA378" s="323"/>
      <c r="AB378" s="96"/>
      <c r="AC378" s="96"/>
      <c r="AD378" s="314" t="str">
        <f>IF(Table25781014[[#This Row],[End Completed Section (km)]]="","",Table25781014[[#This Row],[End Completed Section (km)]]-Table25781014[[#This Row],[Start Completed Section (km)]])</f>
        <v/>
      </c>
      <c r="AE378" s="72"/>
      <c r="AF37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78" s="229" t="str">
        <f>IF(Table25781014[[#This Row],[Planned Date]]="","",TEXT(Table25781014[[#This Row],[Planned Date]],"mmm"))</f>
        <v/>
      </c>
      <c r="AH378" s="252" t="str">
        <f>IF(Table25781014[[#This Row],[Month]]="","",VLOOKUP(Table25781014[[#This Row],[Month]],List!$B$2:$C$13,2,FALSE))</f>
        <v/>
      </c>
    </row>
    <row r="379" spans="1:34" ht="63.75" x14ac:dyDescent="0.2">
      <c r="A379" s="98" t="s">
        <v>116</v>
      </c>
      <c r="B379" s="305">
        <v>10</v>
      </c>
      <c r="C379" s="67" t="s">
        <v>7</v>
      </c>
      <c r="D379" s="59" t="s">
        <v>31</v>
      </c>
      <c r="E379" s="100" t="str">
        <f>IF(Table25781014[[#This Row],[Line Section]]="","",VLOOKUP(Table25781014[[#This Row],[Line Section]],Reference!$A$2:$B$47,2,FALSE))</f>
        <v>C138</v>
      </c>
      <c r="F379" s="157">
        <v>44353</v>
      </c>
      <c r="G379" s="440" t="s">
        <v>430</v>
      </c>
      <c r="H379" s="247" t="s">
        <v>533</v>
      </c>
      <c r="I379" s="54" t="s">
        <v>93</v>
      </c>
      <c r="J379" s="60">
        <v>44.85</v>
      </c>
      <c r="K379" s="60">
        <v>45.55</v>
      </c>
      <c r="L379" s="53">
        <f>IF(Table25781014[[#This Row],[End
(km)]]="","",Table25781014[[#This Row],[End
(km)]]-Table25781014[[#This Row],[Start
(km)]])</f>
        <v>0.69999999999999574</v>
      </c>
      <c r="M379" s="61" t="s">
        <v>455</v>
      </c>
      <c r="N379" s="59" t="s">
        <v>113</v>
      </c>
      <c r="O379" s="295" t="s">
        <v>113</v>
      </c>
      <c r="P379" s="64">
        <v>43298</v>
      </c>
      <c r="Q379" s="307">
        <v>43480</v>
      </c>
      <c r="R379" s="57" t="s">
        <v>121</v>
      </c>
      <c r="S379" s="55"/>
      <c r="T379" s="66"/>
      <c r="U379" s="308"/>
      <c r="V379" s="312"/>
      <c r="W379" s="67"/>
      <c r="X379" s="77" t="s">
        <v>456</v>
      </c>
      <c r="Y379" s="332"/>
      <c r="Z379" s="80" t="s">
        <v>122</v>
      </c>
      <c r="AA379" s="323"/>
      <c r="AB379" s="96"/>
      <c r="AC379" s="96"/>
      <c r="AD379" s="314" t="str">
        <f>IF(Table25781014[[#This Row],[End Completed Section (km)]]="","",Table25781014[[#This Row],[End Completed Section (km)]]-Table25781014[[#This Row],[Start Completed Section (km)]])</f>
        <v/>
      </c>
      <c r="AE379" s="72"/>
      <c r="AF37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379" s="229" t="str">
        <f>IF(Table25781014[[#This Row],[Planned Date]]="","",TEXT(Table25781014[[#This Row],[Planned Date]],"mmm"))</f>
        <v>Jun</v>
      </c>
      <c r="AH379" s="252">
        <f>IF(Table25781014[[#This Row],[Month]]="","",VLOOKUP(Table25781014[[#This Row],[Month]],List!$B$2:$C$13,2,FALSE))</f>
        <v>12</v>
      </c>
    </row>
    <row r="380" spans="1:34" s="56" customFormat="1" ht="38.25" x14ac:dyDescent="0.2">
      <c r="A380" s="98" t="s">
        <v>117</v>
      </c>
      <c r="B380" s="305"/>
      <c r="C380" s="67" t="s">
        <v>7</v>
      </c>
      <c r="D380" s="59" t="s">
        <v>31</v>
      </c>
      <c r="E380" s="100" t="str">
        <f>IF(Table25781014[[#This Row],[Line Section]]="","",VLOOKUP(Table25781014[[#This Row],[Line Section]],Reference!$A$2:$B$47,2,FALSE))</f>
        <v>C138</v>
      </c>
      <c r="F380" s="157">
        <v>44353</v>
      </c>
      <c r="G380" s="440"/>
      <c r="H380" s="247" t="s">
        <v>533</v>
      </c>
      <c r="I380" s="54" t="s">
        <v>93</v>
      </c>
      <c r="J380" s="60">
        <v>45.65</v>
      </c>
      <c r="K380" s="60">
        <v>45.85</v>
      </c>
      <c r="L380" s="53">
        <f>IF(Table25781014[[#This Row],[End
(km)]]="","",Table25781014[[#This Row],[End
(km)]]-Table25781014[[#This Row],[Start
(km)]])</f>
        <v>0.20000000000000284</v>
      </c>
      <c r="M380" s="61" t="s">
        <v>179</v>
      </c>
      <c r="N380" s="59" t="s">
        <v>113</v>
      </c>
      <c r="O380" s="295" t="s">
        <v>113</v>
      </c>
      <c r="P380" s="64">
        <v>43298</v>
      </c>
      <c r="Q380" s="307">
        <v>43480</v>
      </c>
      <c r="R380" s="57" t="s">
        <v>121</v>
      </c>
      <c r="S380" s="55"/>
      <c r="T380" s="66"/>
      <c r="U380" s="308"/>
      <c r="V380" s="312"/>
      <c r="W380" s="67"/>
      <c r="X380" s="77" t="s">
        <v>457</v>
      </c>
      <c r="Y380" s="326"/>
      <c r="Z380" s="80" t="s">
        <v>122</v>
      </c>
      <c r="AA380" s="323"/>
      <c r="AB380" s="96"/>
      <c r="AC380" s="96"/>
      <c r="AD380" s="310" t="str">
        <f>IF(Table25781014[[#This Row],[End Completed Section (km)]]="","",Table25781014[[#This Row],[End Completed Section (km)]]-Table25781014[[#This Row],[Start Completed Section (km)]])</f>
        <v/>
      </c>
      <c r="AE380" s="72"/>
      <c r="AF38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380" s="229" t="str">
        <f>IF(Table25781014[[#This Row],[Planned Date]]="","",TEXT(Table25781014[[#This Row],[Planned Date]],"mmm"))</f>
        <v>Jun</v>
      </c>
      <c r="AH380" s="252">
        <f>IF(Table25781014[[#This Row],[Month]]="","",VLOOKUP(Table25781014[[#This Row],[Month]],List!$B$2:$C$13,2,FALSE))</f>
        <v>12</v>
      </c>
    </row>
    <row r="381" spans="1:34" ht="38.25" x14ac:dyDescent="0.2">
      <c r="A381" s="98" t="s">
        <v>118</v>
      </c>
      <c r="B381" s="305"/>
      <c r="C381" s="67" t="s">
        <v>7</v>
      </c>
      <c r="D381" s="59" t="s">
        <v>31</v>
      </c>
      <c r="E381" s="100" t="str">
        <f>IF(Table25781014[[#This Row],[Line Section]]="","",VLOOKUP(Table25781014[[#This Row],[Line Section]],Reference!$A$2:$B$47,2,FALSE))</f>
        <v>C138</v>
      </c>
      <c r="F381" s="157"/>
      <c r="G381" s="440"/>
      <c r="H381" s="306"/>
      <c r="I381" s="54" t="s">
        <v>93</v>
      </c>
      <c r="J381" s="60">
        <v>46.3</v>
      </c>
      <c r="K381" s="60">
        <v>46.75</v>
      </c>
      <c r="L381" s="53">
        <f>IF(Table25781014[[#This Row],[End
(km)]]="","",Table25781014[[#This Row],[End
(km)]]-Table25781014[[#This Row],[Start
(km)]])</f>
        <v>0.45000000000000284</v>
      </c>
      <c r="M381" s="61" t="s">
        <v>129</v>
      </c>
      <c r="N381" s="59" t="s">
        <v>113</v>
      </c>
      <c r="O381" s="295" t="s">
        <v>113</v>
      </c>
      <c r="P381" s="64">
        <v>43298</v>
      </c>
      <c r="Q381" s="307">
        <v>43480</v>
      </c>
      <c r="R381" s="57" t="s">
        <v>121</v>
      </c>
      <c r="S381" s="55"/>
      <c r="T381" s="66"/>
      <c r="U381" s="308"/>
      <c r="V381" s="312"/>
      <c r="W381" s="67"/>
      <c r="X381" s="77" t="s">
        <v>458</v>
      </c>
      <c r="Y381" s="332"/>
      <c r="Z381" s="80" t="s">
        <v>122</v>
      </c>
      <c r="AA381" s="323"/>
      <c r="AB381" s="96"/>
      <c r="AC381" s="96"/>
      <c r="AD381" s="314" t="str">
        <f>IF(Table25781014[[#This Row],[End Completed Section (km)]]="","",Table25781014[[#This Row],[End Completed Section (km)]]-Table25781014[[#This Row],[Start Completed Section (km)]])</f>
        <v/>
      </c>
      <c r="AE381" s="72"/>
      <c r="AF38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81" s="229" t="str">
        <f>IF(Table25781014[[#This Row],[Planned Date]]="","",TEXT(Table25781014[[#This Row],[Planned Date]],"mmm"))</f>
        <v/>
      </c>
      <c r="AH381" s="252" t="str">
        <f>IF(Table25781014[[#This Row],[Month]]="","",VLOOKUP(Table25781014[[#This Row],[Month]],List!$B$2:$C$13,2,FALSE))</f>
        <v/>
      </c>
    </row>
    <row r="382" spans="1:34" s="56" customFormat="1" ht="25.5" x14ac:dyDescent="0.2">
      <c r="A382" s="98" t="s">
        <v>118</v>
      </c>
      <c r="B382" s="305"/>
      <c r="C382" s="67" t="s">
        <v>7</v>
      </c>
      <c r="D382" s="59" t="s">
        <v>31</v>
      </c>
      <c r="E382" s="100" t="str">
        <f>IF(Table25781014[[#This Row],[Line Section]]="","",VLOOKUP(Table25781014[[#This Row],[Line Section]],Reference!$A$2:$B$47,2,FALSE))</f>
        <v>C138</v>
      </c>
      <c r="F382" s="157"/>
      <c r="G382" s="440"/>
      <c r="H382" s="306"/>
      <c r="I382" s="54" t="s">
        <v>94</v>
      </c>
      <c r="J382" s="60">
        <v>47</v>
      </c>
      <c r="K382" s="60">
        <v>47.48</v>
      </c>
      <c r="L382" s="53">
        <f>IF(Table25781014[[#This Row],[End
(km)]]="","",Table25781014[[#This Row],[End
(km)]]-Table25781014[[#This Row],[Start
(km)]])</f>
        <v>0.47999999999999687</v>
      </c>
      <c r="M382" s="61" t="s">
        <v>126</v>
      </c>
      <c r="N382" s="59" t="s">
        <v>113</v>
      </c>
      <c r="O382" s="295" t="s">
        <v>113</v>
      </c>
      <c r="P382" s="64">
        <v>43216</v>
      </c>
      <c r="Q382" s="307">
        <v>43480</v>
      </c>
      <c r="R382" s="61"/>
      <c r="S382" s="55" t="s">
        <v>121</v>
      </c>
      <c r="T382" s="66" t="s">
        <v>121</v>
      </c>
      <c r="U382" s="308"/>
      <c r="V382" s="309"/>
      <c r="W382" s="67" t="s">
        <v>152</v>
      </c>
      <c r="X382" s="77" t="s">
        <v>681</v>
      </c>
      <c r="Y382" s="326"/>
      <c r="Z382" s="159" t="s">
        <v>122</v>
      </c>
      <c r="AA382" s="323"/>
      <c r="AB382" s="96"/>
      <c r="AC382" s="96"/>
      <c r="AD382" s="310" t="str">
        <f>IF(Table25781014[[#This Row],[End Completed Section (km)]]="","",Table25781014[[#This Row],[End Completed Section (km)]]-Table25781014[[#This Row],[Start Completed Section (km)]])</f>
        <v/>
      </c>
      <c r="AE382" s="72"/>
      <c r="AF38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82" s="229" t="str">
        <f>IF(Table25781014[[#This Row],[Planned Date]]="","",TEXT(Table25781014[[#This Row],[Planned Date]],"mmm"))</f>
        <v/>
      </c>
      <c r="AH382" s="252" t="str">
        <f>IF(Table25781014[[#This Row],[Month]]="","",VLOOKUP(Table25781014[[#This Row],[Month]],List!$B$2:$C$13,2,FALSE))</f>
        <v/>
      </c>
    </row>
    <row r="383" spans="1:34" ht="25.5" x14ac:dyDescent="0.2">
      <c r="A383" s="98" t="s">
        <v>117</v>
      </c>
      <c r="B383" s="305"/>
      <c r="C383" s="67" t="s">
        <v>7</v>
      </c>
      <c r="D383" s="59" t="s">
        <v>31</v>
      </c>
      <c r="E383" s="100" t="str">
        <f>IF(Table25781014[[#This Row],[Line Section]]="","",VLOOKUP(Table25781014[[#This Row],[Line Section]],Reference!$A$2:$B$47,2,FALSE))</f>
        <v>C138</v>
      </c>
      <c r="F383" s="157"/>
      <c r="G383" s="440"/>
      <c r="H383" s="306"/>
      <c r="I383" s="54" t="s">
        <v>93</v>
      </c>
      <c r="J383" s="60">
        <v>47.1</v>
      </c>
      <c r="K383" s="60">
        <v>47.347999999999999</v>
      </c>
      <c r="L383" s="53">
        <f>IF(Table25781014[[#This Row],[End
(km)]]="","",Table25781014[[#This Row],[End
(km)]]-Table25781014[[#This Row],[Start
(km)]])</f>
        <v>0.24799999999999756</v>
      </c>
      <c r="M383" s="61" t="s">
        <v>189</v>
      </c>
      <c r="N383" s="59" t="s">
        <v>113</v>
      </c>
      <c r="O383" s="295" t="s">
        <v>113</v>
      </c>
      <c r="P383" s="64">
        <v>43230</v>
      </c>
      <c r="Q383" s="307">
        <v>43480</v>
      </c>
      <c r="R383" s="57"/>
      <c r="S383" s="55"/>
      <c r="T383" s="66"/>
      <c r="U383" s="308"/>
      <c r="V383" s="312"/>
      <c r="W383" s="67"/>
      <c r="X383" s="77" t="s">
        <v>371</v>
      </c>
      <c r="Y383" s="332"/>
      <c r="Z383" s="80" t="s">
        <v>122</v>
      </c>
      <c r="AA383" s="323"/>
      <c r="AB383" s="96"/>
      <c r="AC383" s="96"/>
      <c r="AD383" s="314" t="str">
        <f>IF(Table25781014[[#This Row],[End Completed Section (km)]]="","",Table25781014[[#This Row],[End Completed Section (km)]]-Table25781014[[#This Row],[Start Completed Section (km)]])</f>
        <v/>
      </c>
      <c r="AE383" s="72"/>
      <c r="AF38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83" s="229" t="str">
        <f>IF(Table25781014[[#This Row],[Planned Date]]="","",TEXT(Table25781014[[#This Row],[Planned Date]],"mmm"))</f>
        <v/>
      </c>
      <c r="AH383" s="252" t="str">
        <f>IF(Table25781014[[#This Row],[Month]]="","",VLOOKUP(Table25781014[[#This Row],[Month]],List!$B$2:$C$13,2,FALSE))</f>
        <v/>
      </c>
    </row>
    <row r="384" spans="1:34" s="56" customFormat="1" ht="51" x14ac:dyDescent="0.2">
      <c r="A384" s="98" t="s">
        <v>118</v>
      </c>
      <c r="B384" s="305"/>
      <c r="C384" s="67" t="s">
        <v>7</v>
      </c>
      <c r="D384" s="59" t="s">
        <v>31</v>
      </c>
      <c r="E384" s="100" t="str">
        <f>IF(Table25781014[[#This Row],[Line Section]]="","",VLOOKUP(Table25781014[[#This Row],[Line Section]],Reference!$A$2:$B$47,2,FALSE))</f>
        <v>C138</v>
      </c>
      <c r="F384" s="157"/>
      <c r="G384" s="440"/>
      <c r="H384" s="306"/>
      <c r="I384" s="54" t="s">
        <v>93</v>
      </c>
      <c r="J384" s="101">
        <v>47.41</v>
      </c>
      <c r="K384" s="60">
        <v>48.1</v>
      </c>
      <c r="L384" s="102">
        <f>IF(Table25781014[[#This Row],[End
(km)]]="","",Table25781014[[#This Row],[End
(km)]]-Table25781014[[#This Row],[Start
(km)]])</f>
        <v>0.69000000000000483</v>
      </c>
      <c r="M384" s="61" t="s">
        <v>129</v>
      </c>
      <c r="N384" s="59" t="s">
        <v>113</v>
      </c>
      <c r="O384" s="295" t="s">
        <v>207</v>
      </c>
      <c r="P384" s="64">
        <v>43298</v>
      </c>
      <c r="Q384" s="307">
        <v>43480</v>
      </c>
      <c r="R384" s="57" t="s">
        <v>121</v>
      </c>
      <c r="S384" s="106"/>
      <c r="T384" s="66"/>
      <c r="U384" s="308"/>
      <c r="V384" s="309"/>
      <c r="W384" s="67"/>
      <c r="X384" s="77" t="s">
        <v>459</v>
      </c>
      <c r="Y384" s="327"/>
      <c r="Z384" s="103" t="s">
        <v>122</v>
      </c>
      <c r="AA384" s="320"/>
      <c r="AB384" s="96"/>
      <c r="AC384" s="96"/>
      <c r="AD384" s="310" t="str">
        <f>IF(Table25781014[[#This Row],[End Completed Section (km)]]="","",Table25781014[[#This Row],[End Completed Section (km)]]-Table25781014[[#This Row],[Start Completed Section (km)]])</f>
        <v/>
      </c>
      <c r="AE384" s="72"/>
      <c r="AF38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84" s="229" t="str">
        <f>IF(Table25781014[[#This Row],[Planned Date]]="","",TEXT(Table25781014[[#This Row],[Planned Date]],"mmm"))</f>
        <v/>
      </c>
      <c r="AH384" s="252" t="str">
        <f>IF(Table25781014[[#This Row],[Month]]="","",VLOOKUP(Table25781014[[#This Row],[Month]],List!$B$2:$C$13,2,FALSE))</f>
        <v/>
      </c>
    </row>
    <row r="385" spans="1:34" ht="25.5" x14ac:dyDescent="0.2">
      <c r="A385" s="98" t="s">
        <v>117</v>
      </c>
      <c r="B385" s="305"/>
      <c r="C385" s="67" t="s">
        <v>7</v>
      </c>
      <c r="D385" s="59" t="s">
        <v>31</v>
      </c>
      <c r="E385" s="100" t="str">
        <f>IF(Table25781014[[#This Row],[Line Section]]="","",VLOOKUP(Table25781014[[#This Row],[Line Section]],Reference!$A$2:$B$47,2,FALSE))</f>
        <v>C138</v>
      </c>
      <c r="F385" s="157">
        <v>44353</v>
      </c>
      <c r="G385" s="440"/>
      <c r="H385" s="247" t="s">
        <v>534</v>
      </c>
      <c r="I385" s="54" t="s">
        <v>93</v>
      </c>
      <c r="J385" s="60">
        <v>48.15</v>
      </c>
      <c r="K385" s="60">
        <v>48.4</v>
      </c>
      <c r="L385" s="53">
        <f>IF(Table25781014[[#This Row],[End
(km)]]="","",Table25781014[[#This Row],[End
(km)]]-Table25781014[[#This Row],[Start
(km)]])</f>
        <v>0.25</v>
      </c>
      <c r="M385" s="61" t="s">
        <v>189</v>
      </c>
      <c r="N385" s="59" t="s">
        <v>113</v>
      </c>
      <c r="O385" s="295" t="s">
        <v>112</v>
      </c>
      <c r="P385" s="64">
        <v>43230</v>
      </c>
      <c r="Q385" s="307">
        <v>43671</v>
      </c>
      <c r="R385" s="57" t="s">
        <v>121</v>
      </c>
      <c r="S385" s="55"/>
      <c r="T385" s="66"/>
      <c r="U385" s="308"/>
      <c r="V385" s="312"/>
      <c r="W385" s="67"/>
      <c r="X385" s="77" t="s">
        <v>849</v>
      </c>
      <c r="Y385" s="332"/>
      <c r="Z385" s="80" t="s">
        <v>122</v>
      </c>
      <c r="AA385" s="323"/>
      <c r="AB385" s="96"/>
      <c r="AC385" s="96"/>
      <c r="AD385" s="314" t="str">
        <f>IF(Table25781014[[#This Row],[End Completed Section (km)]]="","",Table25781014[[#This Row],[End Completed Section (km)]]-Table25781014[[#This Row],[Start Completed Section (km)]])</f>
        <v/>
      </c>
      <c r="AE385" s="72"/>
      <c r="AF38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385" s="229" t="str">
        <f>IF(Table25781014[[#This Row],[Planned Date]]="","",TEXT(Table25781014[[#This Row],[Planned Date]],"mmm"))</f>
        <v>Jun</v>
      </c>
      <c r="AH385" s="252">
        <f>IF(Table25781014[[#This Row],[Month]]="","",VLOOKUP(Table25781014[[#This Row],[Month]],List!$B$2:$C$13,2,FALSE))</f>
        <v>12</v>
      </c>
    </row>
    <row r="386" spans="1:34" ht="38.25" x14ac:dyDescent="0.2">
      <c r="A386" s="98" t="s">
        <v>117</v>
      </c>
      <c r="B386" s="305">
        <v>28</v>
      </c>
      <c r="C386" s="67" t="s">
        <v>7</v>
      </c>
      <c r="D386" s="59" t="s">
        <v>31</v>
      </c>
      <c r="E386" s="100" t="str">
        <f>IF(Table25781014[[#This Row],[Line Section]]="","",VLOOKUP(Table25781014[[#This Row],[Line Section]],Reference!$A$2:$B$47,2,FALSE))</f>
        <v>C138</v>
      </c>
      <c r="F386" s="157" t="s">
        <v>651</v>
      </c>
      <c r="G386" s="440"/>
      <c r="H386" s="306"/>
      <c r="I386" s="54" t="s">
        <v>94</v>
      </c>
      <c r="J386" s="60">
        <v>49.15</v>
      </c>
      <c r="K386" s="60">
        <v>49.45</v>
      </c>
      <c r="L386" s="53">
        <f>IF(Table25781014[[#This Row],[End
(km)]]="","",Table25781014[[#This Row],[End
(km)]]-Table25781014[[#This Row],[Start
(km)]])</f>
        <v>0.30000000000000426</v>
      </c>
      <c r="M386" s="61" t="s">
        <v>126</v>
      </c>
      <c r="N386" s="59" t="s">
        <v>113</v>
      </c>
      <c r="O386" s="295" t="s">
        <v>113</v>
      </c>
      <c r="P386" s="64">
        <v>43480</v>
      </c>
      <c r="Q386" s="307">
        <v>43668</v>
      </c>
      <c r="R386" s="57"/>
      <c r="S386" s="55"/>
      <c r="T386" s="66"/>
      <c r="U386" s="308"/>
      <c r="V386" s="312"/>
      <c r="W386" s="67"/>
      <c r="X386" s="77" t="s">
        <v>841</v>
      </c>
      <c r="Y386" s="332"/>
      <c r="Z386" s="80" t="s">
        <v>188</v>
      </c>
      <c r="AA386" s="323"/>
      <c r="AB386" s="96"/>
      <c r="AC386" s="96"/>
      <c r="AD386" s="314" t="str">
        <f>IF(Table25781014[[#This Row],[End Completed Section (km)]]="","",Table25781014[[#This Row],[End Completed Section (km)]]-Table25781014[[#This Row],[Start Completed Section (km)]])</f>
        <v/>
      </c>
      <c r="AE386" s="72"/>
      <c r="AF386"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86" s="229" t="str">
        <f>IF(Table25781014[[#This Row],[Planned Date]]="","",TEXT(Table25781014[[#This Row],[Planned Date]],"mmm"))</f>
        <v>21/22</v>
      </c>
      <c r="AH386" s="252" t="e">
        <f>IF(Table25781014[[#This Row],[Month]]="","",VLOOKUP(Table25781014[[#This Row],[Month]],List!$B$2:$C$13,2,FALSE))</f>
        <v>#N/A</v>
      </c>
    </row>
    <row r="387" spans="1:34" s="56" customFormat="1" ht="25.5" x14ac:dyDescent="0.2">
      <c r="A387" s="98" t="s">
        <v>117</v>
      </c>
      <c r="B387" s="305"/>
      <c r="C387" s="67" t="s">
        <v>7</v>
      </c>
      <c r="D387" s="59" t="s">
        <v>31</v>
      </c>
      <c r="E387" s="100" t="str">
        <f>IF(Table25781014[[#This Row],[Line Section]]="","",VLOOKUP(Table25781014[[#This Row],[Line Section]],Reference!$A$2:$B$47,2,FALSE))</f>
        <v>C138</v>
      </c>
      <c r="F387" s="157"/>
      <c r="G387" s="440"/>
      <c r="H387" s="306"/>
      <c r="I387" s="54" t="s">
        <v>93</v>
      </c>
      <c r="J387" s="60">
        <v>49.3</v>
      </c>
      <c r="K387" s="60">
        <v>49.6</v>
      </c>
      <c r="L387" s="53">
        <f>IF(Table25781014[[#This Row],[End
(km)]]="","",Table25781014[[#This Row],[End
(km)]]-Table25781014[[#This Row],[Start
(km)]])</f>
        <v>0.30000000000000426</v>
      </c>
      <c r="M387" s="61" t="s">
        <v>189</v>
      </c>
      <c r="N387" s="59" t="s">
        <v>113</v>
      </c>
      <c r="O387" s="295" t="s">
        <v>113</v>
      </c>
      <c r="P387" s="64">
        <v>43230</v>
      </c>
      <c r="Q387" s="307">
        <v>43480</v>
      </c>
      <c r="R387" s="57"/>
      <c r="S387" s="55"/>
      <c r="T387" s="66"/>
      <c r="U387" s="308"/>
      <c r="V387" s="309"/>
      <c r="W387" s="67"/>
      <c r="X387" s="77" t="s">
        <v>370</v>
      </c>
      <c r="Y387" s="326"/>
      <c r="Z387" s="80" t="s">
        <v>122</v>
      </c>
      <c r="AA387" s="323"/>
      <c r="AB387" s="96"/>
      <c r="AC387" s="96"/>
      <c r="AD387" s="310" t="str">
        <f>IF(Table25781014[[#This Row],[End Completed Section (km)]]="","",Table25781014[[#This Row],[End Completed Section (km)]]-Table25781014[[#This Row],[Start Completed Section (km)]])</f>
        <v/>
      </c>
      <c r="AE387" s="72"/>
      <c r="AF38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87" s="229" t="str">
        <f>IF(Table25781014[[#This Row],[Planned Date]]="","",TEXT(Table25781014[[#This Row],[Planned Date]],"mmm"))</f>
        <v/>
      </c>
      <c r="AH387" s="252" t="str">
        <f>IF(Table25781014[[#This Row],[Month]]="","",VLOOKUP(Table25781014[[#This Row],[Month]],List!$B$2:$C$13,2,FALSE))</f>
        <v/>
      </c>
    </row>
    <row r="388" spans="1:34" s="56" customFormat="1" ht="38.25" x14ac:dyDescent="0.2">
      <c r="A388" s="98" t="s">
        <v>116</v>
      </c>
      <c r="B388" s="305">
        <v>16</v>
      </c>
      <c r="C388" s="67" t="s">
        <v>7</v>
      </c>
      <c r="D388" s="59" t="s">
        <v>31</v>
      </c>
      <c r="E388" s="100" t="str">
        <f>IF(Table25781014[[#This Row],[Line Section]]="","",VLOOKUP(Table25781014[[#This Row],[Line Section]],Reference!$A$2:$B$47,2,FALSE))</f>
        <v>C138</v>
      </c>
      <c r="F388" s="157">
        <v>44227</v>
      </c>
      <c r="G388" s="440"/>
      <c r="H388" s="247" t="s">
        <v>534</v>
      </c>
      <c r="I388" s="54" t="s">
        <v>93</v>
      </c>
      <c r="J388" s="60">
        <v>49.8</v>
      </c>
      <c r="K388" s="60">
        <v>50.3</v>
      </c>
      <c r="L388" s="53">
        <v>0.24</v>
      </c>
      <c r="M388" s="61" t="s">
        <v>189</v>
      </c>
      <c r="N388" s="59" t="s">
        <v>113</v>
      </c>
      <c r="O388" s="295" t="s">
        <v>113</v>
      </c>
      <c r="P388" s="64">
        <v>43230</v>
      </c>
      <c r="Q388" s="307">
        <v>43489</v>
      </c>
      <c r="R388" s="57" t="s">
        <v>121</v>
      </c>
      <c r="S388" s="55"/>
      <c r="T388" s="66"/>
      <c r="U388" s="308"/>
      <c r="V388" s="312"/>
      <c r="W388" s="67" t="s">
        <v>131</v>
      </c>
      <c r="X388" s="77" t="s">
        <v>758</v>
      </c>
      <c r="Y388" s="326"/>
      <c r="Z388" s="80" t="s">
        <v>122</v>
      </c>
      <c r="AA388" s="323"/>
      <c r="AB388" s="96"/>
      <c r="AC388" s="96"/>
      <c r="AD388" s="314" t="str">
        <f>IF(Table25781014[[#This Row],[End Completed Section (km)]]="","",Table25781014[[#This Row],[End Completed Section (km)]]-Table25781014[[#This Row],[Start Completed Section (km)]])</f>
        <v/>
      </c>
      <c r="AE388" s="72"/>
      <c r="AF38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388" s="229" t="str">
        <f>IF(Table25781014[[#This Row],[Planned Date]]="","",TEXT(Table25781014[[#This Row],[Planned Date]],"mmm"))</f>
        <v>Jan</v>
      </c>
      <c r="AH388" s="252">
        <f>IF(Table25781014[[#This Row],[Month]]="","",VLOOKUP(Table25781014[[#This Row],[Month]],List!$B$2:$C$13,2,FALSE))</f>
        <v>7</v>
      </c>
    </row>
    <row r="389" spans="1:34" s="56" customFormat="1" ht="25.5" x14ac:dyDescent="0.2">
      <c r="A389" s="98" t="s">
        <v>116</v>
      </c>
      <c r="B389" s="305"/>
      <c r="C389" s="67" t="s">
        <v>7</v>
      </c>
      <c r="D389" s="59" t="s">
        <v>18</v>
      </c>
      <c r="E389" s="100" t="str">
        <f>IF(Table25781014[[#This Row],[Line Section]]="","",VLOOKUP(Table25781014[[#This Row],[Line Section]],Reference!$A$2:$B$47,2,FALSE))</f>
        <v>C027</v>
      </c>
      <c r="F389" s="157"/>
      <c r="G389" s="440"/>
      <c r="H389" s="306"/>
      <c r="I389" s="54" t="s">
        <v>101</v>
      </c>
      <c r="J389" s="60">
        <v>50</v>
      </c>
      <c r="K389" s="60">
        <v>50.2</v>
      </c>
      <c r="L389" s="53">
        <f>IF(Table25781014[[#This Row],[End
(km)]]="","",Table25781014[[#This Row],[End
(km)]]-Table25781014[[#This Row],[Start
(km)]])</f>
        <v>0.20000000000000284</v>
      </c>
      <c r="M389" s="61" t="s">
        <v>126</v>
      </c>
      <c r="N389" s="59"/>
      <c r="O389" s="295" t="s">
        <v>113</v>
      </c>
      <c r="P389" s="64">
        <v>43481</v>
      </c>
      <c r="Q389" s="307"/>
      <c r="R389" s="57"/>
      <c r="S389" s="55"/>
      <c r="T389" s="66"/>
      <c r="U389" s="308"/>
      <c r="V389" s="309"/>
      <c r="W389" s="67"/>
      <c r="X389" s="77" t="s">
        <v>704</v>
      </c>
      <c r="Y389" s="327"/>
      <c r="Z389" s="80" t="s">
        <v>122</v>
      </c>
      <c r="AA389" s="323"/>
      <c r="AB389" s="96"/>
      <c r="AC389" s="96"/>
      <c r="AD389" s="310" t="str">
        <f>IF(Table25781014[[#This Row],[End Completed Section (km)]]="","",Table25781014[[#This Row],[End Completed Section (km)]]-Table25781014[[#This Row],[Start Completed Section (km)]])</f>
        <v/>
      </c>
      <c r="AE389" s="161"/>
      <c r="AF389" s="253"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89" s="254" t="str">
        <f>IF(Table25781014[[#This Row],[Planned Date]]="","",TEXT(Table25781014[[#This Row],[Planned Date]],"mmm"))</f>
        <v/>
      </c>
      <c r="AH389" s="255" t="str">
        <f>IF(Table25781014[[#This Row],[Month]]="","",VLOOKUP(Table25781014[[#This Row],[Month]],List!$B$2:$C$13,2,FALSE))</f>
        <v/>
      </c>
    </row>
    <row r="390" spans="1:34" s="56" customFormat="1" ht="51" x14ac:dyDescent="0.2">
      <c r="A390" s="98" t="s">
        <v>117</v>
      </c>
      <c r="B390" s="305">
        <v>12</v>
      </c>
      <c r="C390" s="67" t="s">
        <v>7</v>
      </c>
      <c r="D390" s="59" t="s">
        <v>31</v>
      </c>
      <c r="E390" s="100" t="str">
        <f>IF(Table25781014[[#This Row],[Line Section]]="","",VLOOKUP(Table25781014[[#This Row],[Line Section]],Reference!$A$2:$B$47,2,FALSE))</f>
        <v>C138</v>
      </c>
      <c r="F390" s="157">
        <v>44073</v>
      </c>
      <c r="G390" s="440" t="s">
        <v>430</v>
      </c>
      <c r="H390" s="247" t="s">
        <v>533</v>
      </c>
      <c r="I390" s="54" t="s">
        <v>94</v>
      </c>
      <c r="J390" s="60">
        <v>50.2</v>
      </c>
      <c r="K390" s="60">
        <v>50.5</v>
      </c>
      <c r="L390" s="53">
        <f>IF(Table25781014[[#This Row],[End
(km)]]="","",Table25781014[[#This Row],[End
(km)]]-Table25781014[[#This Row],[Start
(km)]])</f>
        <v>0.29999999999999716</v>
      </c>
      <c r="M390" s="61" t="s">
        <v>129</v>
      </c>
      <c r="N390" s="59" t="s">
        <v>113</v>
      </c>
      <c r="O390" s="295" t="s">
        <v>113</v>
      </c>
      <c r="P390" s="64">
        <v>43298</v>
      </c>
      <c r="Q390" s="307">
        <v>43480</v>
      </c>
      <c r="R390" s="57" t="s">
        <v>121</v>
      </c>
      <c r="S390" s="55"/>
      <c r="T390" s="66"/>
      <c r="U390" s="308"/>
      <c r="V390" s="312"/>
      <c r="W390" s="67" t="s">
        <v>460</v>
      </c>
      <c r="X390" s="77" t="s">
        <v>682</v>
      </c>
      <c r="Y390" s="326"/>
      <c r="Z390" s="80" t="s">
        <v>122</v>
      </c>
      <c r="AA390" s="323"/>
      <c r="AB390" s="96"/>
      <c r="AC390" s="96"/>
      <c r="AD390" s="314" t="str">
        <f>IF(Table25781014[[#This Row],[End Completed Section (km)]]="","",Table25781014[[#This Row],[End Completed Section (km)]]-Table25781014[[#This Row],[Start Completed Section (km)]])</f>
        <v/>
      </c>
      <c r="AE390" s="72"/>
      <c r="AF39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390" s="229" t="str">
        <f>IF(Table25781014[[#This Row],[Planned Date]]="","",TEXT(Table25781014[[#This Row],[Planned Date]],"mmm"))</f>
        <v>Aug</v>
      </c>
      <c r="AH390" s="252">
        <f>IF(Table25781014[[#This Row],[Month]]="","",VLOOKUP(Table25781014[[#This Row],[Month]],List!$B$2:$C$13,2,FALSE))</f>
        <v>2</v>
      </c>
    </row>
    <row r="391" spans="1:34" s="56" customFormat="1" ht="25.5" x14ac:dyDescent="0.2">
      <c r="A391" s="98" t="s">
        <v>117</v>
      </c>
      <c r="B391" s="305"/>
      <c r="C391" s="67" t="s">
        <v>7</v>
      </c>
      <c r="D391" s="59" t="s">
        <v>31</v>
      </c>
      <c r="E391" s="100" t="str">
        <f>IF(Table25781014[[#This Row],[Line Section]]="","",VLOOKUP(Table25781014[[#This Row],[Line Section]],Reference!$A$2:$B$47,2,FALSE))</f>
        <v>C138</v>
      </c>
      <c r="F391" s="157"/>
      <c r="G391" s="440"/>
      <c r="H391" s="306"/>
      <c r="I391" s="54" t="s">
        <v>93</v>
      </c>
      <c r="J391" s="60">
        <v>50.3</v>
      </c>
      <c r="K391" s="60">
        <v>50.7</v>
      </c>
      <c r="L391" s="53">
        <f>IF(Table25781014[[#This Row],[End
(km)]]="","",Table25781014[[#This Row],[End
(km)]]-Table25781014[[#This Row],[Start
(km)]])</f>
        <v>0.40000000000000568</v>
      </c>
      <c r="M391" s="61" t="s">
        <v>189</v>
      </c>
      <c r="N391" s="59" t="s">
        <v>113</v>
      </c>
      <c r="O391" s="295" t="s">
        <v>113</v>
      </c>
      <c r="P391" s="64">
        <v>43230</v>
      </c>
      <c r="Q391" s="307">
        <v>43480</v>
      </c>
      <c r="R391" s="57"/>
      <c r="S391" s="55"/>
      <c r="T391" s="66"/>
      <c r="U391" s="308"/>
      <c r="V391" s="312"/>
      <c r="W391" s="67"/>
      <c r="X391" s="77" t="s">
        <v>460</v>
      </c>
      <c r="Y391" s="326"/>
      <c r="Z391" s="80"/>
      <c r="AA391" s="323"/>
      <c r="AB391" s="96"/>
      <c r="AC391" s="96"/>
      <c r="AD391" s="314" t="str">
        <f>IF(Table25781014[[#This Row],[End Completed Section (km)]]="","",Table25781014[[#This Row],[End Completed Section (km)]]-Table25781014[[#This Row],[Start Completed Section (km)]])</f>
        <v/>
      </c>
      <c r="AE391" s="72"/>
      <c r="AF39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91" s="229" t="str">
        <f>IF(Table25781014[[#This Row],[Planned Date]]="","",TEXT(Table25781014[[#This Row],[Planned Date]],"mmm"))</f>
        <v/>
      </c>
      <c r="AH391" s="252" t="str">
        <f>IF(Table25781014[[#This Row],[Month]]="","",VLOOKUP(Table25781014[[#This Row],[Month]],List!$B$2:$C$13,2,FALSE))</f>
        <v/>
      </c>
    </row>
    <row r="392" spans="1:34" s="56" customFormat="1" ht="63.75" x14ac:dyDescent="0.2">
      <c r="A392" s="98" t="s">
        <v>116</v>
      </c>
      <c r="B392" s="305">
        <v>6</v>
      </c>
      <c r="C392" s="67" t="s">
        <v>7</v>
      </c>
      <c r="D392" s="59" t="s">
        <v>31</v>
      </c>
      <c r="E392" s="100" t="str">
        <f>IF(Table25781014[[#This Row],[Line Section]]="","",VLOOKUP(Table25781014[[#This Row],[Line Section]],Reference!$A$2:$B$47,2,FALSE))</f>
        <v>C138</v>
      </c>
      <c r="F392" s="157" t="s">
        <v>651</v>
      </c>
      <c r="G392" s="440"/>
      <c r="H392" s="306"/>
      <c r="I392" s="54" t="s">
        <v>94</v>
      </c>
      <c r="J392" s="60">
        <v>50.5</v>
      </c>
      <c r="K392" s="60">
        <v>50.75</v>
      </c>
      <c r="L392" s="53">
        <f>IF(Table25781014[[#This Row],[End
(km)]]="","",Table25781014[[#This Row],[End
(km)]]-Table25781014[[#This Row],[Start
(km)]])</f>
        <v>0.25</v>
      </c>
      <c r="M392" s="61" t="s">
        <v>126</v>
      </c>
      <c r="N392" s="59" t="s">
        <v>113</v>
      </c>
      <c r="O392" s="295" t="s">
        <v>113</v>
      </c>
      <c r="P392" s="64">
        <v>43480</v>
      </c>
      <c r="Q392" s="307">
        <v>43489</v>
      </c>
      <c r="R392" s="57" t="s">
        <v>121</v>
      </c>
      <c r="S392" s="55"/>
      <c r="T392" s="66"/>
      <c r="U392" s="308"/>
      <c r="V392" s="309"/>
      <c r="W392" s="67" t="s">
        <v>602</v>
      </c>
      <c r="X392" s="77" t="s">
        <v>759</v>
      </c>
      <c r="Y392" s="326"/>
      <c r="Z392" s="80" t="s">
        <v>188</v>
      </c>
      <c r="AA392" s="323"/>
      <c r="AB392" s="96"/>
      <c r="AC392" s="96"/>
      <c r="AD392" s="310" t="str">
        <f>IF(Table25781014[[#This Row],[End Completed Section (km)]]="","",Table25781014[[#This Row],[End Completed Section (km)]]-Table25781014[[#This Row],[Start Completed Section (km)]])</f>
        <v/>
      </c>
      <c r="AE392" s="72"/>
      <c r="AF392"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392" s="229" t="str">
        <f>IF(Table25781014[[#This Row],[Planned Date]]="","",TEXT(Table25781014[[#This Row],[Planned Date]],"mmm"))</f>
        <v>21/22</v>
      </c>
      <c r="AH392" s="252" t="e">
        <f>IF(Table25781014[[#This Row],[Month]]="","",VLOOKUP(Table25781014[[#This Row],[Month]],List!$B$2:$C$13,2,FALSE))</f>
        <v>#N/A</v>
      </c>
    </row>
    <row r="393" spans="1:34" ht="25.5" x14ac:dyDescent="0.2">
      <c r="A393" s="98" t="s">
        <v>118</v>
      </c>
      <c r="B393" s="305"/>
      <c r="C393" s="67" t="s">
        <v>7</v>
      </c>
      <c r="D393" s="59" t="s">
        <v>18</v>
      </c>
      <c r="E393" s="100" t="str">
        <f>IF(Table25781014[[#This Row],[Line Section]]="","",VLOOKUP(Table25781014[[#This Row],[Line Section]],Reference!$A$2:$B$47,2,FALSE))</f>
        <v>C027</v>
      </c>
      <c r="F393" s="157"/>
      <c r="G393" s="440"/>
      <c r="H393" s="306"/>
      <c r="I393" s="54" t="s">
        <v>94</v>
      </c>
      <c r="J393" s="60">
        <v>56</v>
      </c>
      <c r="K393" s="60">
        <v>56.2</v>
      </c>
      <c r="L393" s="53">
        <f>IF(Table25781014[[#This Row],[End
(km)]]="","",Table25781014[[#This Row],[End
(km)]]-Table25781014[[#This Row],[Start
(km)]])</f>
        <v>0.20000000000000284</v>
      </c>
      <c r="M393" s="61" t="s">
        <v>126</v>
      </c>
      <c r="N393" s="59" t="s">
        <v>113</v>
      </c>
      <c r="O393" s="295" t="s">
        <v>207</v>
      </c>
      <c r="P393" s="64">
        <v>43214</v>
      </c>
      <c r="Q393" s="307">
        <v>43480</v>
      </c>
      <c r="R393" s="57"/>
      <c r="S393" s="55"/>
      <c r="T393" s="66"/>
      <c r="U393" s="308"/>
      <c r="V393" s="309"/>
      <c r="W393" s="67"/>
      <c r="X393" s="77" t="s">
        <v>683</v>
      </c>
      <c r="Y393" s="332"/>
      <c r="Z393" s="80" t="s">
        <v>122</v>
      </c>
      <c r="AA393" s="323"/>
      <c r="AB393" s="96"/>
      <c r="AC393" s="96"/>
      <c r="AD393" s="310" t="str">
        <f>IF(Table25781014[[#This Row],[End Completed Section (km)]]="","",Table25781014[[#This Row],[End Completed Section (km)]]-Table25781014[[#This Row],[Start Completed Section (km)]])</f>
        <v/>
      </c>
      <c r="AE393" s="72"/>
      <c r="AF39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93" s="229" t="str">
        <f>IF(Table25781014[[#This Row],[Planned Date]]="","",TEXT(Table25781014[[#This Row],[Planned Date]],"mmm"))</f>
        <v/>
      </c>
      <c r="AH393" s="252" t="str">
        <f>IF(Table25781014[[#This Row],[Month]]="","",VLOOKUP(Table25781014[[#This Row],[Month]],List!$B$2:$C$13,2,FALSE))</f>
        <v/>
      </c>
    </row>
    <row r="394" spans="1:34" s="56" customFormat="1" ht="25.5" x14ac:dyDescent="0.2">
      <c r="A394" s="98" t="s">
        <v>118</v>
      </c>
      <c r="B394" s="305"/>
      <c r="C394" s="67" t="s">
        <v>7</v>
      </c>
      <c r="D394" s="59" t="s">
        <v>18</v>
      </c>
      <c r="E394" s="100" t="str">
        <f>IF(Table25781014[[#This Row],[Line Section]]="","",VLOOKUP(Table25781014[[#This Row],[Line Section]],Reference!$A$2:$B$47,2,FALSE))</f>
        <v>C027</v>
      </c>
      <c r="F394" s="157"/>
      <c r="G394" s="440"/>
      <c r="H394" s="306"/>
      <c r="I394" s="54" t="s">
        <v>94</v>
      </c>
      <c r="J394" s="60">
        <v>61.65</v>
      </c>
      <c r="K394" s="60">
        <v>61.75</v>
      </c>
      <c r="L394" s="53">
        <f>IF(Table25781014[[#This Row],[End
(km)]]="","",Table25781014[[#This Row],[End
(km)]]-Table25781014[[#This Row],[Start
(km)]])</f>
        <v>0.10000000000000142</v>
      </c>
      <c r="M394" s="61" t="s">
        <v>126</v>
      </c>
      <c r="N394" s="59" t="s">
        <v>113</v>
      </c>
      <c r="O394" s="295" t="s">
        <v>113</v>
      </c>
      <c r="P394" s="64">
        <v>43215</v>
      </c>
      <c r="Q394" s="307">
        <v>43480</v>
      </c>
      <c r="R394" s="57"/>
      <c r="S394" s="55"/>
      <c r="T394" s="66"/>
      <c r="U394" s="308"/>
      <c r="V394" s="309"/>
      <c r="W394" s="67"/>
      <c r="X394" s="77" t="s">
        <v>683</v>
      </c>
      <c r="Y394" s="326"/>
      <c r="Z394" s="80" t="s">
        <v>122</v>
      </c>
      <c r="AA394" s="323"/>
      <c r="AB394" s="96"/>
      <c r="AC394" s="96"/>
      <c r="AD394" s="310" t="str">
        <f>IF(Table25781014[[#This Row],[End Completed Section (km)]]="","",Table25781014[[#This Row],[End Completed Section (km)]]-Table25781014[[#This Row],[Start Completed Section (km)]])</f>
        <v/>
      </c>
      <c r="AE394" s="72"/>
      <c r="AF39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94" s="229" t="str">
        <f>IF(Table25781014[[#This Row],[Planned Date]]="","",TEXT(Table25781014[[#This Row],[Planned Date]],"mmm"))</f>
        <v/>
      </c>
      <c r="AH394" s="252" t="str">
        <f>IF(Table25781014[[#This Row],[Month]]="","",VLOOKUP(Table25781014[[#This Row],[Month]],List!$B$2:$C$13,2,FALSE))</f>
        <v/>
      </c>
    </row>
    <row r="395" spans="1:34" ht="38.25" x14ac:dyDescent="0.2">
      <c r="A395" s="98" t="s">
        <v>116</v>
      </c>
      <c r="B395" s="343"/>
      <c r="C395" s="67" t="s">
        <v>7</v>
      </c>
      <c r="D395" s="59" t="s">
        <v>18</v>
      </c>
      <c r="E395" s="100" t="str">
        <f>IF(Table25781014[[#This Row],[Line Section]]="","",VLOOKUP(Table25781014[[#This Row],[Line Section]],Reference!$A$2:$B$47,2,FALSE))</f>
        <v>C027</v>
      </c>
      <c r="F395" s="157"/>
      <c r="G395" s="440"/>
      <c r="H395" s="344"/>
      <c r="I395" s="54" t="s">
        <v>94</v>
      </c>
      <c r="J395" s="60">
        <v>62</v>
      </c>
      <c r="K395" s="60">
        <v>62.7</v>
      </c>
      <c r="L395" s="53">
        <f>IF(Table25781014[[#This Row],[End
(km)]]="","",Table25781014[[#This Row],[End
(km)]]-Table25781014[[#This Row],[Start
(km)]])</f>
        <v>0.70000000000000284</v>
      </c>
      <c r="M395" s="61" t="s">
        <v>725</v>
      </c>
      <c r="N395" s="59" t="s">
        <v>779</v>
      </c>
      <c r="O395" s="295" t="s">
        <v>109</v>
      </c>
      <c r="P395" s="64">
        <v>43503</v>
      </c>
      <c r="Q395" s="345"/>
      <c r="R395" s="57"/>
      <c r="S395" s="55"/>
      <c r="T395" s="66"/>
      <c r="U395" s="346"/>
      <c r="V395" s="347"/>
      <c r="W395" s="67"/>
      <c r="X395" s="77" t="s">
        <v>780</v>
      </c>
      <c r="Y395" s="348"/>
      <c r="Z395" s="80" t="s">
        <v>233</v>
      </c>
      <c r="AA395" s="349"/>
      <c r="AB395" s="96"/>
      <c r="AC395" s="96"/>
      <c r="AD395" s="350" t="str">
        <f>IF(Table25781014[[#This Row],[End Completed Section (km)]]="","",Table25781014[[#This Row],[End Completed Section (km)]]-Table25781014[[#This Row],[Start Completed Section (km)]])</f>
        <v/>
      </c>
      <c r="AE395" s="72"/>
      <c r="AF39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95" s="229" t="str">
        <f>IF(Table25781014[[#This Row],[Planned Date]]="","",TEXT(Table25781014[[#This Row],[Planned Date]],"mmm"))</f>
        <v/>
      </c>
      <c r="AH395" s="252" t="str">
        <f>IF(Table25781014[[#This Row],[Month]]="","",VLOOKUP(Table25781014[[#This Row],[Month]],List!$B$2:$C$13,2,FALSE))</f>
        <v/>
      </c>
    </row>
    <row r="396" spans="1:34" ht="38.25" x14ac:dyDescent="0.2">
      <c r="A396" s="98" t="s">
        <v>117</v>
      </c>
      <c r="B396" s="343"/>
      <c r="C396" s="67" t="s">
        <v>7</v>
      </c>
      <c r="D396" s="59" t="s">
        <v>18</v>
      </c>
      <c r="E396" s="100" t="str">
        <f>IF(Table25781014[[#This Row],[Line Section]]="","",VLOOKUP(Table25781014[[#This Row],[Line Section]],Reference!$A$2:$B$47,2,FALSE))</f>
        <v>C027</v>
      </c>
      <c r="F396" s="157"/>
      <c r="G396" s="440"/>
      <c r="H396" s="344"/>
      <c r="I396" s="54" t="s">
        <v>93</v>
      </c>
      <c r="J396" s="60">
        <v>62</v>
      </c>
      <c r="K396" s="60">
        <v>62.7</v>
      </c>
      <c r="L396" s="53">
        <f>IF(Table25781014[[#This Row],[End
(km)]]="","",Table25781014[[#This Row],[End
(km)]]-Table25781014[[#This Row],[Start
(km)]])</f>
        <v>0.70000000000000284</v>
      </c>
      <c r="M396" s="61" t="s">
        <v>725</v>
      </c>
      <c r="N396" s="59" t="s">
        <v>779</v>
      </c>
      <c r="O396" s="295" t="s">
        <v>109</v>
      </c>
      <c r="P396" s="64">
        <v>43503</v>
      </c>
      <c r="Q396" s="345"/>
      <c r="R396" s="57"/>
      <c r="S396" s="55"/>
      <c r="T396" s="66"/>
      <c r="U396" s="346"/>
      <c r="V396" s="347"/>
      <c r="W396" s="67"/>
      <c r="X396" s="77" t="s">
        <v>780</v>
      </c>
      <c r="Y396" s="348"/>
      <c r="Z396" s="80" t="s">
        <v>233</v>
      </c>
      <c r="AA396" s="349"/>
      <c r="AB396" s="96"/>
      <c r="AC396" s="96"/>
      <c r="AD396" s="350" t="str">
        <f>IF(Table25781014[[#This Row],[End Completed Section (km)]]="","",Table25781014[[#This Row],[End Completed Section (km)]]-Table25781014[[#This Row],[Start Completed Section (km)]])</f>
        <v/>
      </c>
      <c r="AE396" s="72"/>
      <c r="AF39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96" s="229" t="str">
        <f>IF(Table25781014[[#This Row],[Planned Date]]="","",TEXT(Table25781014[[#This Row],[Planned Date]],"mmm"))</f>
        <v/>
      </c>
      <c r="AH396" s="252" t="str">
        <f>IF(Table25781014[[#This Row],[Month]]="","",VLOOKUP(Table25781014[[#This Row],[Month]],List!$B$2:$C$13,2,FALSE))</f>
        <v/>
      </c>
    </row>
    <row r="397" spans="1:34" s="56" customFormat="1" ht="38.25" x14ac:dyDescent="0.2">
      <c r="A397" s="98" t="s">
        <v>118</v>
      </c>
      <c r="B397" s="305"/>
      <c r="C397" s="67" t="s">
        <v>7</v>
      </c>
      <c r="D397" s="59" t="s">
        <v>18</v>
      </c>
      <c r="E397" s="100" t="str">
        <f>IF(Table25781014[[#This Row],[Line Section]]="","",VLOOKUP(Table25781014[[#This Row],[Line Section]],Reference!$A$2:$B$47,2,FALSE))</f>
        <v>C027</v>
      </c>
      <c r="F397" s="157"/>
      <c r="G397" s="440"/>
      <c r="H397" s="306"/>
      <c r="I397" s="54" t="s">
        <v>100</v>
      </c>
      <c r="J397" s="60">
        <v>65.13</v>
      </c>
      <c r="K397" s="60">
        <v>65.75</v>
      </c>
      <c r="L397" s="53">
        <f>IF(Table25781014[[#This Row],[End
(km)]]="","",Table25781014[[#This Row],[End
(km)]]-Table25781014[[#This Row],[Start
(km)]])</f>
        <v>0.62000000000000455</v>
      </c>
      <c r="M397" s="61" t="s">
        <v>129</v>
      </c>
      <c r="N397" s="59" t="s">
        <v>109</v>
      </c>
      <c r="O397" s="295" t="s">
        <v>109</v>
      </c>
      <c r="P397" s="64">
        <v>43348</v>
      </c>
      <c r="Q397" s="307">
        <v>43481</v>
      </c>
      <c r="R397" s="57" t="s">
        <v>121</v>
      </c>
      <c r="S397" s="55"/>
      <c r="T397" s="66"/>
      <c r="U397" s="308"/>
      <c r="V397" s="312"/>
      <c r="W397" s="67"/>
      <c r="X397" s="77" t="s">
        <v>705</v>
      </c>
      <c r="Y397" s="326"/>
      <c r="Z397" s="80" t="s">
        <v>139</v>
      </c>
      <c r="AA397" s="323"/>
      <c r="AB397" s="96"/>
      <c r="AC397" s="96"/>
      <c r="AD397" s="314" t="str">
        <f>IF(Table25781014[[#This Row],[End Completed Section (km)]]="","",Table25781014[[#This Row],[End Completed Section (km)]]-Table25781014[[#This Row],[Start Completed Section (km)]])</f>
        <v/>
      </c>
      <c r="AE397" s="72"/>
      <c r="AF39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97" s="229" t="str">
        <f>IF(Table25781014[[#This Row],[Planned Date]]="","",TEXT(Table25781014[[#This Row],[Planned Date]],"mmm"))</f>
        <v/>
      </c>
      <c r="AH397" s="252" t="str">
        <f>IF(Table25781014[[#This Row],[Month]]="","",VLOOKUP(Table25781014[[#This Row],[Month]],List!$B$2:$C$13,2,FALSE))</f>
        <v/>
      </c>
    </row>
    <row r="398" spans="1:34" ht="38.25" x14ac:dyDescent="0.2">
      <c r="A398" s="98" t="s">
        <v>116</v>
      </c>
      <c r="B398" s="305"/>
      <c r="C398" s="67" t="s">
        <v>7</v>
      </c>
      <c r="D398" s="59" t="s">
        <v>18</v>
      </c>
      <c r="E398" s="100" t="str">
        <f>IF(Table25781014[[#This Row],[Line Section]]="","",VLOOKUP(Table25781014[[#This Row],[Line Section]],Reference!$A$2:$B$47,2,FALSE))</f>
        <v>C027</v>
      </c>
      <c r="F398" s="157"/>
      <c r="G398" s="440"/>
      <c r="H398" s="306"/>
      <c r="I398" s="54" t="s">
        <v>100</v>
      </c>
      <c r="J398" s="60">
        <v>65.75</v>
      </c>
      <c r="K398" s="60">
        <v>66</v>
      </c>
      <c r="L398" s="53">
        <f>IF(Table25781014[[#This Row],[End
(km)]]="","",Table25781014[[#This Row],[End
(km)]]-Table25781014[[#This Row],[Start
(km)]])</f>
        <v>0.25</v>
      </c>
      <c r="M398" s="61" t="s">
        <v>126</v>
      </c>
      <c r="N398" s="59" t="s">
        <v>113</v>
      </c>
      <c r="O398" s="295" t="s">
        <v>113</v>
      </c>
      <c r="P398" s="64">
        <v>43216</v>
      </c>
      <c r="Q398" s="307">
        <v>43481</v>
      </c>
      <c r="R398" s="57" t="s">
        <v>121</v>
      </c>
      <c r="S398" s="55"/>
      <c r="T398" s="66"/>
      <c r="U398" s="308"/>
      <c r="V398" s="309"/>
      <c r="W398" s="67"/>
      <c r="X398" s="77" t="s">
        <v>543</v>
      </c>
      <c r="Y398" s="326"/>
      <c r="Z398" s="80" t="s">
        <v>122</v>
      </c>
      <c r="AA398" s="323"/>
      <c r="AB398" s="96"/>
      <c r="AC398" s="96"/>
      <c r="AD398" s="310" t="str">
        <f>IF(Table25781014[[#This Row],[End Completed Section (km)]]="","",Table25781014[[#This Row],[End Completed Section (km)]]-Table25781014[[#This Row],[Start Completed Section (km)]])</f>
        <v/>
      </c>
      <c r="AE398" s="72"/>
      <c r="AF39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98" s="229" t="str">
        <f>IF(Table25781014[[#This Row],[Planned Date]]="","",TEXT(Table25781014[[#This Row],[Planned Date]],"mmm"))</f>
        <v/>
      </c>
      <c r="AH398" s="252" t="str">
        <f>IF(Table25781014[[#This Row],[Month]]="","",VLOOKUP(Table25781014[[#This Row],[Month]],List!$B$2:$C$13,2,FALSE))</f>
        <v/>
      </c>
    </row>
    <row r="399" spans="1:34" ht="38.25" x14ac:dyDescent="0.2">
      <c r="A399" s="98" t="s">
        <v>117</v>
      </c>
      <c r="B399" s="305"/>
      <c r="C399" s="67" t="s">
        <v>7</v>
      </c>
      <c r="D399" s="59" t="s">
        <v>18</v>
      </c>
      <c r="E399" s="100" t="str">
        <f>IF(Table25781014[[#This Row],[Line Section]]="","",VLOOKUP(Table25781014[[#This Row],[Line Section]],Reference!$A$2:$B$47,2,FALSE))</f>
        <v>C027</v>
      </c>
      <c r="F399" s="157"/>
      <c r="G399" s="440"/>
      <c r="H399" s="306"/>
      <c r="I399" s="54" t="s">
        <v>100</v>
      </c>
      <c r="J399" s="60">
        <v>66</v>
      </c>
      <c r="K399" s="60">
        <v>66.319999999999993</v>
      </c>
      <c r="L399" s="53">
        <f>IF(Table25781014[[#This Row],[End
(km)]]="","",Table25781014[[#This Row],[End
(km)]]-Table25781014[[#This Row],[Start
(km)]])</f>
        <v>0.31999999999999318</v>
      </c>
      <c r="M399" s="61" t="s">
        <v>126</v>
      </c>
      <c r="N399" s="59" t="s">
        <v>113</v>
      </c>
      <c r="O399" s="295" t="s">
        <v>113</v>
      </c>
      <c r="P399" s="64">
        <v>43216</v>
      </c>
      <c r="Q399" s="307">
        <v>43481</v>
      </c>
      <c r="R399" s="57" t="s">
        <v>121</v>
      </c>
      <c r="S399" s="55"/>
      <c r="T399" s="66"/>
      <c r="U399" s="308"/>
      <c r="V399" s="309"/>
      <c r="W399" s="67"/>
      <c r="X399" s="77" t="s">
        <v>543</v>
      </c>
      <c r="Y399" s="326"/>
      <c r="Z399" s="80" t="s">
        <v>122</v>
      </c>
      <c r="AA399" s="323"/>
      <c r="AB399" s="96"/>
      <c r="AC399" s="96"/>
      <c r="AD399" s="310" t="str">
        <f>IF(Table25781014[[#This Row],[End Completed Section (km)]]="","",Table25781014[[#This Row],[End Completed Section (km)]]-Table25781014[[#This Row],[Start Completed Section (km)]])</f>
        <v/>
      </c>
      <c r="AE399" s="72"/>
      <c r="AF39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399" s="229" t="str">
        <f>IF(Table25781014[[#This Row],[Planned Date]]="","",TEXT(Table25781014[[#This Row],[Planned Date]],"mmm"))</f>
        <v/>
      </c>
      <c r="AH399" s="252" t="str">
        <f>IF(Table25781014[[#This Row],[Month]]="","",VLOOKUP(Table25781014[[#This Row],[Month]],List!$B$2:$C$13,2,FALSE))</f>
        <v/>
      </c>
    </row>
    <row r="400" spans="1:34" ht="38.25" x14ac:dyDescent="0.2">
      <c r="A400" s="98" t="s">
        <v>118</v>
      </c>
      <c r="B400" s="305"/>
      <c r="C400" s="67" t="s">
        <v>7</v>
      </c>
      <c r="D400" s="59" t="s">
        <v>18</v>
      </c>
      <c r="E400" s="100" t="str">
        <f>IF(Table25781014[[#This Row],[Line Section]]="","",VLOOKUP(Table25781014[[#This Row],[Line Section]],Reference!$A$2:$B$47,2,FALSE))</f>
        <v>C027</v>
      </c>
      <c r="F400" s="157"/>
      <c r="G400" s="440"/>
      <c r="H400" s="306"/>
      <c r="I400" s="54" t="s">
        <v>100</v>
      </c>
      <c r="J400" s="60">
        <v>66.319999999999993</v>
      </c>
      <c r="K400" s="60">
        <v>66.599999999999994</v>
      </c>
      <c r="L400" s="53">
        <f>IF(Table25781014[[#This Row],[End
(km)]]="","",Table25781014[[#This Row],[End
(km)]]-Table25781014[[#This Row],[Start
(km)]])</f>
        <v>0.28000000000000114</v>
      </c>
      <c r="M400" s="61" t="s">
        <v>126</v>
      </c>
      <c r="N400" s="59" t="s">
        <v>113</v>
      </c>
      <c r="O400" s="295" t="s">
        <v>113</v>
      </c>
      <c r="P400" s="64">
        <v>43216</v>
      </c>
      <c r="Q400" s="307">
        <v>43481</v>
      </c>
      <c r="R400" s="57" t="s">
        <v>121</v>
      </c>
      <c r="S400" s="55"/>
      <c r="T400" s="66"/>
      <c r="U400" s="308"/>
      <c r="V400" s="309"/>
      <c r="W400" s="67"/>
      <c r="X400" s="77" t="s">
        <v>543</v>
      </c>
      <c r="Y400" s="326"/>
      <c r="Z400" s="80" t="s">
        <v>122</v>
      </c>
      <c r="AA400" s="323"/>
      <c r="AB400" s="96"/>
      <c r="AC400" s="96"/>
      <c r="AD400" s="310" t="str">
        <f>IF(Table25781014[[#This Row],[End Completed Section (km)]]="","",Table25781014[[#This Row],[End Completed Section (km)]]-Table25781014[[#This Row],[Start Completed Section (km)]])</f>
        <v/>
      </c>
      <c r="AE400" s="72"/>
      <c r="AF40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00" s="229" t="str">
        <f>IF(Table25781014[[#This Row],[Planned Date]]="","",TEXT(Table25781014[[#This Row],[Planned Date]],"mmm"))</f>
        <v/>
      </c>
      <c r="AH400" s="252" t="str">
        <f>IF(Table25781014[[#This Row],[Month]]="","",VLOOKUP(Table25781014[[#This Row],[Month]],List!$B$2:$C$13,2,FALSE))</f>
        <v/>
      </c>
    </row>
    <row r="401" spans="1:34" ht="63.75" x14ac:dyDescent="0.2">
      <c r="A401" s="98" t="s">
        <v>116</v>
      </c>
      <c r="B401" s="80">
        <v>18</v>
      </c>
      <c r="C401" s="67" t="s">
        <v>7</v>
      </c>
      <c r="D401" s="59" t="s">
        <v>18</v>
      </c>
      <c r="E401" s="100" t="str">
        <f>IF(Table25781014[[#This Row],[Line Section]]="","",VLOOKUP(Table25781014[[#This Row],[Line Section]],Reference!$A$2:$B$47,2,FALSE))</f>
        <v>C027</v>
      </c>
      <c r="F401" s="157" t="s">
        <v>651</v>
      </c>
      <c r="G401" s="440"/>
      <c r="H401" s="306"/>
      <c r="I401" s="54" t="s">
        <v>100</v>
      </c>
      <c r="J401" s="60">
        <v>66.599999999999994</v>
      </c>
      <c r="K401" s="60">
        <v>67.28</v>
      </c>
      <c r="L401" s="53">
        <f>IF(Table25781014[[#This Row],[End
(km)]]="","",Table25781014[[#This Row],[End
(km)]]-Table25781014[[#This Row],[Start
(km)]])</f>
        <v>0.68000000000000682</v>
      </c>
      <c r="M401" s="61" t="s">
        <v>126</v>
      </c>
      <c r="N401" s="59" t="s">
        <v>113</v>
      </c>
      <c r="O401" s="295" t="s">
        <v>113</v>
      </c>
      <c r="P401" s="64">
        <v>43216</v>
      </c>
      <c r="Q401" s="307">
        <v>43481</v>
      </c>
      <c r="R401" s="57" t="s">
        <v>121</v>
      </c>
      <c r="S401" s="55"/>
      <c r="T401" s="66" t="s">
        <v>121</v>
      </c>
      <c r="U401" s="308"/>
      <c r="V401" s="309"/>
      <c r="W401" s="67"/>
      <c r="X401" s="77" t="s">
        <v>542</v>
      </c>
      <c r="Y401" s="326"/>
      <c r="Z401" s="80" t="s">
        <v>122</v>
      </c>
      <c r="AA401" s="323"/>
      <c r="AB401" s="96"/>
      <c r="AC401" s="96"/>
      <c r="AD401" s="310" t="str">
        <f>IF(Table25781014[[#This Row],[End Completed Section (km)]]="","",Table25781014[[#This Row],[End Completed Section (km)]]-Table25781014[[#This Row],[Start Completed Section (km)]])</f>
        <v/>
      </c>
      <c r="AE401" s="72"/>
      <c r="AF401"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401" s="229" t="str">
        <f>IF(Table25781014[[#This Row],[Planned Date]]="","",TEXT(Table25781014[[#This Row],[Planned Date]],"mmm"))</f>
        <v>21/22</v>
      </c>
      <c r="AH401" s="252" t="e">
        <f>IF(Table25781014[[#This Row],[Month]]="","",VLOOKUP(Table25781014[[#This Row],[Month]],List!$B$2:$C$13,2,FALSE))</f>
        <v>#N/A</v>
      </c>
    </row>
    <row r="402" spans="1:34" ht="51" x14ac:dyDescent="0.2">
      <c r="A402" s="98" t="s">
        <v>116</v>
      </c>
      <c r="B402" s="305">
        <v>25</v>
      </c>
      <c r="C402" s="67" t="s">
        <v>7</v>
      </c>
      <c r="D402" s="59" t="s">
        <v>18</v>
      </c>
      <c r="E402" s="100" t="str">
        <f>IF(Table25781014[[#This Row],[Line Section]]="","",VLOOKUP(Table25781014[[#This Row],[Line Section]],Reference!$A$2:$B$47,2,FALSE))</f>
        <v>C027</v>
      </c>
      <c r="F402" s="157" t="s">
        <v>651</v>
      </c>
      <c r="G402" s="440"/>
      <c r="H402" s="306"/>
      <c r="I402" s="54" t="s">
        <v>100</v>
      </c>
      <c r="J402" s="60">
        <v>68.5</v>
      </c>
      <c r="K402" s="60">
        <v>68.63</v>
      </c>
      <c r="L402" s="53">
        <f>IF(Table25781014[[#This Row],[End
(km)]]="","",Table25781014[[#This Row],[End
(km)]]-Table25781014[[#This Row],[Start
(km)]])</f>
        <v>0.12999999999999545</v>
      </c>
      <c r="M402" s="61" t="s">
        <v>126</v>
      </c>
      <c r="N402" s="59" t="s">
        <v>113</v>
      </c>
      <c r="O402" s="295" t="s">
        <v>113</v>
      </c>
      <c r="P402" s="64">
        <v>43217</v>
      </c>
      <c r="Q402" s="307">
        <v>43481</v>
      </c>
      <c r="R402" s="57" t="s">
        <v>121</v>
      </c>
      <c r="S402" s="55"/>
      <c r="T402" s="66"/>
      <c r="U402" s="308"/>
      <c r="V402" s="309"/>
      <c r="W402" s="67" t="s">
        <v>707</v>
      </c>
      <c r="X402" s="77" t="s">
        <v>706</v>
      </c>
      <c r="Y402" s="326"/>
      <c r="Z402" s="80" t="s">
        <v>122</v>
      </c>
      <c r="AA402" s="323"/>
      <c r="AB402" s="96"/>
      <c r="AC402" s="96"/>
      <c r="AD402" s="310" t="str">
        <f>IF(Table25781014[[#This Row],[End Completed Section (km)]]="","",Table25781014[[#This Row],[End Completed Section (km)]]-Table25781014[[#This Row],[Start Completed Section (km)]])</f>
        <v/>
      </c>
      <c r="AE402" s="72"/>
      <c r="AF402"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402" s="229" t="str">
        <f>IF(Table25781014[[#This Row],[Planned Date]]="","",TEXT(Table25781014[[#This Row],[Planned Date]],"mmm"))</f>
        <v>21/22</v>
      </c>
      <c r="AH402" s="252" t="e">
        <f>IF(Table25781014[[#This Row],[Month]]="","",VLOOKUP(Table25781014[[#This Row],[Month]],List!$B$2:$C$13,2,FALSE))</f>
        <v>#N/A</v>
      </c>
    </row>
    <row r="403" spans="1:34" s="56" customFormat="1" ht="38.25" x14ac:dyDescent="0.2">
      <c r="A403" s="98" t="s">
        <v>118</v>
      </c>
      <c r="B403" s="305"/>
      <c r="C403" s="67" t="s">
        <v>7</v>
      </c>
      <c r="D403" s="59" t="s">
        <v>18</v>
      </c>
      <c r="E403" s="100" t="str">
        <f>IF(Table25781014[[#This Row],[Line Section]]="","",VLOOKUP(Table25781014[[#This Row],[Line Section]],Reference!$A$2:$B$47,2,FALSE))</f>
        <v>C027</v>
      </c>
      <c r="F403" s="157"/>
      <c r="G403" s="440"/>
      <c r="H403" s="306"/>
      <c r="I403" s="54" t="s">
        <v>100</v>
      </c>
      <c r="J403" s="60">
        <v>71.05</v>
      </c>
      <c r="K403" s="60">
        <v>71.150000000000006</v>
      </c>
      <c r="L403" s="53">
        <f>IF(Table25781014[[#This Row],[End
(km)]]="","",Table25781014[[#This Row],[End
(km)]]-Table25781014[[#This Row],[Start
(km)]])</f>
        <v>0.10000000000000853</v>
      </c>
      <c r="M403" s="61" t="s">
        <v>126</v>
      </c>
      <c r="N403" s="59" t="s">
        <v>112</v>
      </c>
      <c r="O403" s="295" t="s">
        <v>109</v>
      </c>
      <c r="P403" s="64">
        <v>43218</v>
      </c>
      <c r="Q403" s="307">
        <v>43481</v>
      </c>
      <c r="R403" s="57" t="s">
        <v>121</v>
      </c>
      <c r="S403" s="55"/>
      <c r="T403" s="66"/>
      <c r="U403" s="308"/>
      <c r="V403" s="312"/>
      <c r="W403" s="67"/>
      <c r="X403" s="77" t="s">
        <v>708</v>
      </c>
      <c r="Y403" s="326"/>
      <c r="Z403" s="80" t="s">
        <v>139</v>
      </c>
      <c r="AA403" s="323"/>
      <c r="AB403" s="96"/>
      <c r="AC403" s="96"/>
      <c r="AD403" s="314" t="str">
        <f>IF(Table25781014[[#This Row],[End Completed Section (km)]]="","",Table25781014[[#This Row],[End Completed Section (km)]]-Table25781014[[#This Row],[Start Completed Section (km)]])</f>
        <v/>
      </c>
      <c r="AE403" s="72"/>
      <c r="AF40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03" s="229" t="str">
        <f>IF(Table25781014[[#This Row],[Planned Date]]="","",TEXT(Table25781014[[#This Row],[Planned Date]],"mmm"))</f>
        <v/>
      </c>
      <c r="AH403" s="252" t="str">
        <f>IF(Table25781014[[#This Row],[Month]]="","",VLOOKUP(Table25781014[[#This Row],[Month]],List!$B$2:$C$13,2,FALSE))</f>
        <v/>
      </c>
    </row>
    <row r="404" spans="1:34" ht="89.25" x14ac:dyDescent="0.2">
      <c r="A404" s="98" t="s">
        <v>117</v>
      </c>
      <c r="B404" s="305"/>
      <c r="C404" s="67" t="s">
        <v>7</v>
      </c>
      <c r="D404" s="59" t="s">
        <v>18</v>
      </c>
      <c r="E404" s="100" t="str">
        <f>IF(Table25781014[[#This Row],[Line Section]]="","",VLOOKUP(Table25781014[[#This Row],[Line Section]],Reference!$A$2:$B$47,2,FALSE))</f>
        <v>C027</v>
      </c>
      <c r="F404" s="157"/>
      <c r="G404" s="440"/>
      <c r="H404" s="306"/>
      <c r="I404" s="54" t="s">
        <v>100</v>
      </c>
      <c r="J404" s="60">
        <v>73.34</v>
      </c>
      <c r="K404" s="60">
        <v>73.8</v>
      </c>
      <c r="L404" s="53">
        <f>IF(Table25781014[[#This Row],[End
(km)]]="","",Table25781014[[#This Row],[End
(km)]]-Table25781014[[#This Row],[Start
(km)]])</f>
        <v>0.45999999999999375</v>
      </c>
      <c r="M404" s="61" t="s">
        <v>129</v>
      </c>
      <c r="N404" s="59" t="s">
        <v>108</v>
      </c>
      <c r="O404" s="295" t="s">
        <v>108</v>
      </c>
      <c r="P404" s="64">
        <v>43343</v>
      </c>
      <c r="Q404" s="307">
        <v>43481</v>
      </c>
      <c r="R404" s="57" t="s">
        <v>121</v>
      </c>
      <c r="S404" s="55" t="s">
        <v>121</v>
      </c>
      <c r="T404" s="66"/>
      <c r="U404" s="308"/>
      <c r="V404" s="309"/>
      <c r="W404" s="67" t="s">
        <v>540</v>
      </c>
      <c r="X404" s="77" t="s">
        <v>709</v>
      </c>
      <c r="Y404" s="326"/>
      <c r="Z404" s="80" t="s">
        <v>122</v>
      </c>
      <c r="AA404" s="323"/>
      <c r="AB404" s="96"/>
      <c r="AC404" s="96"/>
      <c r="AD404" s="310" t="str">
        <f>IF(Table25781014[[#This Row],[End Completed Section (km)]]="","",Table25781014[[#This Row],[End Completed Section (km)]]-Table25781014[[#This Row],[Start Completed Section (km)]])</f>
        <v/>
      </c>
      <c r="AE404" s="72"/>
      <c r="AF40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04" s="229" t="str">
        <f>IF(Table25781014[[#This Row],[Planned Date]]="","",TEXT(Table25781014[[#This Row],[Planned Date]],"mmm"))</f>
        <v/>
      </c>
      <c r="AH404" s="252" t="str">
        <f>IF(Table25781014[[#This Row],[Month]]="","",VLOOKUP(Table25781014[[#This Row],[Month]],List!$B$2:$C$13,2,FALSE))</f>
        <v/>
      </c>
    </row>
    <row r="405" spans="1:34" ht="25.5" x14ac:dyDescent="0.2">
      <c r="A405" s="98" t="s">
        <v>116</v>
      </c>
      <c r="B405" s="305"/>
      <c r="C405" s="67" t="s">
        <v>7</v>
      </c>
      <c r="D405" s="59" t="s">
        <v>18</v>
      </c>
      <c r="E405" s="100" t="str">
        <f>IF(Table25781014[[#This Row],[Line Section]]="","",VLOOKUP(Table25781014[[#This Row],[Line Section]],Reference!$A$2:$B$47,2,FALSE))</f>
        <v>C027</v>
      </c>
      <c r="F405" s="157"/>
      <c r="G405" s="440"/>
      <c r="H405" s="306"/>
      <c r="I405" s="54" t="s">
        <v>100</v>
      </c>
      <c r="J405" s="60">
        <v>73.8</v>
      </c>
      <c r="K405" s="60">
        <v>73.95</v>
      </c>
      <c r="L405" s="53">
        <f>IF(Table25781014[[#This Row],[End
(km)]]="","",Table25781014[[#This Row],[End
(km)]]-Table25781014[[#This Row],[Start
(km)]])</f>
        <v>0.15000000000000568</v>
      </c>
      <c r="M405" s="61" t="s">
        <v>126</v>
      </c>
      <c r="N405" s="59" t="s">
        <v>110</v>
      </c>
      <c r="O405" s="295" t="s">
        <v>109</v>
      </c>
      <c r="P405" s="64">
        <v>43219</v>
      </c>
      <c r="Q405" s="307">
        <v>43481</v>
      </c>
      <c r="R405" s="57" t="s">
        <v>121</v>
      </c>
      <c r="S405" s="55" t="s">
        <v>121</v>
      </c>
      <c r="T405" s="66"/>
      <c r="U405" s="308"/>
      <c r="V405" s="309"/>
      <c r="W405" s="67"/>
      <c r="X405" s="77" t="s">
        <v>541</v>
      </c>
      <c r="Y405" s="332"/>
      <c r="Z405" s="80" t="s">
        <v>122</v>
      </c>
      <c r="AA405" s="323"/>
      <c r="AB405" s="96"/>
      <c r="AC405" s="96"/>
      <c r="AD405" s="310" t="str">
        <f>IF(Table25781014[[#This Row],[End Completed Section (km)]]="","",Table25781014[[#This Row],[End Completed Section (km)]]-Table25781014[[#This Row],[Start Completed Section (km)]])</f>
        <v/>
      </c>
      <c r="AE405" s="72"/>
      <c r="AF40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05" s="229" t="str">
        <f>IF(Table25781014[[#This Row],[Planned Date]]="","",TEXT(Table25781014[[#This Row],[Planned Date]],"mmm"))</f>
        <v/>
      </c>
      <c r="AH405" s="252" t="str">
        <f>IF(Table25781014[[#This Row],[Month]]="","",VLOOKUP(Table25781014[[#This Row],[Month]],List!$B$2:$C$13,2,FALSE))</f>
        <v/>
      </c>
    </row>
    <row r="406" spans="1:34" s="56" customFormat="1" ht="38.25" x14ac:dyDescent="0.2">
      <c r="A406" s="98" t="s">
        <v>117</v>
      </c>
      <c r="B406" s="305"/>
      <c r="C406" s="67" t="s">
        <v>7</v>
      </c>
      <c r="D406" s="59" t="s">
        <v>18</v>
      </c>
      <c r="E406" s="100" t="str">
        <f>IF(Table25781014[[#This Row],[Line Section]]="","",VLOOKUP(Table25781014[[#This Row],[Line Section]],Reference!$A$2:$B$47,2,FALSE))</f>
        <v>C027</v>
      </c>
      <c r="F406" s="157"/>
      <c r="G406" s="440"/>
      <c r="H406" s="306"/>
      <c r="I406" s="54" t="s">
        <v>100</v>
      </c>
      <c r="J406" s="60">
        <v>76.349999999999994</v>
      </c>
      <c r="K406" s="60">
        <v>76.45</v>
      </c>
      <c r="L406" s="53">
        <f>IF(Table25781014[[#This Row],[End
(km)]]="","",Table25781014[[#This Row],[End
(km)]]-Table25781014[[#This Row],[Start
(km)]])</f>
        <v>0.10000000000000853</v>
      </c>
      <c r="M406" s="61" t="s">
        <v>126</v>
      </c>
      <c r="N406" s="59" t="s">
        <v>111</v>
      </c>
      <c r="O406" s="295" t="s">
        <v>111</v>
      </c>
      <c r="P406" s="64">
        <v>43220</v>
      </c>
      <c r="Q406" s="307">
        <v>43481</v>
      </c>
      <c r="R406" s="57" t="s">
        <v>121</v>
      </c>
      <c r="S406" s="55"/>
      <c r="T406" s="66"/>
      <c r="U406" s="308"/>
      <c r="V406" s="312"/>
      <c r="W406" s="67"/>
      <c r="X406" s="77" t="s">
        <v>538</v>
      </c>
      <c r="Y406" s="326"/>
      <c r="Z406" s="80" t="s">
        <v>122</v>
      </c>
      <c r="AA406" s="323"/>
      <c r="AB406" s="96"/>
      <c r="AC406" s="96"/>
      <c r="AD406" s="314" t="str">
        <f>IF(Table25781014[[#This Row],[End Completed Section (km)]]="","",Table25781014[[#This Row],[End Completed Section (km)]]-Table25781014[[#This Row],[Start Completed Section (km)]])</f>
        <v/>
      </c>
      <c r="AE406" s="72"/>
      <c r="AF40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06" s="229" t="str">
        <f>IF(Table25781014[[#This Row],[Planned Date]]="","",TEXT(Table25781014[[#This Row],[Planned Date]],"mmm"))</f>
        <v/>
      </c>
      <c r="AH406" s="252" t="str">
        <f>IF(Table25781014[[#This Row],[Month]]="","",VLOOKUP(Table25781014[[#This Row],[Month]],List!$B$2:$C$13,2,FALSE))</f>
        <v/>
      </c>
    </row>
    <row r="407" spans="1:34" ht="25.5" x14ac:dyDescent="0.2">
      <c r="A407" s="98" t="s">
        <v>118</v>
      </c>
      <c r="B407" s="305"/>
      <c r="C407" s="67" t="s">
        <v>7</v>
      </c>
      <c r="D407" s="59" t="s">
        <v>18</v>
      </c>
      <c r="E407" s="100" t="str">
        <f>IF(Table25781014[[#This Row],[Line Section]]="","",VLOOKUP(Table25781014[[#This Row],[Line Section]],Reference!$A$2:$B$47,2,FALSE))</f>
        <v>C027</v>
      </c>
      <c r="F407" s="157"/>
      <c r="G407" s="440"/>
      <c r="H407" s="306"/>
      <c r="I407" s="54" t="s">
        <v>100</v>
      </c>
      <c r="J407" s="60">
        <v>76.650000000000006</v>
      </c>
      <c r="K407" s="60">
        <v>76.8</v>
      </c>
      <c r="L407" s="53">
        <f>IF(Table25781014[[#This Row],[End
(km)]]="","",Table25781014[[#This Row],[End
(km)]]-Table25781014[[#This Row],[Start
(km)]])</f>
        <v>0.14999999999999147</v>
      </c>
      <c r="M407" s="61" t="s">
        <v>126</v>
      </c>
      <c r="N407" s="59" t="s">
        <v>112</v>
      </c>
      <c r="O407" s="295" t="s">
        <v>112</v>
      </c>
      <c r="P407" s="64">
        <v>43221</v>
      </c>
      <c r="Q407" s="307">
        <v>43481</v>
      </c>
      <c r="R407" s="57" t="s">
        <v>121</v>
      </c>
      <c r="S407" s="55"/>
      <c r="T407" s="66"/>
      <c r="U407" s="308"/>
      <c r="V407" s="309"/>
      <c r="W407" s="67" t="s">
        <v>287</v>
      </c>
      <c r="X407" s="77" t="s">
        <v>539</v>
      </c>
      <c r="Y407" s="326"/>
      <c r="Z407" s="80" t="s">
        <v>122</v>
      </c>
      <c r="AA407" s="323"/>
      <c r="AB407" s="96"/>
      <c r="AC407" s="96"/>
      <c r="AD407" s="310" t="str">
        <f>IF(Table25781014[[#This Row],[End Completed Section (km)]]="","",Table25781014[[#This Row],[End Completed Section (km)]]-Table25781014[[#This Row],[Start Completed Section (km)]])</f>
        <v/>
      </c>
      <c r="AE407" s="72"/>
      <c r="AF40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07" s="229" t="str">
        <f>IF(Table25781014[[#This Row],[Planned Date]]="","",TEXT(Table25781014[[#This Row],[Planned Date]],"mmm"))</f>
        <v/>
      </c>
      <c r="AH407" s="252" t="str">
        <f>IF(Table25781014[[#This Row],[Month]]="","",VLOOKUP(Table25781014[[#This Row],[Month]],List!$B$2:$C$13,2,FALSE))</f>
        <v/>
      </c>
    </row>
    <row r="408" spans="1:34" x14ac:dyDescent="0.2">
      <c r="A408" s="98" t="s">
        <v>116</v>
      </c>
      <c r="B408" s="305"/>
      <c r="C408" s="67" t="s">
        <v>7</v>
      </c>
      <c r="D408" s="59" t="s">
        <v>18</v>
      </c>
      <c r="E408" s="100" t="str">
        <f>IF(Table25781014[[#This Row],[Line Section]]="","",VLOOKUP(Table25781014[[#This Row],[Line Section]],Reference!$A$2:$B$47,2,FALSE))</f>
        <v>C027</v>
      </c>
      <c r="F408" s="157"/>
      <c r="G408" s="440"/>
      <c r="H408" s="306"/>
      <c r="I408" s="54" t="s">
        <v>100</v>
      </c>
      <c r="J408" s="60">
        <v>77.400000000000006</v>
      </c>
      <c r="K408" s="60">
        <v>77.650000000000006</v>
      </c>
      <c r="L408" s="53">
        <f>IF(Table25781014[[#This Row],[End
(km)]]="","",Table25781014[[#This Row],[End
(km)]]-Table25781014[[#This Row],[Start
(km)]])</f>
        <v>0.25</v>
      </c>
      <c r="M408" s="61" t="s">
        <v>126</v>
      </c>
      <c r="N408" s="59" t="s">
        <v>113</v>
      </c>
      <c r="O408" s="295"/>
      <c r="P408" s="64">
        <v>43222</v>
      </c>
      <c r="Q408" s="307">
        <v>43250</v>
      </c>
      <c r="R408" s="57" t="s">
        <v>121</v>
      </c>
      <c r="S408" s="55"/>
      <c r="T408" s="66"/>
      <c r="U408" s="308"/>
      <c r="V408" s="309"/>
      <c r="W408" s="67"/>
      <c r="X408" s="77" t="s">
        <v>536</v>
      </c>
      <c r="Y408" s="326"/>
      <c r="Z408" s="80" t="s">
        <v>139</v>
      </c>
      <c r="AA408" s="323"/>
      <c r="AB408" s="96"/>
      <c r="AC408" s="96"/>
      <c r="AD408" s="310" t="str">
        <f>IF(Table25781014[[#This Row],[End Completed Section (km)]]="","",Table25781014[[#This Row],[End Completed Section (km)]]-Table25781014[[#This Row],[Start Completed Section (km)]])</f>
        <v/>
      </c>
      <c r="AE408" s="72"/>
      <c r="AF40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08" s="229" t="str">
        <f>IF(Table25781014[[#This Row],[Planned Date]]="","",TEXT(Table25781014[[#This Row],[Planned Date]],"mmm"))</f>
        <v/>
      </c>
      <c r="AH408" s="252" t="str">
        <f>IF(Table25781014[[#This Row],[Month]]="","",VLOOKUP(Table25781014[[#This Row],[Month]],List!$B$2:$C$13,2,FALSE))</f>
        <v/>
      </c>
    </row>
    <row r="409" spans="1:34" ht="38.25" x14ac:dyDescent="0.2">
      <c r="A409" s="98" t="s">
        <v>117</v>
      </c>
      <c r="B409" s="80" t="s">
        <v>207</v>
      </c>
      <c r="C409" s="67" t="s">
        <v>7</v>
      </c>
      <c r="D409" s="59" t="s">
        <v>18</v>
      </c>
      <c r="E409" s="100" t="str">
        <f>IF(Table25781014[[#This Row],[Line Section]]="","",VLOOKUP(Table25781014[[#This Row],[Line Section]],Reference!$A$2:$B$47,2,FALSE))</f>
        <v>C027</v>
      </c>
      <c r="F409" s="157" t="s">
        <v>651</v>
      </c>
      <c r="G409" s="440"/>
      <c r="H409" s="306"/>
      <c r="I409" s="54" t="s">
        <v>100</v>
      </c>
      <c r="J409" s="60">
        <v>97.254000000000005</v>
      </c>
      <c r="K409" s="60">
        <v>97.385000000000005</v>
      </c>
      <c r="L409" s="53">
        <f>IF(Table25781014[[#This Row],[End
(km)]]="","",Table25781014[[#This Row],[End
(km)]]-Table25781014[[#This Row],[Start
(km)]])</f>
        <v>0.13100000000000023</v>
      </c>
      <c r="M409" s="61" t="s">
        <v>449</v>
      </c>
      <c r="N409" s="59" t="s">
        <v>109</v>
      </c>
      <c r="O409" s="295" t="s">
        <v>109</v>
      </c>
      <c r="P409" s="64">
        <v>43278</v>
      </c>
      <c r="Q409" s="307">
        <v>43481</v>
      </c>
      <c r="R409" s="57"/>
      <c r="S409" s="55"/>
      <c r="T409" s="66"/>
      <c r="U409" s="308" t="s">
        <v>121</v>
      </c>
      <c r="V409" s="309"/>
      <c r="W409" s="321" t="s">
        <v>450</v>
      </c>
      <c r="X409" s="77" t="s">
        <v>451</v>
      </c>
      <c r="Y409" s="326"/>
      <c r="Z409" s="80" t="s">
        <v>122</v>
      </c>
      <c r="AA409" s="323"/>
      <c r="AB409" s="96"/>
      <c r="AC409" s="96"/>
      <c r="AD409" s="310" t="str">
        <f>IF(Table25781014[[#This Row],[End Completed Section (km)]]="","",Table25781014[[#This Row],[End Completed Section (km)]]-Table25781014[[#This Row],[Start Completed Section (km)]])</f>
        <v/>
      </c>
      <c r="AE409" s="72"/>
      <c r="AF409"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409" s="229" t="str">
        <f>IF(Table25781014[[#This Row],[Planned Date]]="","",TEXT(Table25781014[[#This Row],[Planned Date]],"mmm"))</f>
        <v>21/22</v>
      </c>
      <c r="AH409" s="252" t="e">
        <f>IF(Table25781014[[#This Row],[Month]]="","",VLOOKUP(Table25781014[[#This Row],[Month]],List!$B$2:$C$13,2,FALSE))</f>
        <v>#N/A</v>
      </c>
    </row>
    <row r="410" spans="1:34" s="56" customFormat="1" x14ac:dyDescent="0.2">
      <c r="A410" s="98" t="s">
        <v>117</v>
      </c>
      <c r="B410" s="305">
        <v>27</v>
      </c>
      <c r="C410" s="67" t="s">
        <v>7</v>
      </c>
      <c r="D410" s="59" t="s">
        <v>18</v>
      </c>
      <c r="E410" s="100" t="str">
        <f>IF(Table25781014[[#This Row],[Line Section]]="","",VLOOKUP(Table25781014[[#This Row],[Line Section]],Reference!$A$2:$B$47,2,FALSE))</f>
        <v>C027</v>
      </c>
      <c r="F410" s="157" t="s">
        <v>651</v>
      </c>
      <c r="G410" s="440"/>
      <c r="H410" s="306"/>
      <c r="I410" s="54" t="s">
        <v>100</v>
      </c>
      <c r="J410" s="60">
        <v>103.5</v>
      </c>
      <c r="K410" s="60">
        <v>103.65</v>
      </c>
      <c r="L410" s="53">
        <f>IF(Table25781014[[#This Row],[End
(km)]]="","",Table25781014[[#This Row],[End
(km)]]-Table25781014[[#This Row],[Start
(km)]])</f>
        <v>0.15000000000000568</v>
      </c>
      <c r="M410" s="61" t="s">
        <v>126</v>
      </c>
      <c r="N410" s="59" t="s">
        <v>113</v>
      </c>
      <c r="O410" s="295" t="s">
        <v>113</v>
      </c>
      <c r="P410" s="64">
        <v>43481</v>
      </c>
      <c r="Q410" s="307"/>
      <c r="R410" s="57"/>
      <c r="S410" s="55"/>
      <c r="T410" s="66"/>
      <c r="U410" s="308"/>
      <c r="V410" s="309"/>
      <c r="W410" s="321"/>
      <c r="X410" s="77" t="s">
        <v>710</v>
      </c>
      <c r="Y410" s="326"/>
      <c r="Z410" s="80"/>
      <c r="AA410" s="323"/>
      <c r="AB410" s="96"/>
      <c r="AC410" s="96"/>
      <c r="AD410" s="310" t="str">
        <f>IF(Table25781014[[#This Row],[End Completed Section (km)]]="","",Table25781014[[#This Row],[End Completed Section (km)]]-Table25781014[[#This Row],[Start Completed Section (km)]])</f>
        <v/>
      </c>
      <c r="AE410" s="72"/>
      <c r="AF410"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410" s="229" t="str">
        <f>IF(Table25781014[[#This Row],[Planned Date]]="","",TEXT(Table25781014[[#This Row],[Planned Date]],"mmm"))</f>
        <v>21/22</v>
      </c>
      <c r="AH410" s="252" t="e">
        <f>IF(Table25781014[[#This Row],[Month]]="","",VLOOKUP(Table25781014[[#This Row],[Month]],List!$B$2:$C$13,2,FALSE))</f>
        <v>#N/A</v>
      </c>
    </row>
    <row r="411" spans="1:34" s="56" customFormat="1" x14ac:dyDescent="0.2">
      <c r="A411" s="98" t="s">
        <v>117</v>
      </c>
      <c r="B411" s="305"/>
      <c r="C411" s="67" t="s">
        <v>7</v>
      </c>
      <c r="D411" s="59" t="s">
        <v>42</v>
      </c>
      <c r="E411" s="100" t="str">
        <f>IF(Table25781014[[#This Row],[Line Section]]="","",VLOOKUP(Table25781014[[#This Row],[Line Section]],Reference!$A$2:$B$47,2,FALSE))</f>
        <v>C131</v>
      </c>
      <c r="F411" s="157"/>
      <c r="G411" s="440"/>
      <c r="H411" s="306"/>
      <c r="I411" s="54" t="s">
        <v>100</v>
      </c>
      <c r="J411" s="60">
        <v>110.304</v>
      </c>
      <c r="K411" s="60">
        <v>110.6</v>
      </c>
      <c r="L411" s="53">
        <f>IF(Table25781014[[#This Row],[End
(km)]]="","",Table25781014[[#This Row],[End
(km)]]-Table25781014[[#This Row],[Start
(km)]])</f>
        <v>0.29599999999999227</v>
      </c>
      <c r="M411" s="61" t="s">
        <v>126</v>
      </c>
      <c r="N411" s="59" t="s">
        <v>111</v>
      </c>
      <c r="O411" s="295" t="s">
        <v>112</v>
      </c>
      <c r="P411" s="64">
        <v>43481</v>
      </c>
      <c r="Q411" s="307"/>
      <c r="R411" s="57"/>
      <c r="S411" s="55"/>
      <c r="T411" s="66"/>
      <c r="U411" s="308"/>
      <c r="V411" s="309"/>
      <c r="W411" s="321"/>
      <c r="X411" s="77"/>
      <c r="Y411" s="326"/>
      <c r="Z411" s="80"/>
      <c r="AA411" s="323"/>
      <c r="AB411" s="96"/>
      <c r="AC411" s="96"/>
      <c r="AD411" s="310" t="str">
        <f>IF(Table25781014[[#This Row],[End Completed Section (km)]]="","",Table25781014[[#This Row],[End Completed Section (km)]]-Table25781014[[#This Row],[Start Completed Section (km)]])</f>
        <v/>
      </c>
      <c r="AE411" s="72"/>
      <c r="AF41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11" s="229" t="str">
        <f>IF(Table25781014[[#This Row],[Planned Date]]="","",TEXT(Table25781014[[#This Row],[Planned Date]],"mmm"))</f>
        <v/>
      </c>
      <c r="AH411" s="252" t="str">
        <f>IF(Table25781014[[#This Row],[Month]]="","",VLOOKUP(Table25781014[[#This Row],[Month]],List!$B$2:$C$13,2,FALSE))</f>
        <v/>
      </c>
    </row>
    <row r="412" spans="1:34" ht="76.5" x14ac:dyDescent="0.2">
      <c r="A412" s="98" t="s">
        <v>116</v>
      </c>
      <c r="B412" s="305">
        <v>26</v>
      </c>
      <c r="C412" s="67" t="s">
        <v>7</v>
      </c>
      <c r="D412" s="59" t="s">
        <v>42</v>
      </c>
      <c r="E412" s="100" t="str">
        <f>IF(Table25781014[[#This Row],[Line Section]]="","",VLOOKUP(Table25781014[[#This Row],[Line Section]],Reference!$A$2:$B$47,2,FALSE))</f>
        <v>C131</v>
      </c>
      <c r="F412" s="157" t="s">
        <v>651</v>
      </c>
      <c r="G412" s="440"/>
      <c r="H412" s="306"/>
      <c r="I412" s="54" t="s">
        <v>100</v>
      </c>
      <c r="J412" s="60">
        <v>118.2</v>
      </c>
      <c r="K412" s="60">
        <v>118.4</v>
      </c>
      <c r="L412" s="53">
        <f>IF(Table25781014[[#This Row],[End
(km)]]="","",Table25781014[[#This Row],[End
(km)]]-Table25781014[[#This Row],[Start
(km)]])</f>
        <v>0.20000000000000284</v>
      </c>
      <c r="M412" s="61" t="s">
        <v>126</v>
      </c>
      <c r="N412" s="59" t="s">
        <v>112</v>
      </c>
      <c r="O412" s="295" t="s">
        <v>112</v>
      </c>
      <c r="P412" s="64">
        <v>43223</v>
      </c>
      <c r="Q412" s="307">
        <v>43339</v>
      </c>
      <c r="R412" s="57" t="s">
        <v>121</v>
      </c>
      <c r="S412" s="55" t="s">
        <v>121</v>
      </c>
      <c r="T412" s="66"/>
      <c r="U412" s="308" t="s">
        <v>121</v>
      </c>
      <c r="V412" s="309"/>
      <c r="W412" s="67" t="s">
        <v>150</v>
      </c>
      <c r="X412" s="77" t="s">
        <v>711</v>
      </c>
      <c r="Y412" s="326"/>
      <c r="Z412" s="80" t="s">
        <v>122</v>
      </c>
      <c r="AA412" s="323"/>
      <c r="AB412" s="96"/>
      <c r="AC412" s="96"/>
      <c r="AD412" s="310" t="str">
        <f>IF(Table25781014[[#This Row],[End Completed Section (km)]]="","",Table25781014[[#This Row],[End Completed Section (km)]]-Table25781014[[#This Row],[Start Completed Section (km)]])</f>
        <v/>
      </c>
      <c r="AE412" s="72"/>
      <c r="AF412"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412" s="229" t="str">
        <f>IF(Table25781014[[#This Row],[Planned Date]]="","",TEXT(Table25781014[[#This Row],[Planned Date]],"mmm"))</f>
        <v>21/22</v>
      </c>
      <c r="AH412" s="252" t="e">
        <f>IF(Table25781014[[#This Row],[Month]]="","",VLOOKUP(Table25781014[[#This Row],[Month]],List!$B$2:$C$13,2,FALSE))</f>
        <v>#N/A</v>
      </c>
    </row>
    <row r="413" spans="1:34" s="56" customFormat="1" ht="25.5" x14ac:dyDescent="0.2">
      <c r="A413" s="98" t="s">
        <v>118</v>
      </c>
      <c r="B413" s="343"/>
      <c r="C413" s="67" t="s">
        <v>7</v>
      </c>
      <c r="D413" s="59" t="s">
        <v>42</v>
      </c>
      <c r="E413" s="100" t="str">
        <f>IF(Table25781014[[#This Row],[Line Section]]="","",VLOOKUP(Table25781014[[#This Row],[Line Section]],Reference!$A$2:$B$47,2,FALSE))</f>
        <v>C131</v>
      </c>
      <c r="F413" s="157"/>
      <c r="G413" s="440"/>
      <c r="H413" s="344"/>
      <c r="I413" s="54" t="s">
        <v>100</v>
      </c>
      <c r="J413" s="60">
        <v>121.1</v>
      </c>
      <c r="K413" s="60">
        <v>121.25</v>
      </c>
      <c r="L413" s="53">
        <f>IF(Table25781014[[#This Row],[End
(km)]]="","",Table25781014[[#This Row],[End
(km)]]-Table25781014[[#This Row],[Start
(km)]])</f>
        <v>0.15000000000000568</v>
      </c>
      <c r="M413" s="61" t="s">
        <v>781</v>
      </c>
      <c r="N413" s="59" t="s">
        <v>779</v>
      </c>
      <c r="O413" s="295" t="s">
        <v>779</v>
      </c>
      <c r="P413" s="64">
        <v>43503</v>
      </c>
      <c r="Q413" s="345"/>
      <c r="R413" s="57" t="s">
        <v>121</v>
      </c>
      <c r="S413" s="55"/>
      <c r="T413" s="66"/>
      <c r="U413" s="346"/>
      <c r="V413" s="347"/>
      <c r="W413" s="67"/>
      <c r="X413" s="77" t="s">
        <v>782</v>
      </c>
      <c r="Y413" s="348"/>
      <c r="Z413" s="80" t="s">
        <v>233</v>
      </c>
      <c r="AA413" s="349"/>
      <c r="AB413" s="96"/>
      <c r="AC413" s="96"/>
      <c r="AD413" s="350" t="str">
        <f>IF(Table25781014[[#This Row],[End Completed Section (km)]]="","",Table25781014[[#This Row],[End Completed Section (km)]]-Table25781014[[#This Row],[Start Completed Section (km)]])</f>
        <v/>
      </c>
      <c r="AE413" s="72"/>
      <c r="AF41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13" s="229" t="str">
        <f>IF(Table25781014[[#This Row],[Planned Date]]="","",TEXT(Table25781014[[#This Row],[Planned Date]],"mmm"))</f>
        <v/>
      </c>
      <c r="AH413" s="252" t="str">
        <f>IF(Table25781014[[#This Row],[Month]]="","",VLOOKUP(Table25781014[[#This Row],[Month]],List!$B$2:$C$13,2,FALSE))</f>
        <v/>
      </c>
    </row>
    <row r="414" spans="1:34" s="56" customFormat="1" ht="25.5" x14ac:dyDescent="0.2">
      <c r="A414" s="98" t="s">
        <v>118</v>
      </c>
      <c r="B414" s="305"/>
      <c r="C414" s="67" t="s">
        <v>7</v>
      </c>
      <c r="D414" s="59" t="s">
        <v>42</v>
      </c>
      <c r="E414" s="100" t="str">
        <f>IF(Table25781014[[#This Row],[Line Section]]="","",VLOOKUP(Table25781014[[#This Row],[Line Section]],Reference!$A$2:$B$47,2,FALSE))</f>
        <v>C131</v>
      </c>
      <c r="F414" s="157"/>
      <c r="G414" s="440"/>
      <c r="H414" s="306"/>
      <c r="I414" s="54" t="s">
        <v>100</v>
      </c>
      <c r="J414" s="60">
        <v>134.05000000000001</v>
      </c>
      <c r="K414" s="60">
        <v>134.19999999999999</v>
      </c>
      <c r="L414" s="53">
        <f>IF(Table25781014[[#This Row],[End
(km)]]="","",Table25781014[[#This Row],[End
(km)]]-Table25781014[[#This Row],[Start
(km)]])</f>
        <v>0.14999999999997726</v>
      </c>
      <c r="M414" s="61" t="s">
        <v>126</v>
      </c>
      <c r="N414" s="59" t="s">
        <v>113</v>
      </c>
      <c r="O414" s="295"/>
      <c r="P414" s="64">
        <v>43224</v>
      </c>
      <c r="Q414" s="307">
        <v>43339</v>
      </c>
      <c r="R414" s="57" t="s">
        <v>121</v>
      </c>
      <c r="S414" s="55"/>
      <c r="T414" s="66"/>
      <c r="U414" s="308" t="s">
        <v>121</v>
      </c>
      <c r="V414" s="309"/>
      <c r="W414" s="67"/>
      <c r="X414" s="77" t="s">
        <v>537</v>
      </c>
      <c r="Y414" s="326"/>
      <c r="Z414" s="80" t="s">
        <v>122</v>
      </c>
      <c r="AA414" s="323"/>
      <c r="AB414" s="96"/>
      <c r="AC414" s="96"/>
      <c r="AD414" s="310" t="str">
        <f>IF(Table25781014[[#This Row],[End Completed Section (km)]]="","",Table25781014[[#This Row],[End Completed Section (km)]]-Table25781014[[#This Row],[Start Completed Section (km)]])</f>
        <v/>
      </c>
      <c r="AE414" s="72"/>
      <c r="AF41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14" s="229" t="str">
        <f>IF(Table25781014[[#This Row],[Planned Date]]="","",TEXT(Table25781014[[#This Row],[Planned Date]],"mmm"))</f>
        <v/>
      </c>
      <c r="AH414" s="252" t="str">
        <f>IF(Table25781014[[#This Row],[Month]]="","",VLOOKUP(Table25781014[[#This Row],[Month]],List!$B$2:$C$13,2,FALSE))</f>
        <v/>
      </c>
    </row>
    <row r="415" spans="1:34" s="56" customFormat="1" ht="25.5" x14ac:dyDescent="0.2">
      <c r="A415" s="98" t="s">
        <v>117</v>
      </c>
      <c r="B415" s="305">
        <v>14</v>
      </c>
      <c r="C415" s="67" t="s">
        <v>7</v>
      </c>
      <c r="D415" s="59" t="s">
        <v>42</v>
      </c>
      <c r="E415" s="100" t="str">
        <f>IF(Table25781014[[#This Row],[Line Section]]="","",VLOOKUP(Table25781014[[#This Row],[Line Section]],Reference!$A$2:$B$47,2,FALSE))</f>
        <v>C131</v>
      </c>
      <c r="F415" s="157" t="s">
        <v>651</v>
      </c>
      <c r="G415" s="440"/>
      <c r="H415" s="306"/>
      <c r="I415" s="54" t="s">
        <v>100</v>
      </c>
      <c r="J415" s="60">
        <v>138.4</v>
      </c>
      <c r="K415" s="60">
        <v>138.69999999999999</v>
      </c>
      <c r="L415" s="53">
        <f>IF(Table25781014[[#This Row],[End
(km)]]="","",Table25781014[[#This Row],[End
(km)]]-Table25781014[[#This Row],[Start
(km)]])</f>
        <v>0.29999999999998295</v>
      </c>
      <c r="M415" s="61" t="s">
        <v>126</v>
      </c>
      <c r="N415" s="59" t="s">
        <v>113</v>
      </c>
      <c r="O415" s="295"/>
      <c r="P415" s="64">
        <v>43225</v>
      </c>
      <c r="Q415" s="307">
        <v>43481</v>
      </c>
      <c r="R415" s="57" t="s">
        <v>121</v>
      </c>
      <c r="S415" s="55" t="s">
        <v>121</v>
      </c>
      <c r="T415" s="66"/>
      <c r="U415" s="308"/>
      <c r="V415" s="312"/>
      <c r="W415" s="67"/>
      <c r="X415" s="77" t="s">
        <v>712</v>
      </c>
      <c r="Y415" s="326"/>
      <c r="Z415" s="80" t="s">
        <v>122</v>
      </c>
      <c r="AA415" s="323"/>
      <c r="AB415" s="96"/>
      <c r="AC415" s="96"/>
      <c r="AD415" s="314" t="str">
        <f>IF(Table25781014[[#This Row],[End Completed Section (km)]]="","",Table25781014[[#This Row],[End Completed Section (km)]]-Table25781014[[#This Row],[Start Completed Section (km)]])</f>
        <v/>
      </c>
      <c r="AE415" s="72"/>
      <c r="AF415"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415" s="229" t="str">
        <f>IF(Table25781014[[#This Row],[Planned Date]]="","",TEXT(Table25781014[[#This Row],[Planned Date]],"mmm"))</f>
        <v>21/22</v>
      </c>
      <c r="AH415" s="252" t="e">
        <f>IF(Table25781014[[#This Row],[Month]]="","",VLOOKUP(Table25781014[[#This Row],[Month]],List!$B$2:$C$13,2,FALSE))</f>
        <v>#N/A</v>
      </c>
    </row>
    <row r="416" spans="1:34" ht="114.75" x14ac:dyDescent="0.2">
      <c r="A416" s="98" t="s">
        <v>116</v>
      </c>
      <c r="B416" s="305"/>
      <c r="C416" s="67" t="s">
        <v>7</v>
      </c>
      <c r="D416" s="59" t="s">
        <v>42</v>
      </c>
      <c r="E416" s="100" t="str">
        <f>IF(Table25781014[[#This Row],[Line Section]]="","",VLOOKUP(Table25781014[[#This Row],[Line Section]],Reference!$A$2:$B$47,2,FALSE))</f>
        <v>C131</v>
      </c>
      <c r="F416" s="157"/>
      <c r="G416" s="440"/>
      <c r="H416" s="306"/>
      <c r="I416" s="54" t="s">
        <v>100</v>
      </c>
      <c r="J416" s="60">
        <v>139.15</v>
      </c>
      <c r="K416" s="60">
        <v>139.30000000000001</v>
      </c>
      <c r="L416" s="53">
        <f>IF(Table25781014[[#This Row],[End
(km)]]="","",Table25781014[[#This Row],[End
(km)]]-Table25781014[[#This Row],[Start
(km)]])</f>
        <v>0.15000000000000568</v>
      </c>
      <c r="M416" s="61" t="s">
        <v>126</v>
      </c>
      <c r="N416" s="59" t="s">
        <v>112</v>
      </c>
      <c r="O416" s="295"/>
      <c r="P416" s="64">
        <v>43226</v>
      </c>
      <c r="Q416" s="307">
        <v>43481</v>
      </c>
      <c r="R416" s="57" t="s">
        <v>121</v>
      </c>
      <c r="S416" s="55"/>
      <c r="T416" s="66"/>
      <c r="U416" s="308"/>
      <c r="V416" s="309"/>
      <c r="W416" s="67"/>
      <c r="X416" s="77" t="s">
        <v>745</v>
      </c>
      <c r="Y416" s="326"/>
      <c r="Z416" s="80" t="s">
        <v>139</v>
      </c>
      <c r="AA416" s="323"/>
      <c r="AB416" s="96"/>
      <c r="AC416" s="96"/>
      <c r="AD416" s="310" t="str">
        <f>IF(Table25781014[[#This Row],[End Completed Section (km)]]="","",Table25781014[[#This Row],[End Completed Section (km)]]-Table25781014[[#This Row],[Start Completed Section (km)]])</f>
        <v/>
      </c>
      <c r="AE416" s="72"/>
      <c r="AF41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16" s="229" t="str">
        <f>IF(Table25781014[[#This Row],[Planned Date]]="","",TEXT(Table25781014[[#This Row],[Planned Date]],"mmm"))</f>
        <v/>
      </c>
      <c r="AH416" s="252" t="str">
        <f>IF(Table25781014[[#This Row],[Month]]="","",VLOOKUP(Table25781014[[#This Row],[Month]],List!$B$2:$C$13,2,FALSE))</f>
        <v/>
      </c>
    </row>
    <row r="417" spans="1:34" x14ac:dyDescent="0.2">
      <c r="A417" s="98" t="s">
        <v>117</v>
      </c>
      <c r="B417" s="305"/>
      <c r="C417" s="67" t="s">
        <v>7</v>
      </c>
      <c r="D417" s="59" t="s">
        <v>42</v>
      </c>
      <c r="E417" s="100" t="str">
        <f>IF(Table25781014[[#This Row],[Line Section]]="","",VLOOKUP(Table25781014[[#This Row],[Line Section]],Reference!$A$2:$B$47,2,FALSE))</f>
        <v>C131</v>
      </c>
      <c r="F417" s="157"/>
      <c r="G417" s="440"/>
      <c r="H417" s="306"/>
      <c r="I417" s="54" t="s">
        <v>100</v>
      </c>
      <c r="J417" s="60">
        <v>142</v>
      </c>
      <c r="K417" s="60">
        <v>142.5</v>
      </c>
      <c r="L417" s="53">
        <f>IF(Table25781014[[#This Row],[End
(km)]]="","",Table25781014[[#This Row],[End
(km)]]-Table25781014[[#This Row],[Start
(km)]])</f>
        <v>0.5</v>
      </c>
      <c r="M417" s="61" t="s">
        <v>126</v>
      </c>
      <c r="N417" s="59" t="s">
        <v>109</v>
      </c>
      <c r="O417" s="295" t="s">
        <v>109</v>
      </c>
      <c r="P417" s="64">
        <v>43227</v>
      </c>
      <c r="Q417" s="307">
        <v>43481</v>
      </c>
      <c r="R417" s="57"/>
      <c r="S417" s="55"/>
      <c r="T417" s="66"/>
      <c r="U417" s="308"/>
      <c r="V417" s="309"/>
      <c r="W417" s="67"/>
      <c r="X417" s="77"/>
      <c r="Y417" s="326"/>
      <c r="Z417" s="80" t="s">
        <v>139</v>
      </c>
      <c r="AA417" s="323"/>
      <c r="AB417" s="96"/>
      <c r="AC417" s="96"/>
      <c r="AD417" s="310" t="str">
        <f>IF(Table25781014[[#This Row],[End Completed Section (km)]]="","",Table25781014[[#This Row],[End Completed Section (km)]]-Table25781014[[#This Row],[Start Completed Section (km)]])</f>
        <v/>
      </c>
      <c r="AE417" s="72"/>
      <c r="AF41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17" s="229" t="str">
        <f>IF(Table25781014[[#This Row],[Planned Date]]="","",TEXT(Table25781014[[#This Row],[Planned Date]],"mmm"))</f>
        <v/>
      </c>
      <c r="AH417" s="252" t="str">
        <f>IF(Table25781014[[#This Row],[Month]]="","",VLOOKUP(Table25781014[[#This Row],[Month]],List!$B$2:$C$13,2,FALSE))</f>
        <v/>
      </c>
    </row>
    <row r="418" spans="1:34" ht="38.25" x14ac:dyDescent="0.2">
      <c r="A418" s="98" t="s">
        <v>116</v>
      </c>
      <c r="B418" s="305"/>
      <c r="C418" s="67" t="s">
        <v>7</v>
      </c>
      <c r="D418" s="99" t="s">
        <v>42</v>
      </c>
      <c r="E418" s="100" t="str">
        <f>IF(Table25781014[[#This Row],[Line Section]]="","",VLOOKUP(Table25781014[[#This Row],[Line Section]],Reference!$A$2:$B$47,2,FALSE))</f>
        <v>C131</v>
      </c>
      <c r="F418" s="157">
        <v>43254</v>
      </c>
      <c r="G418" s="440"/>
      <c r="H418" s="306"/>
      <c r="I418" s="54" t="s">
        <v>100</v>
      </c>
      <c r="J418" s="101">
        <v>146.9</v>
      </c>
      <c r="K418" s="60">
        <v>147.25</v>
      </c>
      <c r="L418" s="102">
        <f>IF(Table25781014[[#This Row],[End
(km)]]="","",Table25781014[[#This Row],[End
(km)]]-Table25781014[[#This Row],[Start
(km)]])</f>
        <v>0.34999999999999432</v>
      </c>
      <c r="M418" s="61" t="s">
        <v>146</v>
      </c>
      <c r="N418" s="99" t="s">
        <v>112</v>
      </c>
      <c r="O418" s="71"/>
      <c r="P418" s="64">
        <v>43229</v>
      </c>
      <c r="Q418" s="307">
        <v>43250</v>
      </c>
      <c r="R418" s="57" t="s">
        <v>121</v>
      </c>
      <c r="S418" s="106"/>
      <c r="T418" s="66"/>
      <c r="U418" s="308"/>
      <c r="V418" s="309"/>
      <c r="W418" s="67"/>
      <c r="X418" s="107" t="s">
        <v>367</v>
      </c>
      <c r="Y418" s="326"/>
      <c r="Z418" s="103" t="s">
        <v>556</v>
      </c>
      <c r="AA418" s="320"/>
      <c r="AB418" s="96">
        <v>146.9</v>
      </c>
      <c r="AC418" s="96">
        <v>147.25</v>
      </c>
      <c r="AD418" s="310">
        <f>IF(Table25781014[[#This Row],[End Completed Section (km)]]="","",Table25781014[[#This Row],[End Completed Section (km)]]-Table25781014[[#This Row],[Start Completed Section (km)]])</f>
        <v>0.34999999999999432</v>
      </c>
      <c r="AE418" s="72">
        <v>43254</v>
      </c>
      <c r="AF41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2017-18</v>
      </c>
      <c r="AG418" s="229" t="str">
        <f>IF(Table25781014[[#This Row],[Planned Date]]="","",TEXT(Table25781014[[#This Row],[Planned Date]],"mmm"))</f>
        <v>Jun</v>
      </c>
      <c r="AH418" s="252">
        <f>IF(Table25781014[[#This Row],[Month]]="","",VLOOKUP(Table25781014[[#This Row],[Month]],List!$B$2:$C$13,2,FALSE))</f>
        <v>12</v>
      </c>
    </row>
    <row r="419" spans="1:34" s="56" customFormat="1" ht="38.25" x14ac:dyDescent="0.2">
      <c r="A419" s="98" t="s">
        <v>118</v>
      </c>
      <c r="B419" s="305"/>
      <c r="C419" s="67" t="s">
        <v>7</v>
      </c>
      <c r="D419" s="59" t="s">
        <v>42</v>
      </c>
      <c r="E419" s="100" t="str">
        <f>IF(Table25781014[[#This Row],[Line Section]]="","",VLOOKUP(Table25781014[[#This Row],[Line Section]],Reference!$A$2:$B$47,2,FALSE))</f>
        <v>C131</v>
      </c>
      <c r="F419" s="157"/>
      <c r="G419" s="440"/>
      <c r="H419" s="306"/>
      <c r="I419" s="54" t="s">
        <v>100</v>
      </c>
      <c r="J419" s="101">
        <v>147.25</v>
      </c>
      <c r="K419" s="60">
        <v>147.6</v>
      </c>
      <c r="L419" s="102">
        <f>IF(Table25781014[[#This Row],[End
(km)]]="","",Table25781014[[#This Row],[End
(km)]]-Table25781014[[#This Row],[Start
(km)]])</f>
        <v>0.34999999999999432</v>
      </c>
      <c r="M419" s="61" t="s">
        <v>179</v>
      </c>
      <c r="N419" s="99" t="s">
        <v>111</v>
      </c>
      <c r="O419" s="71" t="s">
        <v>111</v>
      </c>
      <c r="P419" s="64">
        <v>43481</v>
      </c>
      <c r="Q419" s="307"/>
      <c r="R419" s="57" t="s">
        <v>121</v>
      </c>
      <c r="S419" s="106"/>
      <c r="T419" s="66"/>
      <c r="U419" s="308"/>
      <c r="V419" s="309"/>
      <c r="W419" s="67"/>
      <c r="X419" s="107" t="s">
        <v>713</v>
      </c>
      <c r="Y419" s="326"/>
      <c r="Z419" s="103" t="s">
        <v>122</v>
      </c>
      <c r="AA419" s="320"/>
      <c r="AB419" s="96"/>
      <c r="AC419" s="96"/>
      <c r="AD419" s="310" t="str">
        <f>IF(Table25781014[[#This Row],[End Completed Section (km)]]="","",Table25781014[[#This Row],[End Completed Section (km)]]-Table25781014[[#This Row],[Start Completed Section (km)]])</f>
        <v/>
      </c>
      <c r="AE419" s="72"/>
      <c r="AF41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19" s="229" t="str">
        <f>IF(Table25781014[[#This Row],[Planned Date]]="","",TEXT(Table25781014[[#This Row],[Planned Date]],"mmm"))</f>
        <v/>
      </c>
      <c r="AH419" s="252" t="str">
        <f>IF(Table25781014[[#This Row],[Month]]="","",VLOOKUP(Table25781014[[#This Row],[Month]],List!$B$2:$C$13,2,FALSE))</f>
        <v/>
      </c>
    </row>
    <row r="420" spans="1:34" ht="25.5" x14ac:dyDescent="0.2">
      <c r="A420" s="98" t="s">
        <v>116</v>
      </c>
      <c r="B420" s="305"/>
      <c r="C420" s="67" t="s">
        <v>7</v>
      </c>
      <c r="D420" s="59" t="s">
        <v>42</v>
      </c>
      <c r="E420" s="100" t="str">
        <f>IF(Table25781014[[#This Row],[Line Section]]="","",VLOOKUP(Table25781014[[#This Row],[Line Section]],Reference!$A$2:$B$47,2,FALSE))</f>
        <v>C131</v>
      </c>
      <c r="F420" s="157">
        <v>43254</v>
      </c>
      <c r="G420" s="440"/>
      <c r="H420" s="306"/>
      <c r="I420" s="54" t="s">
        <v>100</v>
      </c>
      <c r="J420" s="101">
        <v>147.75</v>
      </c>
      <c r="K420" s="60">
        <v>147.94999999999999</v>
      </c>
      <c r="L420" s="102">
        <f>IF(Table25781014[[#This Row],[End
(km)]]="","",Table25781014[[#This Row],[End
(km)]]-Table25781014[[#This Row],[Start
(km)]])</f>
        <v>0.19999999999998863</v>
      </c>
      <c r="M420" s="61"/>
      <c r="N420" s="99" t="s">
        <v>113</v>
      </c>
      <c r="O420" s="71"/>
      <c r="P420" s="64">
        <v>43229</v>
      </c>
      <c r="Q420" s="307">
        <v>43250</v>
      </c>
      <c r="R420" s="57" t="s">
        <v>121</v>
      </c>
      <c r="S420" s="106"/>
      <c r="T420" s="66"/>
      <c r="U420" s="308"/>
      <c r="V420" s="309"/>
      <c r="W420" s="67"/>
      <c r="X420" s="107" t="s">
        <v>398</v>
      </c>
      <c r="Y420" s="326"/>
      <c r="Z420" s="103" t="s">
        <v>121</v>
      </c>
      <c r="AA420" s="320"/>
      <c r="AB420" s="96">
        <v>147.69999999999999</v>
      </c>
      <c r="AC420" s="96">
        <v>147.94999999999999</v>
      </c>
      <c r="AD420" s="310">
        <f>IF(Table25781014[[#This Row],[End Completed Section (km)]]="","",Table25781014[[#This Row],[End Completed Section (km)]]-Table25781014[[#This Row],[Start Completed Section (km)]])</f>
        <v>0.25</v>
      </c>
      <c r="AE420" s="72">
        <v>43254</v>
      </c>
      <c r="AF42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2017-18</v>
      </c>
      <c r="AG420" s="229" t="str">
        <f>IF(Table25781014[[#This Row],[Planned Date]]="","",TEXT(Table25781014[[#This Row],[Planned Date]],"mmm"))</f>
        <v>Jun</v>
      </c>
      <c r="AH420" s="252">
        <f>IF(Table25781014[[#This Row],[Month]]="","",VLOOKUP(Table25781014[[#This Row],[Month]],List!$B$2:$C$13,2,FALSE))</f>
        <v>12</v>
      </c>
    </row>
    <row r="421" spans="1:34" s="56" customFormat="1" x14ac:dyDescent="0.2">
      <c r="A421" s="98" t="s">
        <v>116</v>
      </c>
      <c r="B421" s="305">
        <v>1</v>
      </c>
      <c r="C421" s="67" t="s">
        <v>7</v>
      </c>
      <c r="D421" s="59" t="s">
        <v>42</v>
      </c>
      <c r="E421" s="100" t="str">
        <f>IF(Table25781014[[#This Row],[Line Section]]="","",VLOOKUP(Table25781014[[#This Row],[Line Section]],Reference!$A$2:$B$47,2,FALSE))</f>
        <v>C131</v>
      </c>
      <c r="F421" s="157">
        <v>43926</v>
      </c>
      <c r="G421" s="440"/>
      <c r="H421" s="247" t="s">
        <v>534</v>
      </c>
      <c r="I421" s="54" t="s">
        <v>100</v>
      </c>
      <c r="J421" s="60">
        <v>150.85</v>
      </c>
      <c r="K421" s="60">
        <v>151</v>
      </c>
      <c r="L421" s="53">
        <f>IF(Table25781014[[#This Row],[End
(km)]]="","",Table25781014[[#This Row],[End
(km)]]-Table25781014[[#This Row],[Start
(km)]])</f>
        <v>0.15000000000000568</v>
      </c>
      <c r="M421" s="61" t="s">
        <v>126</v>
      </c>
      <c r="N421" s="59" t="s">
        <v>207</v>
      </c>
      <c r="O421" s="295"/>
      <c r="P421" s="64">
        <v>43229</v>
      </c>
      <c r="Q421" s="307">
        <v>43416</v>
      </c>
      <c r="R421" s="57" t="s">
        <v>121</v>
      </c>
      <c r="S421" s="55"/>
      <c r="T421" s="66"/>
      <c r="U421" s="308"/>
      <c r="V421" s="309"/>
      <c r="W421" s="67" t="s">
        <v>150</v>
      </c>
      <c r="X421" s="77"/>
      <c r="Y421" s="326"/>
      <c r="Z421" s="80" t="s">
        <v>573</v>
      </c>
      <c r="AA421" s="280">
        <v>43618</v>
      </c>
      <c r="AB421" s="96"/>
      <c r="AC421" s="96"/>
      <c r="AD421" s="310" t="str">
        <f>IF(Table25781014[[#This Row],[End Completed Section (km)]]="","",Table25781014[[#This Row],[End Completed Section (km)]]-Table25781014[[#This Row],[Start Completed Section (km)]])</f>
        <v/>
      </c>
      <c r="AE421" s="72"/>
      <c r="AF42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421" s="229" t="str">
        <f>IF(Table25781014[[#This Row],[Planned Date]]="","",TEXT(Table25781014[[#This Row],[Planned Date]],"mmm"))</f>
        <v>Apr</v>
      </c>
      <c r="AH421" s="252">
        <f>IF(Table25781014[[#This Row],[Month]]="","",VLOOKUP(Table25781014[[#This Row],[Month]],List!$B$2:$C$13,2,FALSE))</f>
        <v>10</v>
      </c>
    </row>
    <row r="422" spans="1:34" x14ac:dyDescent="0.2">
      <c r="A422" s="98" t="s">
        <v>117</v>
      </c>
      <c r="B422" s="305">
        <v>21</v>
      </c>
      <c r="C422" s="67" t="s">
        <v>7</v>
      </c>
      <c r="D422" s="59" t="s">
        <v>42</v>
      </c>
      <c r="E422" s="100" t="str">
        <f>IF(Table25781014[[#This Row],[Line Section]]="","",VLOOKUP(Table25781014[[#This Row],[Line Section]],Reference!$A$2:$B$47,2,FALSE))</f>
        <v>C131</v>
      </c>
      <c r="F422" s="157" t="s">
        <v>651</v>
      </c>
      <c r="G422" s="440"/>
      <c r="H422" s="306"/>
      <c r="I422" s="54" t="s">
        <v>100</v>
      </c>
      <c r="J422" s="60">
        <v>162.32499999999999</v>
      </c>
      <c r="K422" s="60">
        <v>162.65</v>
      </c>
      <c r="L422" s="53">
        <f>IF(Table25781014[[#This Row],[End
(km)]]="","",Table25781014[[#This Row],[End
(km)]]-Table25781014[[#This Row],[Start
(km)]])</f>
        <v>0.32500000000001705</v>
      </c>
      <c r="M422" s="61" t="s">
        <v>126</v>
      </c>
      <c r="N422" s="59" t="s">
        <v>113</v>
      </c>
      <c r="O422" s="295" t="s">
        <v>113</v>
      </c>
      <c r="P422" s="64">
        <v>43347</v>
      </c>
      <c r="Q422" s="307">
        <v>43503</v>
      </c>
      <c r="R422" s="57" t="s">
        <v>121</v>
      </c>
      <c r="S422" s="55"/>
      <c r="T422" s="66"/>
      <c r="U422" s="308"/>
      <c r="V422" s="309"/>
      <c r="W422" s="67"/>
      <c r="X422" s="77" t="s">
        <v>783</v>
      </c>
      <c r="Y422" s="327"/>
      <c r="Z422" s="80" t="s">
        <v>122</v>
      </c>
      <c r="AA422" s="323"/>
      <c r="AB422" s="96"/>
      <c r="AC422" s="96"/>
      <c r="AD422" s="310" t="str">
        <f>IF(Table25781014[[#This Row],[End Completed Section (km)]]="","",Table25781014[[#This Row],[End Completed Section (km)]]-Table25781014[[#This Row],[Start Completed Section (km)]])</f>
        <v/>
      </c>
      <c r="AE422" s="161"/>
      <c r="AF422" s="253"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422" s="254" t="str">
        <f>IF(Table25781014[[#This Row],[Planned Date]]="","",TEXT(Table25781014[[#This Row],[Planned Date]],"mmm"))</f>
        <v>21/22</v>
      </c>
      <c r="AH422" s="255" t="e">
        <f>IF(Table25781014[[#This Row],[Month]]="","",VLOOKUP(Table25781014[[#This Row],[Month]],List!$B$2:$C$13,2,FALSE))</f>
        <v>#N/A</v>
      </c>
    </row>
    <row r="423" spans="1:34" x14ac:dyDescent="0.2">
      <c r="A423" s="98" t="s">
        <v>117</v>
      </c>
      <c r="B423" s="305"/>
      <c r="C423" s="67" t="s">
        <v>7</v>
      </c>
      <c r="D423" s="59" t="s">
        <v>42</v>
      </c>
      <c r="E423" s="100" t="str">
        <f>IF(Table25781014[[#This Row],[Line Section]]="","",VLOOKUP(Table25781014[[#This Row],[Line Section]],Reference!$A$2:$B$47,2,FALSE))</f>
        <v>C131</v>
      </c>
      <c r="F423" s="157"/>
      <c r="G423" s="440"/>
      <c r="H423" s="306"/>
      <c r="I423" s="54" t="s">
        <v>100</v>
      </c>
      <c r="J423" s="60">
        <v>166.15</v>
      </c>
      <c r="K423" s="60">
        <v>166.27</v>
      </c>
      <c r="L423" s="53">
        <f>IF(Table25781014[[#This Row],[End
(km)]]="","",Table25781014[[#This Row],[End
(km)]]-Table25781014[[#This Row],[Start
(km)]])</f>
        <v>0.12000000000000455</v>
      </c>
      <c r="M423" s="61" t="s">
        <v>126</v>
      </c>
      <c r="N423" s="59" t="s">
        <v>207</v>
      </c>
      <c r="O423" s="295" t="s">
        <v>113</v>
      </c>
      <c r="P423" s="64">
        <v>43230</v>
      </c>
      <c r="Q423" s="307">
        <v>43481</v>
      </c>
      <c r="R423" s="57"/>
      <c r="S423" s="55"/>
      <c r="T423" s="66"/>
      <c r="U423" s="308"/>
      <c r="V423" s="309"/>
      <c r="W423" s="67"/>
      <c r="X423" s="77"/>
      <c r="Y423" s="326"/>
      <c r="Z423" s="80" t="s">
        <v>122</v>
      </c>
      <c r="AA423" s="323"/>
      <c r="AB423" s="96"/>
      <c r="AC423" s="96"/>
      <c r="AD423" s="310" t="str">
        <f>IF(Table25781014[[#This Row],[End Completed Section (km)]]="","",Table25781014[[#This Row],[End Completed Section (km)]]-Table25781014[[#This Row],[Start Completed Section (km)]])</f>
        <v/>
      </c>
      <c r="AE423" s="72"/>
      <c r="AF42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23" s="229" t="str">
        <f>IF(Table25781014[[#This Row],[Planned Date]]="","",TEXT(Table25781014[[#This Row],[Planned Date]],"mmm"))</f>
        <v/>
      </c>
      <c r="AH423" s="252" t="str">
        <f>IF(Table25781014[[#This Row],[Month]]="","",VLOOKUP(Table25781014[[#This Row],[Month]],List!$B$2:$C$13,2,FALSE))</f>
        <v/>
      </c>
    </row>
    <row r="424" spans="1:34" x14ac:dyDescent="0.2">
      <c r="A424" s="98" t="s">
        <v>117</v>
      </c>
      <c r="B424" s="343">
        <v>19</v>
      </c>
      <c r="C424" s="67" t="s">
        <v>7</v>
      </c>
      <c r="D424" s="59" t="s">
        <v>42</v>
      </c>
      <c r="E424" s="100" t="str">
        <f>IF(Table25781014[[#This Row],[Line Section]]="","",VLOOKUP(Table25781014[[#This Row],[Line Section]],Reference!$A$2:$B$47,2,FALSE))</f>
        <v>C131</v>
      </c>
      <c r="F424" s="157" t="s">
        <v>651</v>
      </c>
      <c r="G424" s="440"/>
      <c r="H424" s="344"/>
      <c r="I424" s="54" t="s">
        <v>100</v>
      </c>
      <c r="J424" s="60">
        <v>177.45</v>
      </c>
      <c r="K424" s="60">
        <v>177.62</v>
      </c>
      <c r="L424" s="53">
        <f>IF(Table25781014[[#This Row],[End
(km)]]="","",Table25781014[[#This Row],[End
(km)]]-Table25781014[[#This Row],[Start
(km)]])</f>
        <v>0.17000000000001592</v>
      </c>
      <c r="M424" s="61" t="s">
        <v>725</v>
      </c>
      <c r="N424" s="59" t="s">
        <v>113</v>
      </c>
      <c r="O424" s="295" t="s">
        <v>113</v>
      </c>
      <c r="P424" s="64">
        <v>43503</v>
      </c>
      <c r="Q424" s="345"/>
      <c r="R424" s="57" t="s">
        <v>121</v>
      </c>
      <c r="S424" s="55"/>
      <c r="T424" s="66"/>
      <c r="U424" s="346"/>
      <c r="V424" s="347"/>
      <c r="W424" s="67"/>
      <c r="X424" s="77" t="s">
        <v>783</v>
      </c>
      <c r="Y424" s="380"/>
      <c r="Z424" s="80"/>
      <c r="AA424" s="349"/>
      <c r="AB424" s="96"/>
      <c r="AC424" s="96"/>
      <c r="AD424" s="350" t="str">
        <f>IF(Table25781014[[#This Row],[End Completed Section (km)]]="","",Table25781014[[#This Row],[End Completed Section (km)]]-Table25781014[[#This Row],[Start Completed Section (km)]])</f>
        <v/>
      </c>
      <c r="AE424" s="161"/>
      <c r="AF424" s="253"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424" s="254" t="str">
        <f>IF(Table25781014[[#This Row],[Planned Date]]="","",TEXT(Table25781014[[#This Row],[Planned Date]],"mmm"))</f>
        <v>21/22</v>
      </c>
      <c r="AH424" s="255" t="e">
        <f>IF(Table25781014[[#This Row],[Month]]="","",VLOOKUP(Table25781014[[#This Row],[Month]],List!$B$2:$C$13,2,FALSE))</f>
        <v>#N/A</v>
      </c>
    </row>
    <row r="425" spans="1:34" s="56" customFormat="1" x14ac:dyDescent="0.2">
      <c r="A425" s="98" t="s">
        <v>116</v>
      </c>
      <c r="B425" s="305"/>
      <c r="C425" s="67" t="s">
        <v>313</v>
      </c>
      <c r="D425" s="59" t="s">
        <v>313</v>
      </c>
      <c r="E425" s="100" t="str">
        <f>IF(Table25781014[[#This Row],[Line Section]]="","",VLOOKUP(Table25781014[[#This Row],[Line Section]],Reference!$A$2:$B$47,2,FALSE))</f>
        <v>C181</v>
      </c>
      <c r="F425" s="157"/>
      <c r="G425" s="440"/>
      <c r="H425" s="306"/>
      <c r="I425" s="54" t="s">
        <v>98</v>
      </c>
      <c r="J425" s="60">
        <v>11.9</v>
      </c>
      <c r="K425" s="60">
        <v>12.6</v>
      </c>
      <c r="L425" s="53">
        <f>IF(Table25781014[[#This Row],[End
(km)]]="","",Table25781014[[#This Row],[End
(km)]]-Table25781014[[#This Row],[Start
(km)]])</f>
        <v>0.69999999999999929</v>
      </c>
      <c r="M425" s="61" t="s">
        <v>126</v>
      </c>
      <c r="N425" s="59" t="s">
        <v>207</v>
      </c>
      <c r="O425" s="295"/>
      <c r="P425" s="64">
        <v>43231</v>
      </c>
      <c r="Q425" s="307"/>
      <c r="R425" s="57"/>
      <c r="S425" s="55"/>
      <c r="T425" s="66"/>
      <c r="U425" s="308"/>
      <c r="V425" s="309"/>
      <c r="W425" s="67" t="s">
        <v>287</v>
      </c>
      <c r="X425" s="77"/>
      <c r="Y425" s="327" t="s">
        <v>314</v>
      </c>
      <c r="Z425" s="80" t="s">
        <v>122</v>
      </c>
      <c r="AA425" s="323"/>
      <c r="AB425" s="96"/>
      <c r="AC425" s="96"/>
      <c r="AD425" s="310" t="str">
        <f>IF(Table25781014[[#This Row],[End Completed Section (km)]]="","",Table25781014[[#This Row],[End Completed Section (km)]]-Table25781014[[#This Row],[Start Completed Section (km)]])</f>
        <v/>
      </c>
      <c r="AE425" s="72"/>
      <c r="AF42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25" s="229" t="str">
        <f>IF(Table25781014[[#This Row],[Planned Date]]="","",TEXT(Table25781014[[#This Row],[Planned Date]],"mmm"))</f>
        <v/>
      </c>
      <c r="AH425" s="252" t="str">
        <f>IF(Table25781014[[#This Row],[Month]]="","",VLOOKUP(Table25781014[[#This Row],[Month]],List!$B$2:$C$13,2,FALSE))</f>
        <v/>
      </c>
    </row>
    <row r="426" spans="1:34" s="56" customFormat="1" ht="25.5" x14ac:dyDescent="0.2">
      <c r="A426" s="98" t="s">
        <v>116</v>
      </c>
      <c r="B426" s="305">
        <v>2</v>
      </c>
      <c r="C426" s="67" t="s">
        <v>5</v>
      </c>
      <c r="D426" s="59" t="s">
        <v>15</v>
      </c>
      <c r="E426" s="325" t="str">
        <f>IF(Table25781014[[#This Row],[Line Section]]="","",VLOOKUP(Table25781014[[#This Row],[Line Section]],Reference!$A$2:$B$47,2,FALSE))</f>
        <v>C139</v>
      </c>
      <c r="F426" s="157">
        <v>44024</v>
      </c>
      <c r="G426" s="440" t="s">
        <v>430</v>
      </c>
      <c r="H426" s="306" t="s">
        <v>533</v>
      </c>
      <c r="I426" s="54" t="s">
        <v>95</v>
      </c>
      <c r="J426" s="60">
        <v>0</v>
      </c>
      <c r="K426" s="60">
        <v>1.2</v>
      </c>
      <c r="L426" s="53">
        <f>IF(Table25781014[[#This Row],[End
(km)]]="","",Table25781014[[#This Row],[End
(km)]]-Table25781014[[#This Row],[Start
(km)]])</f>
        <v>1.2</v>
      </c>
      <c r="M426" s="61" t="s">
        <v>126</v>
      </c>
      <c r="N426" s="59" t="s">
        <v>113</v>
      </c>
      <c r="O426" s="295" t="s">
        <v>113</v>
      </c>
      <c r="P426" s="64">
        <v>43207</v>
      </c>
      <c r="Q426" s="307">
        <v>43482</v>
      </c>
      <c r="R426" s="61" t="s">
        <v>121</v>
      </c>
      <c r="S426" s="55" t="s">
        <v>121</v>
      </c>
      <c r="T426" s="66" t="s">
        <v>121</v>
      </c>
      <c r="U426" s="308"/>
      <c r="V426" s="309"/>
      <c r="W426" s="67" t="s">
        <v>158</v>
      </c>
      <c r="X426" s="77" t="s">
        <v>148</v>
      </c>
      <c r="Y426" s="326"/>
      <c r="Z426" s="159" t="s">
        <v>122</v>
      </c>
      <c r="AA426" s="323"/>
      <c r="AB426" s="96"/>
      <c r="AC426" s="96"/>
      <c r="AD426" s="310" t="str">
        <f>IF(Table25781014[[#This Row],[End Completed Section (km)]]="","",Table25781014[[#This Row],[End Completed Section (km)]]-Table25781014[[#This Row],[Start Completed Section (km)]])</f>
        <v/>
      </c>
      <c r="AE426" s="161"/>
      <c r="AF42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426" s="229" t="str">
        <f>IF(Table25781014[[#This Row],[Planned Date]]="","",TEXT(Table25781014[[#This Row],[Planned Date]],"mmm"))</f>
        <v>Jul</v>
      </c>
      <c r="AH426" s="252">
        <f>IF(Table25781014[[#This Row],[Month]]="","",VLOOKUP(Table25781014[[#This Row],[Month]],List!$B$2:$C$13,2,FALSE))</f>
        <v>1</v>
      </c>
    </row>
    <row r="427" spans="1:34" s="56" customFormat="1" ht="89.25" x14ac:dyDescent="0.2">
      <c r="A427" s="98" t="s">
        <v>116</v>
      </c>
      <c r="B427" s="305">
        <v>1</v>
      </c>
      <c r="C427" s="67" t="s">
        <v>5</v>
      </c>
      <c r="D427" s="59" t="s">
        <v>15</v>
      </c>
      <c r="E427" s="325" t="str">
        <f>IF(Table25781014[[#This Row],[Line Section]]="","",VLOOKUP(Table25781014[[#This Row],[Line Section]],Reference!$A$2:$B$47,2,FALSE))</f>
        <v>C139</v>
      </c>
      <c r="F427" s="157">
        <v>43660</v>
      </c>
      <c r="G427" s="440"/>
      <c r="H427" s="306" t="s">
        <v>534</v>
      </c>
      <c r="I427" s="54" t="s">
        <v>96</v>
      </c>
      <c r="J427" s="60">
        <v>0.05</v>
      </c>
      <c r="K427" s="60">
        <v>0.26</v>
      </c>
      <c r="L427" s="53">
        <f>IF(Table25781014[[#This Row],[End
(km)]]="","",Table25781014[[#This Row],[End
(km)]]-Table25781014[[#This Row],[Start
(km)]])</f>
        <v>0.21000000000000002</v>
      </c>
      <c r="M427" s="61" t="s">
        <v>126</v>
      </c>
      <c r="N427" s="59" t="s">
        <v>113</v>
      </c>
      <c r="O427" s="295" t="s">
        <v>113</v>
      </c>
      <c r="P427" s="64">
        <v>43207</v>
      </c>
      <c r="Q427" s="307">
        <v>43482</v>
      </c>
      <c r="R427" s="61" t="s">
        <v>121</v>
      </c>
      <c r="S427" s="55" t="s">
        <v>121</v>
      </c>
      <c r="T427" s="66" t="s">
        <v>122</v>
      </c>
      <c r="U427" s="308"/>
      <c r="V427" s="309"/>
      <c r="W427" s="67" t="s">
        <v>120</v>
      </c>
      <c r="X427" s="77" t="s">
        <v>795</v>
      </c>
      <c r="Y427" s="326"/>
      <c r="Z427" s="159" t="s">
        <v>121</v>
      </c>
      <c r="AA427" s="323"/>
      <c r="AB427" s="96">
        <v>0.12</v>
      </c>
      <c r="AC427" s="96">
        <v>0.24</v>
      </c>
      <c r="AD427" s="310">
        <f>IF(Table25781014[[#This Row],[End Completed Section (km)]]="","",Table25781014[[#This Row],[End Completed Section (km)]]-Table25781014[[#This Row],[Start Completed Section (km)]])</f>
        <v>0.12</v>
      </c>
      <c r="AE427" s="161">
        <v>43659</v>
      </c>
      <c r="AF42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427" s="229" t="str">
        <f>IF(Table25781014[[#This Row],[Planned Date]]="","",TEXT(Table25781014[[#This Row],[Planned Date]],"mmm"))</f>
        <v>Jul</v>
      </c>
      <c r="AH427" s="252">
        <f>IF(Table25781014[[#This Row],[Month]]="","",VLOOKUP(Table25781014[[#This Row],[Month]],List!$B$2:$C$13,2,FALSE))</f>
        <v>1</v>
      </c>
    </row>
    <row r="428" spans="1:34" s="56" customFormat="1" ht="63.75" x14ac:dyDescent="0.2">
      <c r="A428" s="98" t="s">
        <v>116</v>
      </c>
      <c r="B428" s="305">
        <v>3</v>
      </c>
      <c r="C428" s="67" t="s">
        <v>5</v>
      </c>
      <c r="D428" s="59" t="s">
        <v>15</v>
      </c>
      <c r="E428" s="325" t="str">
        <f>IF(Table25781014[[#This Row],[Line Section]]="","",VLOOKUP(Table25781014[[#This Row],[Line Section]],Reference!$A$2:$B$47,2,FALSE))</f>
        <v>C139</v>
      </c>
      <c r="F428" s="157">
        <v>43660</v>
      </c>
      <c r="G428" s="440" t="s">
        <v>430</v>
      </c>
      <c r="H428" s="247" t="s">
        <v>533</v>
      </c>
      <c r="I428" s="54" t="s">
        <v>95</v>
      </c>
      <c r="J428" s="60">
        <v>1.5</v>
      </c>
      <c r="K428" s="60">
        <v>2.1</v>
      </c>
      <c r="L428" s="53">
        <f>IF(Table25781014[[#This Row],[End
(km)]]="","",Table25781014[[#This Row],[End
(km)]]-Table25781014[[#This Row],[Start
(km)]])</f>
        <v>0.60000000000000009</v>
      </c>
      <c r="M428" s="61" t="s">
        <v>126</v>
      </c>
      <c r="N428" s="59" t="s">
        <v>113</v>
      </c>
      <c r="O428" s="295" t="s">
        <v>113</v>
      </c>
      <c r="P428" s="64">
        <v>43482</v>
      </c>
      <c r="Q428" s="307"/>
      <c r="R428" s="61" t="s">
        <v>121</v>
      </c>
      <c r="S428" s="55"/>
      <c r="T428" s="66"/>
      <c r="U428" s="308"/>
      <c r="V428" s="309"/>
      <c r="W428" s="67"/>
      <c r="X428" s="77" t="s">
        <v>804</v>
      </c>
      <c r="Y428" s="326"/>
      <c r="Z428" s="159" t="s">
        <v>121</v>
      </c>
      <c r="AA428" s="323"/>
      <c r="AB428" s="96">
        <v>1.5</v>
      </c>
      <c r="AC428" s="96">
        <v>2.1</v>
      </c>
      <c r="AD428" s="310">
        <f>IF(Table25781014[[#This Row],[End Completed Section (km)]]="","",Table25781014[[#This Row],[End Completed Section (km)]]-Table25781014[[#This Row],[Start Completed Section (km)]])</f>
        <v>0.60000000000000009</v>
      </c>
      <c r="AE428" s="161">
        <v>43660</v>
      </c>
      <c r="AF42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2019-20</v>
      </c>
      <c r="AG428" s="229" t="str">
        <f>IF(Table25781014[[#This Row],[Planned Date]]="","",TEXT(Table25781014[[#This Row],[Planned Date]],"mmm"))</f>
        <v>Jul</v>
      </c>
      <c r="AH428" s="252">
        <f>IF(Table25781014[[#This Row],[Month]]="","",VLOOKUP(Table25781014[[#This Row],[Month]],List!$B$2:$C$13,2,FALSE))</f>
        <v>1</v>
      </c>
    </row>
    <row r="429" spans="1:34" s="56" customFormat="1" ht="63.75" x14ac:dyDescent="0.2">
      <c r="A429" s="98" t="s">
        <v>118</v>
      </c>
      <c r="B429" s="305">
        <v>7</v>
      </c>
      <c r="C429" s="67" t="s">
        <v>5</v>
      </c>
      <c r="D429" s="59" t="s">
        <v>15</v>
      </c>
      <c r="E429" s="325" t="str">
        <f>IF(Table25781014[[#This Row],[Line Section]]="","",VLOOKUP(Table25781014[[#This Row],[Line Section]],Reference!$A$2:$B$47,2,FALSE))</f>
        <v>C139</v>
      </c>
      <c r="F429" s="157" t="s">
        <v>651</v>
      </c>
      <c r="G429" s="440"/>
      <c r="H429" s="306"/>
      <c r="I429" s="54" t="s">
        <v>95</v>
      </c>
      <c r="J429" s="60">
        <v>2.6</v>
      </c>
      <c r="K429" s="60">
        <v>3.15</v>
      </c>
      <c r="L429" s="53">
        <f>IF(Table25781014[[#This Row],[End
(km)]]="","",Table25781014[[#This Row],[End
(km)]]-Table25781014[[#This Row],[Start
(km)]])</f>
        <v>0.54999999999999982</v>
      </c>
      <c r="M429" s="61" t="s">
        <v>129</v>
      </c>
      <c r="N429" s="59"/>
      <c r="O429" s="295" t="s">
        <v>112</v>
      </c>
      <c r="P429" s="64">
        <v>43488</v>
      </c>
      <c r="Q429" s="307"/>
      <c r="R429" s="61" t="s">
        <v>121</v>
      </c>
      <c r="S429" s="55"/>
      <c r="T429" s="66"/>
      <c r="U429" s="308"/>
      <c r="V429" s="309"/>
      <c r="W429" s="67"/>
      <c r="X429" s="77" t="s">
        <v>724</v>
      </c>
      <c r="Y429" s="326"/>
      <c r="Z429" s="159"/>
      <c r="AA429" s="323"/>
      <c r="AB429" s="96"/>
      <c r="AC429" s="96"/>
      <c r="AD429" s="310" t="str">
        <f>IF(Table25781014[[#This Row],[End Completed Section (km)]]="","",Table25781014[[#This Row],[End Completed Section (km)]]-Table25781014[[#This Row],[Start Completed Section (km)]])</f>
        <v/>
      </c>
      <c r="AE429" s="161"/>
      <c r="AF429"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429" s="229" t="str">
        <f>IF(Table25781014[[#This Row],[Planned Date]]="","",TEXT(Table25781014[[#This Row],[Planned Date]],"mmm"))</f>
        <v>21/22</v>
      </c>
      <c r="AH429" s="252" t="e">
        <f>IF(Table25781014[[#This Row],[Month]]="","",VLOOKUP(Table25781014[[#This Row],[Month]],List!$B$2:$C$13,2,FALSE))</f>
        <v>#N/A</v>
      </c>
    </row>
    <row r="430" spans="1:34" s="56" customFormat="1" ht="25.5" x14ac:dyDescent="0.2">
      <c r="A430" s="98" t="s">
        <v>116</v>
      </c>
      <c r="B430" s="305">
        <v>6</v>
      </c>
      <c r="C430" s="67" t="s">
        <v>5</v>
      </c>
      <c r="D430" s="59" t="s">
        <v>15</v>
      </c>
      <c r="E430" s="325" t="str">
        <f>IF(Table25781014[[#This Row],[Line Section]]="","",VLOOKUP(Table25781014[[#This Row],[Line Section]],Reference!$A$2:$B$47,2,FALSE))</f>
        <v>C139</v>
      </c>
      <c r="F430" s="157" t="s">
        <v>651</v>
      </c>
      <c r="G430" s="440"/>
      <c r="H430" s="306"/>
      <c r="I430" s="54" t="s">
        <v>96</v>
      </c>
      <c r="J430" s="60">
        <v>3.351</v>
      </c>
      <c r="K430" s="60">
        <v>3.4409999999999998</v>
      </c>
      <c r="L430" s="53">
        <f>IF(Table25781014[[#This Row],[End
(km)]]="","",Table25781014[[#This Row],[End
(km)]]-Table25781014[[#This Row],[Start
(km)]])</f>
        <v>8.9999999999999858E-2</v>
      </c>
      <c r="M430" s="61" t="s">
        <v>725</v>
      </c>
      <c r="N430" s="59"/>
      <c r="O430" s="295" t="s">
        <v>113</v>
      </c>
      <c r="P430" s="64">
        <v>43488</v>
      </c>
      <c r="Q430" s="307"/>
      <c r="R430" s="61" t="s">
        <v>121</v>
      </c>
      <c r="S430" s="55"/>
      <c r="T430" s="66"/>
      <c r="U430" s="308"/>
      <c r="V430" s="309"/>
      <c r="W430" s="67"/>
      <c r="X430" s="77" t="s">
        <v>726</v>
      </c>
      <c r="Y430" s="326"/>
      <c r="Z430" s="159"/>
      <c r="AA430" s="323"/>
      <c r="AB430" s="96"/>
      <c r="AC430" s="96"/>
      <c r="AD430" s="310" t="str">
        <f>IF(Table25781014[[#This Row],[End Completed Section (km)]]="","",Table25781014[[#This Row],[End Completed Section (km)]]-Table25781014[[#This Row],[Start Completed Section (km)]])</f>
        <v/>
      </c>
      <c r="AE430" s="161"/>
      <c r="AF430"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430" s="229" t="str">
        <f>IF(Table25781014[[#This Row],[Planned Date]]="","",TEXT(Table25781014[[#This Row],[Planned Date]],"mmm"))</f>
        <v>21/22</v>
      </c>
      <c r="AH430" s="252" t="e">
        <f>IF(Table25781014[[#This Row],[Month]]="","",VLOOKUP(Table25781014[[#This Row],[Month]],List!$B$2:$C$13,2,FALSE))</f>
        <v>#N/A</v>
      </c>
    </row>
    <row r="431" spans="1:34" s="56" customFormat="1" ht="51" x14ac:dyDescent="0.2">
      <c r="A431" s="98" t="s">
        <v>118</v>
      </c>
      <c r="B431" s="305"/>
      <c r="C431" s="67" t="s">
        <v>5</v>
      </c>
      <c r="D431" s="59" t="s">
        <v>15</v>
      </c>
      <c r="E431" s="100" t="str">
        <f>IF(Table25781014[[#This Row],[Line Section]]="","",VLOOKUP(Table25781014[[#This Row],[Line Section]],Reference!$A$2:$B$47,2,FALSE))</f>
        <v>C139</v>
      </c>
      <c r="F431" s="157"/>
      <c r="G431" s="440"/>
      <c r="H431" s="306"/>
      <c r="I431" s="54" t="s">
        <v>96</v>
      </c>
      <c r="J431" s="60">
        <v>4</v>
      </c>
      <c r="K431" s="60">
        <v>4.4000000000000004</v>
      </c>
      <c r="L431" s="53">
        <f>IF(Table25781014[[#This Row],[End
(km)]]="","",Table25781014[[#This Row],[End
(km)]]-Table25781014[[#This Row],[Start
(km)]])</f>
        <v>0.40000000000000036</v>
      </c>
      <c r="M431" s="61" t="s">
        <v>129</v>
      </c>
      <c r="N431" s="59"/>
      <c r="O431" s="295" t="s">
        <v>109</v>
      </c>
      <c r="P431" s="64">
        <v>43488</v>
      </c>
      <c r="Q431" s="307"/>
      <c r="R431" s="61"/>
      <c r="S431" s="55"/>
      <c r="T431" s="66"/>
      <c r="U431" s="308"/>
      <c r="V431" s="309"/>
      <c r="W431" s="67"/>
      <c r="X431" s="77" t="s">
        <v>730</v>
      </c>
      <c r="Y431" s="326"/>
      <c r="Z431" s="159" t="s">
        <v>122</v>
      </c>
      <c r="AA431" s="323"/>
      <c r="AB431" s="96"/>
      <c r="AC431" s="96"/>
      <c r="AD431" s="310" t="str">
        <f>IF(Table25781014[[#This Row],[End Completed Section (km)]]="","",Table25781014[[#This Row],[End Completed Section (km)]]-Table25781014[[#This Row],[Start Completed Section (km)]])</f>
        <v/>
      </c>
      <c r="AE431" s="161"/>
      <c r="AF43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31" s="229" t="str">
        <f>IF(Table25781014[[#This Row],[Planned Date]]="","",TEXT(Table25781014[[#This Row],[Planned Date]],"mmm"))</f>
        <v/>
      </c>
      <c r="AH431" s="252" t="str">
        <f>IF(Table25781014[[#This Row],[Month]]="","",VLOOKUP(Table25781014[[#This Row],[Month]],List!$B$2:$C$13,2,FALSE))</f>
        <v/>
      </c>
    </row>
    <row r="432" spans="1:34" s="56" customFormat="1" ht="25.5" x14ac:dyDescent="0.2">
      <c r="A432" s="98" t="s">
        <v>116</v>
      </c>
      <c r="B432" s="305">
        <v>5</v>
      </c>
      <c r="C432" s="67" t="s">
        <v>5</v>
      </c>
      <c r="D432" s="59" t="s">
        <v>15</v>
      </c>
      <c r="E432" s="100" t="str">
        <f>IF(Table25781014[[#This Row],[Line Section]]="","",VLOOKUP(Table25781014[[#This Row],[Line Section]],Reference!$A$2:$B$47,2,FALSE))</f>
        <v>C139</v>
      </c>
      <c r="F432" s="157" t="s">
        <v>651</v>
      </c>
      <c r="G432" s="440"/>
      <c r="H432" s="306"/>
      <c r="I432" s="54" t="s">
        <v>95</v>
      </c>
      <c r="J432" s="60">
        <v>4.03</v>
      </c>
      <c r="K432" s="60">
        <v>4.4539999999999997</v>
      </c>
      <c r="L432" s="53">
        <f>IF(Table25781014[[#This Row],[End
(km)]]="","",Table25781014[[#This Row],[End
(km)]]-Table25781014[[#This Row],[Start
(km)]])</f>
        <v>0.42399999999999949</v>
      </c>
      <c r="M432" s="61" t="s">
        <v>126</v>
      </c>
      <c r="N432" s="59" t="s">
        <v>110</v>
      </c>
      <c r="O432" s="59" t="s">
        <v>110</v>
      </c>
      <c r="P432" s="64">
        <v>43207</v>
      </c>
      <c r="Q432" s="307">
        <v>43482</v>
      </c>
      <c r="R432" s="61" t="s">
        <v>121</v>
      </c>
      <c r="S432" s="55" t="s">
        <v>121</v>
      </c>
      <c r="T432" s="66" t="s">
        <v>122</v>
      </c>
      <c r="U432" s="308"/>
      <c r="V432" s="309"/>
      <c r="W432" s="67"/>
      <c r="X432" s="77" t="s">
        <v>716</v>
      </c>
      <c r="Y432" s="326"/>
      <c r="Z432" s="159" t="s">
        <v>122</v>
      </c>
      <c r="AA432" s="323"/>
      <c r="AB432" s="96"/>
      <c r="AC432" s="96"/>
      <c r="AD432" s="310" t="str">
        <f>IF(Table25781014[[#This Row],[End Completed Section (km)]]="","",Table25781014[[#This Row],[End Completed Section (km)]]-Table25781014[[#This Row],[Start Completed Section (km)]])</f>
        <v/>
      </c>
      <c r="AE432" s="161"/>
      <c r="AF432"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432" s="229" t="str">
        <f>IF(Table25781014[[#This Row],[Planned Date]]="","",TEXT(Table25781014[[#This Row],[Planned Date]],"mmm"))</f>
        <v>21/22</v>
      </c>
      <c r="AH432" s="252" t="e">
        <f>IF(Table25781014[[#This Row],[Month]]="","",VLOOKUP(Table25781014[[#This Row],[Month]],List!$B$2:$C$13,2,FALSE))</f>
        <v>#N/A</v>
      </c>
    </row>
    <row r="433" spans="1:34" s="56" customFormat="1" ht="89.25" x14ac:dyDescent="0.2">
      <c r="A433" s="98" t="s">
        <v>118</v>
      </c>
      <c r="B433" s="305"/>
      <c r="C433" s="67" t="s">
        <v>5</v>
      </c>
      <c r="D433" s="59" t="s">
        <v>15</v>
      </c>
      <c r="E433" s="100" t="str">
        <f>IF(Table25781014[[#This Row],[Line Section]]="","",VLOOKUP(Table25781014[[#This Row],[Line Section]],Reference!$A$2:$B$47,2,FALSE))</f>
        <v>C139</v>
      </c>
      <c r="F433" s="157"/>
      <c r="G433" s="440"/>
      <c r="H433" s="306"/>
      <c r="I433" s="54" t="s">
        <v>95</v>
      </c>
      <c r="J433" s="60">
        <v>4.5</v>
      </c>
      <c r="K433" s="60">
        <v>5</v>
      </c>
      <c r="L433" s="53">
        <f>IF(Table25781014[[#This Row],[End
(km)]]="","",Table25781014[[#This Row],[End
(km)]]-Table25781014[[#This Row],[Start
(km)]])</f>
        <v>0.5</v>
      </c>
      <c r="M433" s="61" t="s">
        <v>725</v>
      </c>
      <c r="N433" s="59"/>
      <c r="O433" s="295" t="s">
        <v>728</v>
      </c>
      <c r="P433" s="64">
        <v>43488</v>
      </c>
      <c r="Q433" s="307"/>
      <c r="R433" s="61"/>
      <c r="S433" s="55"/>
      <c r="T433" s="66"/>
      <c r="U433" s="308"/>
      <c r="V433" s="309"/>
      <c r="W433" s="67"/>
      <c r="X433" s="77" t="s">
        <v>729</v>
      </c>
      <c r="Y433" s="326"/>
      <c r="Z433" s="159" t="s">
        <v>122</v>
      </c>
      <c r="AA433" s="323"/>
      <c r="AB433" s="96"/>
      <c r="AC433" s="96"/>
      <c r="AD433" s="310" t="str">
        <f>IF(Table25781014[[#This Row],[End Completed Section (km)]]="","",Table25781014[[#This Row],[End Completed Section (km)]]-Table25781014[[#This Row],[Start Completed Section (km)]])</f>
        <v/>
      </c>
      <c r="AE433" s="161"/>
      <c r="AF43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33" s="229" t="str">
        <f>IF(Table25781014[[#This Row],[Planned Date]]="","",TEXT(Table25781014[[#This Row],[Planned Date]],"mmm"))</f>
        <v/>
      </c>
      <c r="AH433" s="252" t="str">
        <f>IF(Table25781014[[#This Row],[Month]]="","",VLOOKUP(Table25781014[[#This Row],[Month]],List!$B$2:$C$13,2,FALSE))</f>
        <v/>
      </c>
    </row>
    <row r="434" spans="1:34" s="56" customFormat="1" ht="38.25" x14ac:dyDescent="0.2">
      <c r="A434" s="98" t="s">
        <v>117</v>
      </c>
      <c r="B434" s="305"/>
      <c r="C434" s="67" t="s">
        <v>5</v>
      </c>
      <c r="D434" s="59" t="s">
        <v>15</v>
      </c>
      <c r="E434" s="100" t="str">
        <f>IF(Table25781014[[#This Row],[Line Section]]="","",VLOOKUP(Table25781014[[#This Row],[Line Section]],Reference!$A$2:$B$47,2,FALSE))</f>
        <v>C139</v>
      </c>
      <c r="F434" s="157"/>
      <c r="G434" s="440"/>
      <c r="H434" s="306"/>
      <c r="I434" s="54" t="s">
        <v>96</v>
      </c>
      <c r="J434" s="60">
        <v>4.66</v>
      </c>
      <c r="K434" s="60">
        <v>4.7300000000000004</v>
      </c>
      <c r="L434" s="53">
        <f>IF(Table25781014[[#This Row],[End
(km)]]="","",Table25781014[[#This Row],[End
(km)]]-Table25781014[[#This Row],[Start
(km)]])</f>
        <v>7.0000000000000284E-2</v>
      </c>
      <c r="M434" s="61" t="s">
        <v>126</v>
      </c>
      <c r="N434" s="59" t="s">
        <v>112</v>
      </c>
      <c r="O434" s="295" t="s">
        <v>112</v>
      </c>
      <c r="P434" s="64">
        <v>43207</v>
      </c>
      <c r="Q434" s="307">
        <v>43482</v>
      </c>
      <c r="R434" s="61" t="s">
        <v>121</v>
      </c>
      <c r="S434" s="55"/>
      <c r="T434" s="66" t="s">
        <v>122</v>
      </c>
      <c r="U434" s="308"/>
      <c r="V434" s="309"/>
      <c r="W434" s="67"/>
      <c r="X434" s="77" t="s">
        <v>714</v>
      </c>
      <c r="Y434" s="326"/>
      <c r="Z434" s="159" t="s">
        <v>122</v>
      </c>
      <c r="AA434" s="323"/>
      <c r="AB434" s="96"/>
      <c r="AC434" s="96"/>
      <c r="AD434" s="310" t="str">
        <f>IF(Table25781014[[#This Row],[End Completed Section (km)]]="","",Table25781014[[#This Row],[End Completed Section (km)]]-Table25781014[[#This Row],[Start Completed Section (km)]])</f>
        <v/>
      </c>
      <c r="AE434" s="161"/>
      <c r="AF43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34" s="229" t="str">
        <f>IF(Table25781014[[#This Row],[Planned Date]]="","",TEXT(Table25781014[[#This Row],[Planned Date]],"mmm"))</f>
        <v/>
      </c>
      <c r="AH434" s="252" t="str">
        <f>IF(Table25781014[[#This Row],[Month]]="","",VLOOKUP(Table25781014[[#This Row],[Month]],List!$B$2:$C$13,2,FALSE))</f>
        <v/>
      </c>
    </row>
    <row r="435" spans="1:34" s="56" customFormat="1" x14ac:dyDescent="0.2">
      <c r="A435" s="98" t="s">
        <v>118</v>
      </c>
      <c r="B435" s="305"/>
      <c r="C435" s="67" t="s">
        <v>5</v>
      </c>
      <c r="D435" s="59" t="s">
        <v>15</v>
      </c>
      <c r="E435" s="100" t="str">
        <f>IF(Table25781014[[#This Row],[Line Section]]="","",VLOOKUP(Table25781014[[#This Row],[Line Section]],Reference!$A$2:$B$47,2,FALSE))</f>
        <v>C139</v>
      </c>
      <c r="F435" s="157"/>
      <c r="G435" s="440"/>
      <c r="H435" s="306"/>
      <c r="I435" s="54" t="s">
        <v>95</v>
      </c>
      <c r="J435" s="60">
        <v>5</v>
      </c>
      <c r="K435" s="60">
        <v>5.35</v>
      </c>
      <c r="L435" s="53">
        <f>IF(Table25781014[[#This Row],[End
(km)]]="","",Table25781014[[#This Row],[End
(km)]]-Table25781014[[#This Row],[Start
(km)]])</f>
        <v>0.34999999999999964</v>
      </c>
      <c r="M435" s="61" t="s">
        <v>126</v>
      </c>
      <c r="N435" s="59" t="s">
        <v>113</v>
      </c>
      <c r="O435" s="295" t="s">
        <v>110</v>
      </c>
      <c r="P435" s="64">
        <v>43243</v>
      </c>
      <c r="Q435" s="307">
        <v>43483</v>
      </c>
      <c r="R435" s="57"/>
      <c r="S435" s="55"/>
      <c r="T435" s="66"/>
      <c r="U435" s="308"/>
      <c r="V435" s="309"/>
      <c r="W435" s="67"/>
      <c r="X435" s="77"/>
      <c r="Y435" s="326"/>
      <c r="Z435" s="159" t="s">
        <v>122</v>
      </c>
      <c r="AA435" s="323"/>
      <c r="AB435" s="96"/>
      <c r="AC435" s="96"/>
      <c r="AD435" s="310" t="str">
        <f>IF(Table25781014[[#This Row],[End Completed Section (km)]]="","",Table25781014[[#This Row],[End Completed Section (km)]]-Table25781014[[#This Row],[Start Completed Section (km)]])</f>
        <v/>
      </c>
      <c r="AE435" s="161"/>
      <c r="AF43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35" s="229" t="str">
        <f>IF(Table25781014[[#This Row],[Planned Date]]="","",TEXT(Table25781014[[#This Row],[Planned Date]],"mmm"))</f>
        <v/>
      </c>
      <c r="AH435" s="252" t="str">
        <f>IF(Table25781014[[#This Row],[Month]]="","",VLOOKUP(Table25781014[[#This Row],[Month]],List!$B$2:$C$13,2,FALSE))</f>
        <v/>
      </c>
    </row>
    <row r="436" spans="1:34" s="56" customFormat="1" ht="25.5" x14ac:dyDescent="0.2">
      <c r="A436" s="98" t="s">
        <v>118</v>
      </c>
      <c r="B436" s="80"/>
      <c r="C436" s="67" t="s">
        <v>5</v>
      </c>
      <c r="D436" s="59" t="s">
        <v>15</v>
      </c>
      <c r="E436" s="100" t="str">
        <f>IF(Table25781014[[#This Row],[Line Section]]="","",VLOOKUP(Table25781014[[#This Row],[Line Section]],Reference!$A$2:$B$47,2,FALSE))</f>
        <v>C139</v>
      </c>
      <c r="F436" s="157">
        <v>43296</v>
      </c>
      <c r="G436" s="440"/>
      <c r="H436" s="247"/>
      <c r="I436" s="54" t="s">
        <v>96</v>
      </c>
      <c r="J436" s="43">
        <v>5.6</v>
      </c>
      <c r="K436" s="43">
        <v>5.78</v>
      </c>
      <c r="L436" s="53">
        <f>IF(Table25781014[[#This Row],[End
(km)]]="","",Table25781014[[#This Row],[End
(km)]]-Table25781014[[#This Row],[Start
(km)]])</f>
        <v>0.1800000000000006</v>
      </c>
      <c r="M436" s="61" t="s">
        <v>126</v>
      </c>
      <c r="N436" s="59" t="s">
        <v>113</v>
      </c>
      <c r="O436" s="295"/>
      <c r="P436" s="64">
        <v>43207</v>
      </c>
      <c r="Q436" s="71">
        <v>43250</v>
      </c>
      <c r="R436" s="61" t="s">
        <v>121</v>
      </c>
      <c r="S436" s="55" t="s">
        <v>121</v>
      </c>
      <c r="T436" s="66" t="s">
        <v>122</v>
      </c>
      <c r="U436" s="66"/>
      <c r="V436" s="269"/>
      <c r="W436" s="67"/>
      <c r="X436" s="77" t="s">
        <v>240</v>
      </c>
      <c r="Y436" s="402"/>
      <c r="Z436" s="159" t="s">
        <v>121</v>
      </c>
      <c r="AA436" s="281"/>
      <c r="AB436" s="96">
        <v>5.6</v>
      </c>
      <c r="AC436" s="96">
        <v>5.78</v>
      </c>
      <c r="AD436" s="227">
        <f>IF(Table25781014[[#This Row],[End Completed Section (km)]]="","",Table25781014[[#This Row],[End Completed Section (km)]]-Table25781014[[#This Row],[Start Completed Section (km)]])</f>
        <v>0.1800000000000006</v>
      </c>
      <c r="AE436" s="161">
        <v>43296</v>
      </c>
      <c r="AF43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436" s="229" t="str">
        <f>IF(Table25781014[[#This Row],[Planned Date]]="","",TEXT(Table25781014[[#This Row],[Planned Date]],"mmm"))</f>
        <v>Jul</v>
      </c>
      <c r="AH436" s="56">
        <f>IF(Table25781014[[#This Row],[Month]]="","",VLOOKUP(Table25781014[[#This Row],[Month]],List!$B$2:$C$13,2,FALSE))</f>
        <v>1</v>
      </c>
    </row>
    <row r="437" spans="1:34" s="56" customFormat="1" ht="25.5" x14ac:dyDescent="0.2">
      <c r="A437" s="98" t="s">
        <v>118</v>
      </c>
      <c r="B437" s="305"/>
      <c r="C437" s="67" t="s">
        <v>5</v>
      </c>
      <c r="D437" s="59" t="s">
        <v>15</v>
      </c>
      <c r="E437" s="100" t="str">
        <f>IF(Table25781014[[#This Row],[Line Section]]="","",VLOOKUP(Table25781014[[#This Row],[Line Section]],Reference!$A$2:$B$47,2,FALSE))</f>
        <v>C139</v>
      </c>
      <c r="F437" s="157"/>
      <c r="G437" s="440"/>
      <c r="H437" s="306"/>
      <c r="I437" s="54" t="s">
        <v>96</v>
      </c>
      <c r="J437" s="60">
        <v>5.6</v>
      </c>
      <c r="K437" s="60">
        <v>5.63</v>
      </c>
      <c r="L437" s="53">
        <f>IF(Table25781014[[#This Row],[End
(km)]]="","",Table25781014[[#This Row],[End
(km)]]-Table25781014[[#This Row],[Start
(km)]])</f>
        <v>3.0000000000000249E-2</v>
      </c>
      <c r="M437" s="61" t="s">
        <v>126</v>
      </c>
      <c r="N437" s="59" t="s">
        <v>113</v>
      </c>
      <c r="O437" s="295" t="s">
        <v>112</v>
      </c>
      <c r="P437" s="64">
        <v>43207</v>
      </c>
      <c r="Q437" s="307">
        <v>43482</v>
      </c>
      <c r="R437" s="61" t="s">
        <v>121</v>
      </c>
      <c r="S437" s="55"/>
      <c r="T437" s="66" t="s">
        <v>122</v>
      </c>
      <c r="U437" s="308"/>
      <c r="V437" s="309"/>
      <c r="W437" s="67"/>
      <c r="X437" s="77" t="s">
        <v>136</v>
      </c>
      <c r="Y437" s="326"/>
      <c r="Z437" s="159" t="s">
        <v>122</v>
      </c>
      <c r="AA437" s="323"/>
      <c r="AB437" s="96"/>
      <c r="AC437" s="96"/>
      <c r="AD437" s="310" t="str">
        <f>IF(Table25781014[[#This Row],[End Completed Section (km)]]="","",Table25781014[[#This Row],[End Completed Section (km)]]-Table25781014[[#This Row],[Start Completed Section (km)]])</f>
        <v/>
      </c>
      <c r="AE437" s="161"/>
      <c r="AF43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37" s="229" t="str">
        <f>IF(Table25781014[[#This Row],[Planned Date]]="","",TEXT(Table25781014[[#This Row],[Planned Date]],"mmm"))</f>
        <v/>
      </c>
      <c r="AH437" s="252" t="str">
        <f>IF(Table25781014[[#This Row],[Month]]="","",VLOOKUP(Table25781014[[#This Row],[Month]],List!$B$2:$C$13,2,FALSE))</f>
        <v/>
      </c>
    </row>
    <row r="438" spans="1:34" s="56" customFormat="1" ht="25.5" x14ac:dyDescent="0.2">
      <c r="A438" s="98" t="s">
        <v>117</v>
      </c>
      <c r="B438" s="305"/>
      <c r="C438" s="67" t="s">
        <v>5</v>
      </c>
      <c r="D438" s="59" t="s">
        <v>15</v>
      </c>
      <c r="E438" s="100" t="str">
        <f>IF(Table25781014[[#This Row],[Line Section]]="","",VLOOKUP(Table25781014[[#This Row],[Line Section]],Reference!$A$2:$B$47,2,FALSE))</f>
        <v>C139</v>
      </c>
      <c r="F438" s="157"/>
      <c r="G438" s="440"/>
      <c r="H438" s="306"/>
      <c r="I438" s="54" t="s">
        <v>95</v>
      </c>
      <c r="J438" s="60">
        <v>6</v>
      </c>
      <c r="K438" s="60">
        <v>6.38</v>
      </c>
      <c r="L438" s="53">
        <f>IF(Table25781014[[#This Row],[End
(km)]]="","",Table25781014[[#This Row],[End
(km)]]-Table25781014[[#This Row],[Start
(km)]])</f>
        <v>0.37999999999999989</v>
      </c>
      <c r="M438" s="61" t="s">
        <v>126</v>
      </c>
      <c r="N438" s="59" t="s">
        <v>113</v>
      </c>
      <c r="O438" s="295" t="s">
        <v>113</v>
      </c>
      <c r="P438" s="64">
        <v>43483</v>
      </c>
      <c r="Q438" s="307">
        <v>43488</v>
      </c>
      <c r="R438" s="61" t="s">
        <v>121</v>
      </c>
      <c r="S438" s="55"/>
      <c r="T438" s="66"/>
      <c r="U438" s="308"/>
      <c r="V438" s="309"/>
      <c r="W438" s="67" t="s">
        <v>717</v>
      </c>
      <c r="X438" s="77" t="s">
        <v>731</v>
      </c>
      <c r="Y438" s="327"/>
      <c r="Z438" s="159" t="s">
        <v>122</v>
      </c>
      <c r="AA438" s="323"/>
      <c r="AB438" s="96"/>
      <c r="AC438" s="96"/>
      <c r="AD438" s="310" t="str">
        <f>IF(Table25781014[[#This Row],[End Completed Section (km)]]="","",Table25781014[[#This Row],[End Completed Section (km)]]-Table25781014[[#This Row],[Start Completed Section (km)]])</f>
        <v/>
      </c>
      <c r="AE438" s="161"/>
      <c r="AF43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38" s="229" t="str">
        <f>IF(Table25781014[[#This Row],[Planned Date]]="","",TEXT(Table25781014[[#This Row],[Planned Date]],"mmm"))</f>
        <v/>
      </c>
      <c r="AH438" s="252" t="str">
        <f>IF(Table25781014[[#This Row],[Month]]="","",VLOOKUP(Table25781014[[#This Row],[Month]],List!$B$2:$C$13,2,FALSE))</f>
        <v/>
      </c>
    </row>
    <row r="439" spans="1:34" s="56" customFormat="1" ht="38.25" x14ac:dyDescent="0.2">
      <c r="A439" s="98" t="s">
        <v>116</v>
      </c>
      <c r="B439" s="305"/>
      <c r="C439" s="67" t="s">
        <v>5</v>
      </c>
      <c r="D439" s="59" t="s">
        <v>15</v>
      </c>
      <c r="E439" s="100" t="str">
        <f>IF(Table25781014[[#This Row],[Line Section]]="","",VLOOKUP(Table25781014[[#This Row],[Line Section]],Reference!$A$2:$B$47,2,FALSE))</f>
        <v>C139</v>
      </c>
      <c r="F439" s="157"/>
      <c r="G439" s="440"/>
      <c r="H439" s="306"/>
      <c r="I439" s="54" t="s">
        <v>96</v>
      </c>
      <c r="J439" s="60">
        <v>7.12</v>
      </c>
      <c r="K439" s="60">
        <v>7.4</v>
      </c>
      <c r="L439" s="53">
        <f>IF(Table25781014[[#This Row],[End
(km)]]="","",Table25781014[[#This Row],[End
(km)]]-Table25781014[[#This Row],[Start
(km)]])</f>
        <v>0.28000000000000025</v>
      </c>
      <c r="M439" s="61" t="s">
        <v>145</v>
      </c>
      <c r="N439" s="59" t="s">
        <v>112</v>
      </c>
      <c r="O439" s="295"/>
      <c r="P439" s="64">
        <v>43207</v>
      </c>
      <c r="Q439" s="307"/>
      <c r="R439" s="61" t="s">
        <v>121</v>
      </c>
      <c r="S439" s="55" t="s">
        <v>121</v>
      </c>
      <c r="T439" s="66" t="s">
        <v>121</v>
      </c>
      <c r="U439" s="308"/>
      <c r="V439" s="309"/>
      <c r="W439" s="67" t="s">
        <v>160</v>
      </c>
      <c r="X439" s="77" t="s">
        <v>368</v>
      </c>
      <c r="Y439" s="327" t="s">
        <v>369</v>
      </c>
      <c r="Z439" s="159" t="s">
        <v>233</v>
      </c>
      <c r="AA439" s="323"/>
      <c r="AB439" s="96"/>
      <c r="AC439" s="96"/>
      <c r="AD439" s="310" t="str">
        <f>IF(Table25781014[[#This Row],[End Completed Section (km)]]="","",Table25781014[[#This Row],[End Completed Section (km)]]-Table25781014[[#This Row],[Start Completed Section (km)]])</f>
        <v/>
      </c>
      <c r="AE439" s="161"/>
      <c r="AF43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39" s="229" t="str">
        <f>IF(Table25781014[[#This Row],[Planned Date]]="","",TEXT(Table25781014[[#This Row],[Planned Date]],"mmm"))</f>
        <v/>
      </c>
      <c r="AH439" s="252" t="str">
        <f>IF(Table25781014[[#This Row],[Month]]="","",VLOOKUP(Table25781014[[#This Row],[Month]],List!$B$2:$C$13,2,FALSE))</f>
        <v/>
      </c>
    </row>
    <row r="440" spans="1:34" s="56" customFormat="1" ht="38.25" x14ac:dyDescent="0.2">
      <c r="A440" s="98" t="s">
        <v>116</v>
      </c>
      <c r="B440" s="305">
        <v>4</v>
      </c>
      <c r="C440" s="67" t="s">
        <v>5</v>
      </c>
      <c r="D440" s="59" t="s">
        <v>15</v>
      </c>
      <c r="E440" s="100" t="str">
        <f>IF(Table25781014[[#This Row],[Line Section]]="","",VLOOKUP(Table25781014[[#This Row],[Line Section]],Reference!$A$2:$B$47,2,FALSE))</f>
        <v>C139</v>
      </c>
      <c r="F440" s="157" t="s">
        <v>651</v>
      </c>
      <c r="G440" s="440"/>
      <c r="H440" s="306"/>
      <c r="I440" s="54" t="s">
        <v>95</v>
      </c>
      <c r="J440" s="43">
        <v>7.17</v>
      </c>
      <c r="K440" s="43">
        <v>7.27</v>
      </c>
      <c r="L440" s="53">
        <f>IF(Table25781014[[#This Row],[End
(km)]]="","",Table25781014[[#This Row],[End
(km)]]-Table25781014[[#This Row],[Start
(km)]])</f>
        <v>9.9999999999999645E-2</v>
      </c>
      <c r="M440" s="61" t="s">
        <v>126</v>
      </c>
      <c r="N440" s="59" t="s">
        <v>113</v>
      </c>
      <c r="O440" s="295" t="s">
        <v>110</v>
      </c>
      <c r="P440" s="64">
        <v>43207</v>
      </c>
      <c r="Q440" s="307">
        <v>43483</v>
      </c>
      <c r="R440" s="61" t="s">
        <v>121</v>
      </c>
      <c r="S440" s="55"/>
      <c r="T440" s="66" t="s">
        <v>122</v>
      </c>
      <c r="U440" s="308"/>
      <c r="V440" s="309"/>
      <c r="W440" s="67"/>
      <c r="X440" s="77" t="s">
        <v>238</v>
      </c>
      <c r="Y440" s="326"/>
      <c r="Z440" s="159" t="s">
        <v>122</v>
      </c>
      <c r="AA440" s="323"/>
      <c r="AB440" s="96"/>
      <c r="AC440" s="96"/>
      <c r="AD440" s="310" t="str">
        <f>IF(Table25781014[[#This Row],[End Completed Section (km)]]="","",Table25781014[[#This Row],[End Completed Section (km)]]-Table25781014[[#This Row],[Start Completed Section (km)]])</f>
        <v/>
      </c>
      <c r="AE440" s="161"/>
      <c r="AF440"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440" s="229" t="str">
        <f>IF(Table25781014[[#This Row],[Planned Date]]="","",TEXT(Table25781014[[#This Row],[Planned Date]],"mmm"))</f>
        <v>21/22</v>
      </c>
      <c r="AH440" s="252" t="e">
        <f>IF(Table25781014[[#This Row],[Month]]="","",VLOOKUP(Table25781014[[#This Row],[Month]],List!$B$2:$C$13,2,FALSE))</f>
        <v>#N/A</v>
      </c>
    </row>
    <row r="441" spans="1:34" s="56" customFormat="1" x14ac:dyDescent="0.2">
      <c r="A441" s="98" t="s">
        <v>117</v>
      </c>
      <c r="B441" s="305"/>
      <c r="C441" s="67" t="s">
        <v>5</v>
      </c>
      <c r="D441" s="59" t="s">
        <v>15</v>
      </c>
      <c r="E441" s="100" t="str">
        <f>IF(Table25781014[[#This Row],[Line Section]]="","",VLOOKUP(Table25781014[[#This Row],[Line Section]],Reference!$A$2:$B$47,2,FALSE))</f>
        <v>C139</v>
      </c>
      <c r="F441" s="157"/>
      <c r="G441" s="440"/>
      <c r="H441" s="306"/>
      <c r="I441" s="54" t="s">
        <v>96</v>
      </c>
      <c r="J441" s="43">
        <v>7.97</v>
      </c>
      <c r="K441" s="43">
        <v>8.49</v>
      </c>
      <c r="L441" s="53">
        <f>IF(Table25781014[[#This Row],[End
(km)]]="","",Table25781014[[#This Row],[End
(km)]]-Table25781014[[#This Row],[Start
(km)]])</f>
        <v>0.52000000000000046</v>
      </c>
      <c r="M441" s="61" t="s">
        <v>126</v>
      </c>
      <c r="N441" s="59" t="s">
        <v>113</v>
      </c>
      <c r="O441" s="295" t="s">
        <v>113</v>
      </c>
      <c r="P441" s="64">
        <v>43482</v>
      </c>
      <c r="Q441" s="307"/>
      <c r="R441" s="61"/>
      <c r="S441" s="55"/>
      <c r="T441" s="66"/>
      <c r="U441" s="308"/>
      <c r="V441" s="309"/>
      <c r="W441" s="67"/>
      <c r="X441" s="77" t="s">
        <v>715</v>
      </c>
      <c r="Y441" s="326"/>
      <c r="Z441" s="159" t="s">
        <v>122</v>
      </c>
      <c r="AA441" s="323"/>
      <c r="AB441" s="96"/>
      <c r="AC441" s="96"/>
      <c r="AD441" s="310" t="str">
        <f>IF(Table25781014[[#This Row],[End Completed Section (km)]]="","",Table25781014[[#This Row],[End Completed Section (km)]]-Table25781014[[#This Row],[Start Completed Section (km)]])</f>
        <v/>
      </c>
      <c r="AE441" s="161"/>
      <c r="AF44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41" s="229" t="str">
        <f>IF(Table25781014[[#This Row],[Planned Date]]="","",TEXT(Table25781014[[#This Row],[Planned Date]],"mmm"))</f>
        <v/>
      </c>
      <c r="AH441" s="252" t="str">
        <f>IF(Table25781014[[#This Row],[Month]]="","",VLOOKUP(Table25781014[[#This Row],[Month]],List!$B$2:$C$13,2,FALSE))</f>
        <v/>
      </c>
    </row>
    <row r="442" spans="1:34" s="56" customFormat="1" x14ac:dyDescent="0.2">
      <c r="A442" s="98" t="s">
        <v>117</v>
      </c>
      <c r="B442" s="305"/>
      <c r="C442" s="67" t="s">
        <v>5</v>
      </c>
      <c r="D442" s="59" t="s">
        <v>15</v>
      </c>
      <c r="E442" s="100" t="str">
        <f>IF(Table25781014[[#This Row],[Line Section]]="","",VLOOKUP(Table25781014[[#This Row],[Line Section]],Reference!$A$2:$B$47,2,FALSE))</f>
        <v>C139</v>
      </c>
      <c r="F442" s="157"/>
      <c r="G442" s="440"/>
      <c r="H442" s="306"/>
      <c r="I442" s="54" t="s">
        <v>95</v>
      </c>
      <c r="J442" s="43">
        <v>8.17</v>
      </c>
      <c r="K442" s="43">
        <v>8.3000000000000007</v>
      </c>
      <c r="L442" s="53">
        <f>IF(Table25781014[[#This Row],[End
(km)]]="","",Table25781014[[#This Row],[End
(km)]]-Table25781014[[#This Row],[Start
(km)]])</f>
        <v>0.13000000000000078</v>
      </c>
      <c r="M442" s="61" t="s">
        <v>126</v>
      </c>
      <c r="N442" s="59" t="s">
        <v>113</v>
      </c>
      <c r="O442" s="295" t="s">
        <v>113</v>
      </c>
      <c r="P442" s="64">
        <v>43488</v>
      </c>
      <c r="Q442" s="307"/>
      <c r="R442" s="61" t="s">
        <v>121</v>
      </c>
      <c r="S442" s="55"/>
      <c r="T442" s="66"/>
      <c r="U442" s="308"/>
      <c r="V442" s="309"/>
      <c r="W442" s="67"/>
      <c r="X442" s="77" t="s">
        <v>733</v>
      </c>
      <c r="Y442" s="326"/>
      <c r="Z442" s="159" t="s">
        <v>122</v>
      </c>
      <c r="AA442" s="323"/>
      <c r="AB442" s="96"/>
      <c r="AC442" s="96"/>
      <c r="AD442" s="310" t="str">
        <f>IF(Table25781014[[#This Row],[End Completed Section (km)]]="","",Table25781014[[#This Row],[End Completed Section (km)]]-Table25781014[[#This Row],[Start Completed Section (km)]])</f>
        <v/>
      </c>
      <c r="AE442" s="161"/>
      <c r="AF44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42" s="229" t="str">
        <f>IF(Table25781014[[#This Row],[Planned Date]]="","",TEXT(Table25781014[[#This Row],[Planned Date]],"mmm"))</f>
        <v/>
      </c>
      <c r="AH442" s="252" t="str">
        <f>IF(Table25781014[[#This Row],[Month]]="","",VLOOKUP(Table25781014[[#This Row],[Month]],List!$B$2:$C$13,2,FALSE))</f>
        <v/>
      </c>
    </row>
    <row r="443" spans="1:34" s="56" customFormat="1" x14ac:dyDescent="0.2">
      <c r="A443" s="98" t="s">
        <v>116</v>
      </c>
      <c r="B443" s="305"/>
      <c r="C443" s="67" t="s">
        <v>5</v>
      </c>
      <c r="D443" s="59" t="s">
        <v>15</v>
      </c>
      <c r="E443" s="100" t="str">
        <f>IF(Table25781014[[#This Row],[Line Section]]="","",VLOOKUP(Table25781014[[#This Row],[Line Section]],Reference!$A$2:$B$47,2,FALSE))</f>
        <v>C139</v>
      </c>
      <c r="F443" s="157">
        <v>43296</v>
      </c>
      <c r="G443" s="440"/>
      <c r="H443" s="306"/>
      <c r="I443" s="54" t="s">
        <v>95</v>
      </c>
      <c r="J443" s="43">
        <v>8.3000000000000007</v>
      </c>
      <c r="K443" s="43">
        <v>8.48</v>
      </c>
      <c r="L443" s="53">
        <f>IF(Table25781014[[#This Row],[End
(km)]]="","",Table25781014[[#This Row],[End
(km)]]-Table25781014[[#This Row],[Start
(km)]])</f>
        <v>0.17999999999999972</v>
      </c>
      <c r="M443" s="61" t="s">
        <v>126</v>
      </c>
      <c r="N443" s="59" t="s">
        <v>277</v>
      </c>
      <c r="O443" s="295"/>
      <c r="P443" s="64">
        <v>43488</v>
      </c>
      <c r="Q443" s="307"/>
      <c r="R443" s="61"/>
      <c r="S443" s="55"/>
      <c r="T443" s="66"/>
      <c r="U443" s="308"/>
      <c r="V443" s="309"/>
      <c r="W443" s="67"/>
      <c r="X443" s="77"/>
      <c r="Y443" s="326"/>
      <c r="Z443" s="159" t="s">
        <v>556</v>
      </c>
      <c r="AA443" s="323"/>
      <c r="AB443" s="96">
        <v>8.3000000000000007</v>
      </c>
      <c r="AC443" s="96">
        <v>8.48</v>
      </c>
      <c r="AD443" s="310">
        <f>IF(Table25781014[[#This Row],[End Completed Section (km)]]="","",Table25781014[[#This Row],[End Completed Section (km)]]-Table25781014[[#This Row],[Start Completed Section (km)]])</f>
        <v>0.17999999999999972</v>
      </c>
      <c r="AE443" s="161">
        <v>43296</v>
      </c>
      <c r="AF44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443" s="229" t="str">
        <f>IF(Table25781014[[#This Row],[Planned Date]]="","",TEXT(Table25781014[[#This Row],[Planned Date]],"mmm"))</f>
        <v>Jul</v>
      </c>
      <c r="AH443" s="252">
        <f>IF(Table25781014[[#This Row],[Month]]="","",VLOOKUP(Table25781014[[#This Row],[Month]],List!$B$2:$C$13,2,FALSE))</f>
        <v>1</v>
      </c>
    </row>
    <row r="444" spans="1:34" s="56" customFormat="1" ht="63.75" x14ac:dyDescent="0.2">
      <c r="A444" s="98" t="s">
        <v>116</v>
      </c>
      <c r="B444" s="305"/>
      <c r="C444" s="67" t="s">
        <v>5</v>
      </c>
      <c r="D444" s="59" t="s">
        <v>15</v>
      </c>
      <c r="E444" s="100" t="str">
        <f>IF(Table25781014[[#This Row],[Line Section]]="","",VLOOKUP(Table25781014[[#This Row],[Line Section]],Reference!$A$2:$B$47,2,FALSE))</f>
        <v>C139</v>
      </c>
      <c r="F444" s="157"/>
      <c r="G444" s="440"/>
      <c r="H444" s="306"/>
      <c r="I444" s="54" t="s">
        <v>95</v>
      </c>
      <c r="J444" s="43">
        <v>8.5</v>
      </c>
      <c r="K444" s="43">
        <v>8.66</v>
      </c>
      <c r="L444" s="53">
        <f>IF(Table25781014[[#This Row],[End
(km)]]="","",Table25781014[[#This Row],[End
(km)]]-Table25781014[[#This Row],[Start
(km)]])</f>
        <v>0.16000000000000014</v>
      </c>
      <c r="M444" s="61" t="s">
        <v>126</v>
      </c>
      <c r="N444" s="59" t="s">
        <v>113</v>
      </c>
      <c r="O444" s="295" t="s">
        <v>113</v>
      </c>
      <c r="P444" s="64">
        <v>43207</v>
      </c>
      <c r="Q444" s="307">
        <v>43250</v>
      </c>
      <c r="R444" s="61" t="s">
        <v>121</v>
      </c>
      <c r="S444" s="55"/>
      <c r="T444" s="66" t="s">
        <v>122</v>
      </c>
      <c r="U444" s="308"/>
      <c r="V444" s="309"/>
      <c r="W444" s="67" t="s">
        <v>157</v>
      </c>
      <c r="X444" s="77" t="s">
        <v>727</v>
      </c>
      <c r="Y444" s="326"/>
      <c r="Z444" s="159" t="s">
        <v>139</v>
      </c>
      <c r="AA444" s="323"/>
      <c r="AB444" s="96"/>
      <c r="AC444" s="96"/>
      <c r="AD444" s="310" t="str">
        <f>IF(Table25781014[[#This Row],[End Completed Section (km)]]="","",Table25781014[[#This Row],[End Completed Section (km)]]-Table25781014[[#This Row],[Start Completed Section (km)]])</f>
        <v/>
      </c>
      <c r="AE444" s="161"/>
      <c r="AF44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44" s="229" t="str">
        <f>IF(Table25781014[[#This Row],[Planned Date]]="","",TEXT(Table25781014[[#This Row],[Planned Date]],"mmm"))</f>
        <v/>
      </c>
      <c r="AH444" s="252" t="str">
        <f>IF(Table25781014[[#This Row],[Month]]="","",VLOOKUP(Table25781014[[#This Row],[Month]],List!$B$2:$C$13,2,FALSE))</f>
        <v/>
      </c>
    </row>
    <row r="445" spans="1:34" s="56" customFormat="1" x14ac:dyDescent="0.2">
      <c r="A445" s="98" t="s">
        <v>732</v>
      </c>
      <c r="B445" s="305"/>
      <c r="C445" s="67" t="s">
        <v>5</v>
      </c>
      <c r="D445" s="59" t="s">
        <v>15</v>
      </c>
      <c r="E445" s="100" t="str">
        <f>IF(Table25781014[[#This Row],[Line Section]]="","",VLOOKUP(Table25781014[[#This Row],[Line Section]],Reference!$A$2:$B$47,2,FALSE))</f>
        <v>C139</v>
      </c>
      <c r="F445" s="157">
        <v>43296</v>
      </c>
      <c r="G445" s="440"/>
      <c r="H445" s="306"/>
      <c r="I445" s="54" t="s">
        <v>95</v>
      </c>
      <c r="J445" s="43">
        <v>8.67</v>
      </c>
      <c r="K445" s="43">
        <v>9</v>
      </c>
      <c r="L445" s="53">
        <f>IF(Table25781014[[#This Row],[End
(km)]]="","",Table25781014[[#This Row],[End
(km)]]-Table25781014[[#This Row],[Start
(km)]])</f>
        <v>0.33000000000000007</v>
      </c>
      <c r="M445" s="61" t="s">
        <v>126</v>
      </c>
      <c r="N445" s="59" t="s">
        <v>277</v>
      </c>
      <c r="O445" s="295"/>
      <c r="P445" s="64">
        <v>43488</v>
      </c>
      <c r="Q445" s="307"/>
      <c r="R445" s="61"/>
      <c r="S445" s="55"/>
      <c r="T445" s="66"/>
      <c r="U445" s="308"/>
      <c r="V445" s="309"/>
      <c r="W445" s="67"/>
      <c r="X445" s="77"/>
      <c r="Y445" s="326"/>
      <c r="Z445" s="159" t="s">
        <v>556</v>
      </c>
      <c r="AA445" s="323"/>
      <c r="AB445" s="96">
        <v>8.67</v>
      </c>
      <c r="AC445" s="96">
        <v>9</v>
      </c>
      <c r="AD445" s="310">
        <f>IF(Table25781014[[#This Row],[End Completed Section (km)]]="","",Table25781014[[#This Row],[End Completed Section (km)]]-Table25781014[[#This Row],[Start Completed Section (km)]])</f>
        <v>0.33000000000000007</v>
      </c>
      <c r="AE445" s="161">
        <v>43296</v>
      </c>
      <c r="AF44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445" s="229" t="str">
        <f>IF(Table25781014[[#This Row],[Planned Date]]="","",TEXT(Table25781014[[#This Row],[Planned Date]],"mmm"))</f>
        <v>Jul</v>
      </c>
      <c r="AH445" s="252">
        <f>IF(Table25781014[[#This Row],[Month]]="","",VLOOKUP(Table25781014[[#This Row],[Month]],List!$B$2:$C$13,2,FALSE))</f>
        <v>1</v>
      </c>
    </row>
    <row r="446" spans="1:34" s="56" customFormat="1" ht="89.25" x14ac:dyDescent="0.2">
      <c r="A446" s="98" t="s">
        <v>117</v>
      </c>
      <c r="B446" s="80"/>
      <c r="C446" s="67" t="s">
        <v>5</v>
      </c>
      <c r="D446" s="59" t="s">
        <v>15</v>
      </c>
      <c r="E446" s="100" t="str">
        <f>IF(Table25781014[[#This Row],[Line Section]]="","",VLOOKUP(Table25781014[[#This Row],[Line Section]],Reference!$A$2:$B$47,2,FALSE))</f>
        <v>C139</v>
      </c>
      <c r="F446" s="157">
        <v>43296</v>
      </c>
      <c r="G446" s="440"/>
      <c r="H446" s="247"/>
      <c r="I446" s="54" t="s">
        <v>95</v>
      </c>
      <c r="J446" s="43">
        <v>9.35</v>
      </c>
      <c r="K446" s="43">
        <v>9.42</v>
      </c>
      <c r="L446" s="53">
        <f>IF(Table25781014[[#This Row],[End
(km)]]="","",Table25781014[[#This Row],[End
(km)]]-Table25781014[[#This Row],[Start
(km)]])</f>
        <v>7.0000000000000284E-2</v>
      </c>
      <c r="M446" s="61" t="s">
        <v>126</v>
      </c>
      <c r="N446" s="59" t="s">
        <v>110</v>
      </c>
      <c r="O446" s="295"/>
      <c r="P446" s="64">
        <v>43207</v>
      </c>
      <c r="Q446" s="71">
        <v>43250</v>
      </c>
      <c r="R446" s="61" t="s">
        <v>121</v>
      </c>
      <c r="S446" s="55" t="s">
        <v>121</v>
      </c>
      <c r="T446" s="66" t="s">
        <v>121</v>
      </c>
      <c r="U446" s="66"/>
      <c r="V446" s="269"/>
      <c r="W446" s="67"/>
      <c r="X446" s="77" t="s">
        <v>239</v>
      </c>
      <c r="Y446" s="402"/>
      <c r="Z446" s="159" t="s">
        <v>121</v>
      </c>
      <c r="AA446" s="281"/>
      <c r="AB446" s="96">
        <v>9.35</v>
      </c>
      <c r="AC446" s="96">
        <v>9.42</v>
      </c>
      <c r="AD446" s="227">
        <f>IF(Table25781014[[#This Row],[End Completed Section (km)]]="","",Table25781014[[#This Row],[End Completed Section (km)]]-Table25781014[[#This Row],[Start Completed Section (km)]])</f>
        <v>7.0000000000000284E-2</v>
      </c>
      <c r="AE446" s="161">
        <v>43295</v>
      </c>
      <c r="AF44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446" s="229" t="str">
        <f>IF(Table25781014[[#This Row],[Planned Date]]="","",TEXT(Table25781014[[#This Row],[Planned Date]],"mmm"))</f>
        <v>Jul</v>
      </c>
      <c r="AH446" s="56">
        <f>IF(Table25781014[[#This Row],[Month]]="","",VLOOKUP(Table25781014[[#This Row],[Month]],List!$B$2:$C$13,2,FALSE))</f>
        <v>1</v>
      </c>
    </row>
    <row r="447" spans="1:34" s="56" customFormat="1" ht="38.25" x14ac:dyDescent="0.2">
      <c r="A447" s="98" t="s">
        <v>118</v>
      </c>
      <c r="B447" s="305"/>
      <c r="C447" s="67" t="s">
        <v>5</v>
      </c>
      <c r="D447" s="59" t="s">
        <v>15</v>
      </c>
      <c r="E447" s="100" t="str">
        <f>IF(Table25781014[[#This Row],[Line Section]]="","",VLOOKUP(Table25781014[[#This Row],[Line Section]],Reference!$A$2:$B$47,2,FALSE))</f>
        <v>C139</v>
      </c>
      <c r="F447" s="157"/>
      <c r="G447" s="440"/>
      <c r="H447" s="306"/>
      <c r="I447" s="54" t="s">
        <v>96</v>
      </c>
      <c r="J447" s="60">
        <v>9.42</v>
      </c>
      <c r="K447" s="60">
        <v>9.49</v>
      </c>
      <c r="L447" s="53">
        <f>IF(Table25781014[[#This Row],[End
(km)]]="","",Table25781014[[#This Row],[End
(km)]]-Table25781014[[#This Row],[Start
(km)]])</f>
        <v>7.0000000000000284E-2</v>
      </c>
      <c r="M447" s="61" t="s">
        <v>126</v>
      </c>
      <c r="N447" s="59" t="s">
        <v>112</v>
      </c>
      <c r="O447" s="295" t="s">
        <v>113</v>
      </c>
      <c r="P447" s="64">
        <v>43207</v>
      </c>
      <c r="Q447" s="307">
        <v>43482</v>
      </c>
      <c r="R447" s="61" t="s">
        <v>121</v>
      </c>
      <c r="S447" s="55"/>
      <c r="T447" s="66" t="s">
        <v>122</v>
      </c>
      <c r="U447" s="308"/>
      <c r="V447" s="309"/>
      <c r="W447" s="67" t="s">
        <v>159</v>
      </c>
      <c r="X447" s="77" t="s">
        <v>235</v>
      </c>
      <c r="Y447" s="326"/>
      <c r="Z447" s="159" t="s">
        <v>122</v>
      </c>
      <c r="AA447" s="323"/>
      <c r="AB447" s="96"/>
      <c r="AC447" s="96"/>
      <c r="AD447" s="310" t="str">
        <f>IF(Table25781014[[#This Row],[End Completed Section (km)]]="","",Table25781014[[#This Row],[End Completed Section (km)]]-Table25781014[[#This Row],[Start Completed Section (km)]])</f>
        <v/>
      </c>
      <c r="AE447" s="161"/>
      <c r="AF44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47" s="229" t="str">
        <f>IF(Table25781014[[#This Row],[Planned Date]]="","",TEXT(Table25781014[[#This Row],[Planned Date]],"mmm"))</f>
        <v/>
      </c>
      <c r="AH447" s="252" t="str">
        <f>IF(Table25781014[[#This Row],[Month]]="","",VLOOKUP(Table25781014[[#This Row],[Month]],List!$B$2:$C$13,2,FALSE))</f>
        <v/>
      </c>
    </row>
    <row r="448" spans="1:34" s="56" customFormat="1" ht="63.75" x14ac:dyDescent="0.2">
      <c r="A448" s="98" t="s">
        <v>116</v>
      </c>
      <c r="B448" s="80"/>
      <c r="C448" s="67" t="s">
        <v>177</v>
      </c>
      <c r="D448" s="99" t="s">
        <v>262</v>
      </c>
      <c r="E448" s="100" t="str">
        <f>IF(Table25781014[[#This Row],[Line Section]]="","",VLOOKUP(Table25781014[[#This Row],[Line Section]],Reference!$A$2:$B$47,2,FALSE))</f>
        <v>C048</v>
      </c>
      <c r="F448" s="157"/>
      <c r="G448" s="440"/>
      <c r="H448" s="248"/>
      <c r="I448" s="54" t="s">
        <v>94</v>
      </c>
      <c r="J448" s="60">
        <v>0.35</v>
      </c>
      <c r="K448" s="60">
        <v>0.47899999999999998</v>
      </c>
      <c r="L448" s="102">
        <f>IF(Table25781014[[#This Row],[End
(km)]]="","",Table25781014[[#This Row],[End
(km)]]-Table25781014[[#This Row],[Start
(km)]])</f>
        <v>0.129</v>
      </c>
      <c r="M448" s="61" t="s">
        <v>126</v>
      </c>
      <c r="N448" s="59" t="s">
        <v>112</v>
      </c>
      <c r="O448" s="295" t="s">
        <v>113</v>
      </c>
      <c r="P448" s="64">
        <v>43230</v>
      </c>
      <c r="Q448" s="71">
        <v>43479</v>
      </c>
      <c r="R448" s="57" t="s">
        <v>121</v>
      </c>
      <c r="S448" s="55" t="s">
        <v>121</v>
      </c>
      <c r="T448" s="66" t="s">
        <v>121</v>
      </c>
      <c r="U448" s="66"/>
      <c r="V448" s="269"/>
      <c r="W448" s="67"/>
      <c r="X448" s="77" t="s">
        <v>787</v>
      </c>
      <c r="Y448" s="46"/>
      <c r="Z448" s="103" t="s">
        <v>139</v>
      </c>
      <c r="AA448" s="280"/>
      <c r="AB448" s="96"/>
      <c r="AC448" s="96"/>
      <c r="AD448" s="227" t="str">
        <f>IF(Table25781014[[#This Row],[End Completed Section (km)]]="","",Table25781014[[#This Row],[End Completed Section (km)]]-Table25781014[[#This Row],[Start Completed Section (km)]])</f>
        <v/>
      </c>
      <c r="AE448" s="72"/>
      <c r="AF44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48" s="229" t="str">
        <f>IF(Table25781014[[#This Row],[Planned Date]]="","",TEXT(Table25781014[[#This Row],[Planned Date]],"mmm"))</f>
        <v/>
      </c>
      <c r="AH448" s="56" t="str">
        <f>IF(Table25781014[[#This Row],[Month]]="","",VLOOKUP(Table25781014[[#This Row],[Month]],List!$B$2:$C$13,2,FALSE))</f>
        <v/>
      </c>
    </row>
    <row r="449" spans="1:34" s="56" customFormat="1" ht="51" x14ac:dyDescent="0.2">
      <c r="A449" s="98" t="s">
        <v>116</v>
      </c>
      <c r="B449" s="80">
        <v>2</v>
      </c>
      <c r="C449" s="67" t="s">
        <v>177</v>
      </c>
      <c r="D449" s="99" t="s">
        <v>262</v>
      </c>
      <c r="E449" s="100" t="str">
        <f>IF(Table25781014[[#This Row],[Line Section]]="","",VLOOKUP(Table25781014[[#This Row],[Line Section]],Reference!$A$2:$B$47,2,FALSE))</f>
        <v>C048</v>
      </c>
      <c r="F449" s="157" t="s">
        <v>651</v>
      </c>
      <c r="G449" s="440"/>
      <c r="H449" s="248"/>
      <c r="I449" s="54" t="s">
        <v>93</v>
      </c>
      <c r="J449" s="60">
        <v>0.52500000000000002</v>
      </c>
      <c r="K449" s="60">
        <v>0.73299999999999998</v>
      </c>
      <c r="L449" s="102">
        <f>IF(Table25781014[[#This Row],[End
(km)]]="","",Table25781014[[#This Row],[End
(km)]]-Table25781014[[#This Row],[Start
(km)]])</f>
        <v>0.20799999999999996</v>
      </c>
      <c r="M449" s="61" t="s">
        <v>126</v>
      </c>
      <c r="N449" s="59" t="s">
        <v>113</v>
      </c>
      <c r="O449" s="295" t="s">
        <v>113</v>
      </c>
      <c r="P449" s="64">
        <v>43230</v>
      </c>
      <c r="Q449" s="71">
        <v>43479</v>
      </c>
      <c r="R449" s="57" t="s">
        <v>121</v>
      </c>
      <c r="S449" s="55" t="s">
        <v>121</v>
      </c>
      <c r="T449" s="66" t="s">
        <v>121</v>
      </c>
      <c r="U449" s="66"/>
      <c r="V449" s="269"/>
      <c r="W449" s="67"/>
      <c r="X449" s="77" t="s">
        <v>698</v>
      </c>
      <c r="Y449" s="46"/>
      <c r="Z449" s="103" t="s">
        <v>122</v>
      </c>
      <c r="AA449" s="280"/>
      <c r="AB449" s="96"/>
      <c r="AC449" s="96"/>
      <c r="AD449" s="227" t="str">
        <f>IF(Table25781014[[#This Row],[End Completed Section (km)]]="","",Table25781014[[#This Row],[End Completed Section (km)]]-Table25781014[[#This Row],[Start Completed Section (km)]])</f>
        <v/>
      </c>
      <c r="AE449" s="72"/>
      <c r="AF449" s="56" t="e">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#VALUE!</v>
      </c>
      <c r="AG449" s="229" t="str">
        <f>IF(Table25781014[[#This Row],[Planned Date]]="","",TEXT(Table25781014[[#This Row],[Planned Date]],"mmm"))</f>
        <v>21/22</v>
      </c>
      <c r="AH449" s="56" t="e">
        <f>IF(Table25781014[[#This Row],[Month]]="","",VLOOKUP(Table25781014[[#This Row],[Month]],List!$B$2:$C$13,2,FALSE))</f>
        <v>#N/A</v>
      </c>
    </row>
    <row r="450" spans="1:34" s="56" customFormat="1" x14ac:dyDescent="0.2">
      <c r="A450" s="98" t="s">
        <v>118</v>
      </c>
      <c r="B450" s="80"/>
      <c r="C450" s="67" t="s">
        <v>177</v>
      </c>
      <c r="D450" s="99" t="s">
        <v>262</v>
      </c>
      <c r="E450" s="100" t="str">
        <f>IF(Table25781014[[#This Row],[Line Section]]="","",VLOOKUP(Table25781014[[#This Row],[Line Section]],Reference!$A$2:$B$47,2,FALSE))</f>
        <v>C048</v>
      </c>
      <c r="F450" s="157"/>
      <c r="G450" s="440"/>
      <c r="H450" s="248"/>
      <c r="I450" s="54" t="s">
        <v>93</v>
      </c>
      <c r="J450" s="60">
        <v>1</v>
      </c>
      <c r="K450" s="60">
        <v>1.2</v>
      </c>
      <c r="L450" s="102">
        <f>IF(Table25781014[[#This Row],[End
(km)]]="","",Table25781014[[#This Row],[End
(km)]]-Table25781014[[#This Row],[Start
(km)]])</f>
        <v>0.19999999999999996</v>
      </c>
      <c r="M450" s="61" t="s">
        <v>126</v>
      </c>
      <c r="N450" s="59" t="s">
        <v>113</v>
      </c>
      <c r="O450" s="295" t="s">
        <v>113</v>
      </c>
      <c r="P450" s="64">
        <v>43230</v>
      </c>
      <c r="Q450" s="71">
        <v>43479</v>
      </c>
      <c r="R450" s="57"/>
      <c r="S450" s="55"/>
      <c r="T450" s="66"/>
      <c r="U450" s="66"/>
      <c r="V450" s="269"/>
      <c r="W450" s="67" t="s">
        <v>252</v>
      </c>
      <c r="X450" s="77"/>
      <c r="Y450" s="46"/>
      <c r="Z450" s="103" t="s">
        <v>122</v>
      </c>
      <c r="AA450" s="280"/>
      <c r="AB450" s="96"/>
      <c r="AC450" s="96"/>
      <c r="AD450" s="227" t="str">
        <f>IF(Table25781014[[#This Row],[End Completed Section (km)]]="","",Table25781014[[#This Row],[End Completed Section (km)]]-Table25781014[[#This Row],[Start Completed Section (km)]])</f>
        <v/>
      </c>
      <c r="AE450" s="72"/>
      <c r="AF450"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50" s="229" t="str">
        <f>IF(Table25781014[[#This Row],[Planned Date]]="","",TEXT(Table25781014[[#This Row],[Planned Date]],"mmm"))</f>
        <v/>
      </c>
      <c r="AH450" s="56" t="str">
        <f>IF(Table25781014[[#This Row],[Month]]="","",VLOOKUP(Table25781014[[#This Row],[Month]],List!$B$2:$C$13,2,FALSE))</f>
        <v/>
      </c>
    </row>
    <row r="451" spans="1:34" s="56" customFormat="1" ht="25.5" x14ac:dyDescent="0.2">
      <c r="A451" s="98" t="s">
        <v>118</v>
      </c>
      <c r="B451" s="305"/>
      <c r="C451" s="67" t="s">
        <v>177</v>
      </c>
      <c r="D451" s="99" t="s">
        <v>262</v>
      </c>
      <c r="E451" s="100" t="str">
        <f>IF(Table25781014[[#This Row],[Line Section]]="","",VLOOKUP(Table25781014[[#This Row],[Line Section]],Reference!$A$2:$B$47,2,FALSE))</f>
        <v>C048</v>
      </c>
      <c r="F451" s="157"/>
      <c r="G451" s="440"/>
      <c r="H451" s="306"/>
      <c r="I451" s="54" t="s">
        <v>94</v>
      </c>
      <c r="J451" s="60">
        <v>1.2</v>
      </c>
      <c r="K451" s="60">
        <v>1.32</v>
      </c>
      <c r="L451" s="102">
        <f>IF(Table25781014[[#This Row],[End
(km)]]="","",Table25781014[[#This Row],[End
(km)]]-Table25781014[[#This Row],[Start
(km)]])</f>
        <v>0.12000000000000011</v>
      </c>
      <c r="M451" s="61" t="s">
        <v>126</v>
      </c>
      <c r="N451" s="59" t="s">
        <v>113</v>
      </c>
      <c r="O451" s="295" t="s">
        <v>113</v>
      </c>
      <c r="P451" s="64">
        <v>43230</v>
      </c>
      <c r="Q451" s="307">
        <v>43479</v>
      </c>
      <c r="R451" s="57" t="s">
        <v>121</v>
      </c>
      <c r="S451" s="55" t="s">
        <v>121</v>
      </c>
      <c r="T451" s="66" t="s">
        <v>121</v>
      </c>
      <c r="U451" s="308"/>
      <c r="V451" s="309"/>
      <c r="W451" s="67" t="s">
        <v>253</v>
      </c>
      <c r="X451" s="77" t="s">
        <v>346</v>
      </c>
      <c r="Y451" s="326"/>
      <c r="Z451" s="103" t="s">
        <v>122</v>
      </c>
      <c r="AA451" s="320"/>
      <c r="AB451" s="96"/>
      <c r="AC451" s="96"/>
      <c r="AD451" s="310" t="str">
        <f>IF(Table25781014[[#This Row],[End Completed Section (km)]]="","",Table25781014[[#This Row],[End Completed Section (km)]]-Table25781014[[#This Row],[Start Completed Section (km)]])</f>
        <v/>
      </c>
      <c r="AE451" s="72"/>
      <c r="AF451"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51" s="229" t="str">
        <f>IF(Table25781014[[#This Row],[Planned Date]]="","",TEXT(Table25781014[[#This Row],[Planned Date]],"mmm"))</f>
        <v/>
      </c>
      <c r="AH451" s="252" t="str">
        <f>IF(Table25781014[[#This Row],[Month]]="","",VLOOKUP(Table25781014[[#This Row],[Month]],List!$B$2:$C$13,2,FALSE))</f>
        <v/>
      </c>
    </row>
    <row r="452" spans="1:34" s="56" customFormat="1" ht="63.75" x14ac:dyDescent="0.2">
      <c r="A452" s="98" t="s">
        <v>116</v>
      </c>
      <c r="B452" s="80">
        <v>1</v>
      </c>
      <c r="C452" s="67" t="s">
        <v>177</v>
      </c>
      <c r="D452" s="99" t="s">
        <v>262</v>
      </c>
      <c r="E452" s="100" t="str">
        <f>IF(Table25781014[[#This Row],[Line Section]]="","",VLOOKUP(Table25781014[[#This Row],[Line Section]],Reference!$A$2:$B$47,2,FALSE))</f>
        <v>C048</v>
      </c>
      <c r="F452" s="157">
        <v>43597</v>
      </c>
      <c r="G452" s="440"/>
      <c r="H452" s="248"/>
      <c r="I452" s="54" t="s">
        <v>93</v>
      </c>
      <c r="J452" s="60">
        <v>1.25</v>
      </c>
      <c r="K452" s="60">
        <v>1.5</v>
      </c>
      <c r="L452" s="102">
        <f>IF(Table25781014[[#This Row],[End
(km)]]="","",Table25781014[[#This Row],[End
(km)]]-Table25781014[[#This Row],[Start
(km)]])</f>
        <v>0.25</v>
      </c>
      <c r="M452" s="61" t="s">
        <v>126</v>
      </c>
      <c r="N452" s="59" t="s">
        <v>113</v>
      </c>
      <c r="O452" s="295" t="s">
        <v>113</v>
      </c>
      <c r="P452" s="64">
        <v>43230</v>
      </c>
      <c r="Q452" s="71">
        <v>43479</v>
      </c>
      <c r="R452" s="57" t="s">
        <v>121</v>
      </c>
      <c r="S452" s="55"/>
      <c r="T452" s="66" t="s">
        <v>121</v>
      </c>
      <c r="U452" s="66"/>
      <c r="V452" s="269"/>
      <c r="W452" s="67" t="s">
        <v>131</v>
      </c>
      <c r="X452" s="77" t="s">
        <v>668</v>
      </c>
      <c r="Y452" s="46"/>
      <c r="Z452" s="103" t="s">
        <v>121</v>
      </c>
      <c r="AA452" s="280"/>
      <c r="AB452" s="96">
        <v>1.22</v>
      </c>
      <c r="AC452" s="96">
        <v>1.68</v>
      </c>
      <c r="AD452" s="227">
        <f>IF(Table25781014[[#This Row],[End Completed Section (km)]]="","",Table25781014[[#This Row],[End Completed Section (km)]]-Table25781014[[#This Row],[Start Completed Section (km)]])</f>
        <v>0.45999999999999996</v>
      </c>
      <c r="AE452" s="72">
        <v>43597</v>
      </c>
      <c r="AF452"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452" s="229" t="str">
        <f>IF(Table25781014[[#This Row],[Planned Date]]="","",TEXT(Table25781014[[#This Row],[Planned Date]],"mmm"))</f>
        <v>May</v>
      </c>
      <c r="AH452" s="56">
        <f>IF(Table25781014[[#This Row],[Month]]="","",VLOOKUP(Table25781014[[#This Row],[Month]],List!$B$2:$C$13,2,FALSE))</f>
        <v>11</v>
      </c>
    </row>
    <row r="453" spans="1:34" s="56" customFormat="1" ht="76.5" x14ac:dyDescent="0.2">
      <c r="A453" s="98" t="s">
        <v>116</v>
      </c>
      <c r="B453" s="305">
        <v>3</v>
      </c>
      <c r="C453" s="67" t="s">
        <v>177</v>
      </c>
      <c r="D453" s="99" t="s">
        <v>262</v>
      </c>
      <c r="E453" s="100" t="str">
        <f>IF(Table25781014[[#This Row],[Line Section]]="","",VLOOKUP(Table25781014[[#This Row],[Line Section]],Reference!$A$2:$B$47,2,FALSE))</f>
        <v>C048</v>
      </c>
      <c r="F453" s="157">
        <v>44129</v>
      </c>
      <c r="G453" s="440"/>
      <c r="H453" s="247" t="s">
        <v>534</v>
      </c>
      <c r="I453" s="54" t="s">
        <v>94</v>
      </c>
      <c r="J453" s="60">
        <v>1.4</v>
      </c>
      <c r="K453" s="60">
        <v>1.5529999999999999</v>
      </c>
      <c r="L453" s="102">
        <f>IF(Table25781014[[#This Row],[End
(km)]]="","",Table25781014[[#This Row],[End
(km)]]-Table25781014[[#This Row],[Start
(km)]])</f>
        <v>0.15300000000000002</v>
      </c>
      <c r="M453" s="61" t="s">
        <v>126</v>
      </c>
      <c r="N453" s="59" t="s">
        <v>113</v>
      </c>
      <c r="O453" s="295" t="s">
        <v>113</v>
      </c>
      <c r="P453" s="64">
        <v>43230</v>
      </c>
      <c r="Q453" s="307">
        <v>43671</v>
      </c>
      <c r="R453" s="57" t="s">
        <v>121</v>
      </c>
      <c r="S453" s="55" t="s">
        <v>121</v>
      </c>
      <c r="T453" s="66" t="s">
        <v>121</v>
      </c>
      <c r="U453" s="308"/>
      <c r="V453" s="309"/>
      <c r="W453" s="67"/>
      <c r="X453" s="77" t="s">
        <v>845</v>
      </c>
      <c r="Y453" s="326"/>
      <c r="Z453" s="103" t="s">
        <v>122</v>
      </c>
      <c r="AA453" s="320"/>
      <c r="AB453" s="96"/>
      <c r="AC453" s="96"/>
      <c r="AD453" s="310" t="str">
        <f>IF(Table25781014[[#This Row],[End Completed Section (km)]]="","",Table25781014[[#This Row],[End Completed Section (km)]]-Table25781014[[#This Row],[Start Completed Section (km)]])</f>
        <v/>
      </c>
      <c r="AE453" s="72"/>
      <c r="AF453"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2020-21</v>
      </c>
      <c r="AG453" s="229" t="str">
        <f>IF(Table25781014[[#This Row],[Planned Date]]="","",TEXT(Table25781014[[#This Row],[Planned Date]],"mmm"))</f>
        <v>Oct</v>
      </c>
      <c r="AH453" s="252">
        <f>IF(Table25781014[[#This Row],[Month]]="","",VLOOKUP(Table25781014[[#This Row],[Month]],List!$B$2:$C$13,2,FALSE))</f>
        <v>4</v>
      </c>
    </row>
    <row r="454" spans="1:34" s="56" customFormat="1" ht="38.25" x14ac:dyDescent="0.2">
      <c r="A454" s="98" t="s">
        <v>116</v>
      </c>
      <c r="B454" s="39"/>
      <c r="C454" s="67" t="s">
        <v>177</v>
      </c>
      <c r="D454" s="99" t="s">
        <v>262</v>
      </c>
      <c r="E454" s="100" t="str">
        <f>IF(Table25781014[[#This Row],[Line Section]]="","",VLOOKUP(Table25781014[[#This Row],[Line Section]],Reference!$A$2:$B$47,2,FALSE))</f>
        <v>C048</v>
      </c>
      <c r="F454" s="157">
        <v>43603</v>
      </c>
      <c r="G454" s="440"/>
      <c r="H454" s="249" t="s">
        <v>535</v>
      </c>
      <c r="I454" s="54" t="s">
        <v>93</v>
      </c>
      <c r="J454" s="60">
        <v>2.2999999999999998</v>
      </c>
      <c r="K454" s="60">
        <v>2.36</v>
      </c>
      <c r="L454" s="53">
        <f>IF(Table25781014[[#This Row],[End
(km)]]="","",Table25781014[[#This Row],[End
(km)]]-Table25781014[[#This Row],[Start
(km)]])</f>
        <v>6.0000000000000053E-2</v>
      </c>
      <c r="M454" s="61" t="s">
        <v>129</v>
      </c>
      <c r="N454" s="59" t="s">
        <v>113</v>
      </c>
      <c r="O454" s="295" t="s">
        <v>207</v>
      </c>
      <c r="P454" s="64">
        <v>43234</v>
      </c>
      <c r="Q454" s="40">
        <v>43479</v>
      </c>
      <c r="R454" s="57" t="s">
        <v>121</v>
      </c>
      <c r="S454" s="55" t="s">
        <v>121</v>
      </c>
      <c r="T454" s="66" t="s">
        <v>121</v>
      </c>
      <c r="U454" s="66" t="s">
        <v>121</v>
      </c>
      <c r="V454" s="269"/>
      <c r="W454" s="67" t="s">
        <v>345</v>
      </c>
      <c r="X454" s="107" t="s">
        <v>230</v>
      </c>
      <c r="Y454" s="404"/>
      <c r="Z454" s="80" t="s">
        <v>121</v>
      </c>
      <c r="AA454" s="282"/>
      <c r="AB454" s="96">
        <v>2.3199999999999998</v>
      </c>
      <c r="AC454" s="96">
        <v>2.36</v>
      </c>
      <c r="AD454" s="227">
        <f>IF(Table25781014[[#This Row],[End Completed Section (km)]]="","",Table25781014[[#This Row],[End Completed Section (km)]]-Table25781014[[#This Row],[Start Completed Section (km)]])</f>
        <v>4.0000000000000036E-2</v>
      </c>
      <c r="AE454" s="72">
        <v>43603</v>
      </c>
      <c r="AF454"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2018-19</v>
      </c>
      <c r="AG454" s="229" t="str">
        <f>IF(Table25781014[[#This Row],[Planned Date]]="","",TEXT(Table25781014[[#This Row],[Planned Date]],"mmm"))</f>
        <v>May</v>
      </c>
      <c r="AH454" s="56">
        <f>IF(Table25781014[[#This Row],[Month]]="","",VLOOKUP(Table25781014[[#This Row],[Month]],List!$B$2:$C$13,2,FALSE))</f>
        <v>11</v>
      </c>
    </row>
    <row r="455" spans="1:34" s="56" customFormat="1" ht="51" x14ac:dyDescent="0.2">
      <c r="A455" s="98" t="s">
        <v>116</v>
      </c>
      <c r="B455" s="80"/>
      <c r="C455" s="67" t="s">
        <v>177</v>
      </c>
      <c r="D455" s="99" t="s">
        <v>262</v>
      </c>
      <c r="E455" s="100" t="str">
        <f>IF(Table25781014[[#This Row],[Line Section]]="","",VLOOKUP(Table25781014[[#This Row],[Line Section]],Reference!$A$2:$B$47,2,FALSE))</f>
        <v>C048</v>
      </c>
      <c r="F455" s="157"/>
      <c r="G455" s="440"/>
      <c r="H455" s="249"/>
      <c r="I455" s="54" t="s">
        <v>93</v>
      </c>
      <c r="J455" s="101">
        <v>2.4350000000000001</v>
      </c>
      <c r="K455" s="60">
        <v>2.7749999999999999</v>
      </c>
      <c r="L455" s="102">
        <f>IF(Table25781014[[#This Row],[End
(km)]]="","",Table25781014[[#This Row],[End
(km)]]-Table25781014[[#This Row],[Start
(km)]])</f>
        <v>0.33999999999999986</v>
      </c>
      <c r="M455" s="61" t="s">
        <v>146</v>
      </c>
      <c r="N455" s="99" t="s">
        <v>113</v>
      </c>
      <c r="O455" s="71"/>
      <c r="P455" s="64">
        <v>43230</v>
      </c>
      <c r="Q455" s="71">
        <v>43250</v>
      </c>
      <c r="R455" s="57" t="s">
        <v>121</v>
      </c>
      <c r="S455" s="106"/>
      <c r="T455" s="66"/>
      <c r="U455" s="66" t="s">
        <v>121</v>
      </c>
      <c r="V455" s="269"/>
      <c r="W455" s="67" t="s">
        <v>227</v>
      </c>
      <c r="X455" s="107" t="s">
        <v>548</v>
      </c>
      <c r="Y455" s="413" t="s">
        <v>229</v>
      </c>
      <c r="Z455" s="103" t="s">
        <v>573</v>
      </c>
      <c r="AA455" s="280">
        <v>43604</v>
      </c>
      <c r="AB455" s="96"/>
      <c r="AC455" s="96"/>
      <c r="AD455" s="227" t="str">
        <f>IF(Table25781014[[#This Row],[End Completed Section (km)]]="","",Table25781014[[#This Row],[End Completed Section (km)]]-Table25781014[[#This Row],[Start Completed Section (km)]])</f>
        <v/>
      </c>
      <c r="AE455" s="72"/>
      <c r="AF455"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55" s="229" t="str">
        <f>IF(Table25781014[[#This Row],[Planned Date]]="","",TEXT(Table25781014[[#This Row],[Planned Date]],"mmm"))</f>
        <v/>
      </c>
      <c r="AH455" s="56" t="str">
        <f>IF(Table25781014[[#This Row],[Month]]="","",VLOOKUP(Table25781014[[#This Row],[Month]],List!$B$2:$C$13,2,FALSE))</f>
        <v/>
      </c>
    </row>
    <row r="456" spans="1:34" s="56" customFormat="1" ht="63.75" x14ac:dyDescent="0.2">
      <c r="A456" s="98" t="s">
        <v>116</v>
      </c>
      <c r="B456" s="305"/>
      <c r="C456" s="67" t="s">
        <v>177</v>
      </c>
      <c r="D456" s="99" t="s">
        <v>262</v>
      </c>
      <c r="E456" s="100" t="str">
        <f>IF(Table25781014[[#This Row],[Line Section]]="","",VLOOKUP(Table25781014[[#This Row],[Line Section]],Reference!$A$2:$B$47,2,FALSE))</f>
        <v>C048</v>
      </c>
      <c r="F456" s="157">
        <v>43239</v>
      </c>
      <c r="G456" s="440"/>
      <c r="H456" s="306" t="s">
        <v>534</v>
      </c>
      <c r="I456" s="54" t="s">
        <v>94</v>
      </c>
      <c r="J456" s="101">
        <v>2.44</v>
      </c>
      <c r="K456" s="60">
        <v>2.75</v>
      </c>
      <c r="L456" s="102">
        <f>IF(Table25781014[[#This Row],[End
(km)]]="","",Table25781014[[#This Row],[End
(km)]]-Table25781014[[#This Row],[Start
(km)]])</f>
        <v>0.31000000000000005</v>
      </c>
      <c r="M456" s="61" t="s">
        <v>146</v>
      </c>
      <c r="N456" s="99" t="s">
        <v>113</v>
      </c>
      <c r="O456" s="71"/>
      <c r="P456" s="64">
        <v>43230</v>
      </c>
      <c r="Q456" s="307">
        <v>43250</v>
      </c>
      <c r="R456" s="57" t="s">
        <v>121</v>
      </c>
      <c r="S456" s="106"/>
      <c r="T456" s="66" t="s">
        <v>121</v>
      </c>
      <c r="U456" s="308"/>
      <c r="V456" s="309"/>
      <c r="W456" s="67" t="s">
        <v>227</v>
      </c>
      <c r="X456" s="107" t="s">
        <v>347</v>
      </c>
      <c r="Y456" s="327" t="s">
        <v>228</v>
      </c>
      <c r="Z456" s="103" t="s">
        <v>122</v>
      </c>
      <c r="AA456" s="320"/>
      <c r="AB456" s="96"/>
      <c r="AC456" s="96"/>
      <c r="AD456" s="310" t="str">
        <f>IF(Table25781014[[#This Row],[End Completed Section (km)]]="","",Table25781014[[#This Row],[End Completed Section (km)]]-Table25781014[[#This Row],[Start Completed Section (km)]])</f>
        <v/>
      </c>
      <c r="AE456" s="72"/>
      <c r="AF456"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2017-18</v>
      </c>
      <c r="AG456" s="229" t="str">
        <f>IF(Table25781014[[#This Row],[Planned Date]]="","",TEXT(Table25781014[[#This Row],[Planned Date]],"mmm"))</f>
        <v>May</v>
      </c>
      <c r="AH456" s="252">
        <f>IF(Table25781014[[#This Row],[Month]]="","",VLOOKUP(Table25781014[[#This Row],[Month]],List!$B$2:$C$13,2,FALSE))</f>
        <v>11</v>
      </c>
    </row>
    <row r="457" spans="1:34" s="56" customFormat="1" x14ac:dyDescent="0.2">
      <c r="A457" s="98" t="s">
        <v>118</v>
      </c>
      <c r="B457" s="305"/>
      <c r="C457" s="67" t="s">
        <v>177</v>
      </c>
      <c r="D457" s="99" t="s">
        <v>262</v>
      </c>
      <c r="E457" s="100" t="str">
        <f>IF(Table25781014[[#This Row],[Line Section]]="","",VLOOKUP(Table25781014[[#This Row],[Line Section]],Reference!$A$2:$B$47,2,FALSE))</f>
        <v>C048</v>
      </c>
      <c r="F457" s="157"/>
      <c r="G457" s="440"/>
      <c r="H457" s="306"/>
      <c r="I457" s="54" t="s">
        <v>94</v>
      </c>
      <c r="J457" s="60">
        <v>2.9</v>
      </c>
      <c r="K457" s="60">
        <v>3</v>
      </c>
      <c r="L457" s="102">
        <f>IF(Table25781014[[#This Row],[End
(km)]]="","",Table25781014[[#This Row],[End
(km)]]-Table25781014[[#This Row],[Start
(km)]])</f>
        <v>0.10000000000000009</v>
      </c>
      <c r="M457" s="61" t="s">
        <v>126</v>
      </c>
      <c r="N457" s="59" t="s">
        <v>113</v>
      </c>
      <c r="O457" s="295" t="s">
        <v>113</v>
      </c>
      <c r="P457" s="64">
        <v>43230</v>
      </c>
      <c r="Q457" s="307">
        <v>43479</v>
      </c>
      <c r="R457" s="57"/>
      <c r="S457" s="55"/>
      <c r="T457" s="66"/>
      <c r="U457" s="308"/>
      <c r="V457" s="309"/>
      <c r="W457" s="67"/>
      <c r="X457" s="77"/>
      <c r="Y457" s="326"/>
      <c r="Z457" s="103" t="s">
        <v>122</v>
      </c>
      <c r="AA457" s="320"/>
      <c r="AB457" s="96"/>
      <c r="AC457" s="96"/>
      <c r="AD457" s="310" t="str">
        <f>IF(Table25781014[[#This Row],[End Completed Section (km)]]="","",Table25781014[[#This Row],[End Completed Section (km)]]-Table25781014[[#This Row],[Start Completed Section (km)]])</f>
        <v/>
      </c>
      <c r="AE457" s="72"/>
      <c r="AF457"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57" s="229" t="str">
        <f>IF(Table25781014[[#This Row],[Planned Date]]="","",TEXT(Table25781014[[#This Row],[Planned Date]],"mmm"))</f>
        <v/>
      </c>
      <c r="AH457" s="252" t="str">
        <f>IF(Table25781014[[#This Row],[Month]]="","",VLOOKUP(Table25781014[[#This Row],[Month]],List!$B$2:$C$13,2,FALSE))</f>
        <v/>
      </c>
    </row>
    <row r="458" spans="1:34" s="56" customFormat="1" ht="25.5" x14ac:dyDescent="0.2">
      <c r="A458" s="98" t="s">
        <v>117</v>
      </c>
      <c r="B458" s="305"/>
      <c r="C458" s="67" t="s">
        <v>177</v>
      </c>
      <c r="D458" s="99" t="s">
        <v>262</v>
      </c>
      <c r="E458" s="100" t="str">
        <f>IF(Table25781014[[#This Row],[Line Section]]="","",VLOOKUP(Table25781014[[#This Row],[Line Section]],Reference!$A$2:$B$47,2,FALSE))</f>
        <v>C048</v>
      </c>
      <c r="F458" s="157"/>
      <c r="G458" s="440"/>
      <c r="H458" s="306"/>
      <c r="I458" s="54" t="s">
        <v>94</v>
      </c>
      <c r="J458" s="60">
        <v>3.47</v>
      </c>
      <c r="K458" s="60">
        <v>3.72</v>
      </c>
      <c r="L458" s="102">
        <f>IF(Table25781014[[#This Row],[End
(km)]]="","",Table25781014[[#This Row],[End
(km)]]-Table25781014[[#This Row],[Start
(km)]])</f>
        <v>0.25</v>
      </c>
      <c r="M458" s="61" t="s">
        <v>126</v>
      </c>
      <c r="N458" s="59" t="s">
        <v>113</v>
      </c>
      <c r="O458" s="295" t="s">
        <v>207</v>
      </c>
      <c r="P458" s="64">
        <v>43230</v>
      </c>
      <c r="Q458" s="307">
        <v>43479</v>
      </c>
      <c r="R458" s="57"/>
      <c r="S458" s="55" t="s">
        <v>121</v>
      </c>
      <c r="T458" s="66"/>
      <c r="U458" s="308"/>
      <c r="V458" s="309"/>
      <c r="W458" s="67" t="s">
        <v>131</v>
      </c>
      <c r="X458" s="77" t="s">
        <v>777</v>
      </c>
      <c r="Y458" s="326"/>
      <c r="Z458" s="103" t="s">
        <v>139</v>
      </c>
      <c r="AA458" s="320"/>
      <c r="AB458" s="96"/>
      <c r="AC458" s="96"/>
      <c r="AD458" s="310" t="str">
        <f>IF(Table25781014[[#This Row],[End Completed Section (km)]]="","",Table25781014[[#This Row],[End Completed Section (km)]]-Table25781014[[#This Row],[Start Completed Section (km)]])</f>
        <v/>
      </c>
      <c r="AE458" s="72"/>
      <c r="AF458"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58" s="229" t="str">
        <f>IF(Table25781014[[#This Row],[Planned Date]]="","",TEXT(Table25781014[[#This Row],[Planned Date]],"mmm"))</f>
        <v/>
      </c>
      <c r="AH458" s="252" t="str">
        <f>IF(Table25781014[[#This Row],[Month]]="","",VLOOKUP(Table25781014[[#This Row],[Month]],List!$B$2:$C$13,2,FALSE))</f>
        <v/>
      </c>
    </row>
    <row r="459" spans="1:34" s="56" customFormat="1" x14ac:dyDescent="0.2">
      <c r="A459" s="83"/>
      <c r="B459" s="81"/>
      <c r="C459" s="73"/>
      <c r="D459" s="59" t="s">
        <v>42</v>
      </c>
      <c r="E459" s="85" t="str">
        <f>IF(Table25781014[[#This Row],[Line Section]]="","",VLOOKUP(Table25781014[[#This Row],[Line Section]],Reference!$A$2:$B$47,2,FALSE))</f>
        <v>C131</v>
      </c>
      <c r="F459" s="157"/>
      <c r="G459" s="440"/>
      <c r="H459" s="247"/>
      <c r="I459" s="247"/>
      <c r="J459" s="75"/>
      <c r="K459" s="75"/>
      <c r="L459" s="44" t="str">
        <f>IF(Table25781014[[#This Row],[End
(km)]]="","",Table25781014[[#This Row],[End
(km)]]-Table25781014[[#This Row],[Start
(km)]])</f>
        <v/>
      </c>
      <c r="M459" s="76"/>
      <c r="N459" s="74"/>
      <c r="O459" s="295"/>
      <c r="P459" s="71"/>
      <c r="Q459" s="71"/>
      <c r="R459" s="89"/>
      <c r="S459" s="90"/>
      <c r="T459" s="91"/>
      <c r="U459" s="91"/>
      <c r="V459" s="269"/>
      <c r="W459" s="73"/>
      <c r="X459" s="78"/>
      <c r="Y459" s="112"/>
      <c r="Z459" s="81"/>
      <c r="AA459" s="282"/>
      <c r="AB459" s="97"/>
      <c r="AC459" s="97"/>
      <c r="AD459" s="227" t="str">
        <f>IF(Table25781014[[#This Row],[End Completed Section (km)]]="","",Table25781014[[#This Row],[End Completed Section (km)]]-Table25781014[[#This Row],[Start Completed Section (km)]])</f>
        <v/>
      </c>
      <c r="AE459" s="82"/>
      <c r="AF459" s="56" t="str">
        <f>IF(Table25781014[[#This Row],[Planned Date]]&lt;&gt;"",YEAR(Table25781014[[#This Row],[Planned Date]])+(MONTH(Table25781014[[#This Row],[Planned Date]])&gt;=7)-1&amp;"-"&amp;RIGHT(IF(Table25781014[[#This Row],[Planned Date]]="","",YEAR(Table25781014[[#This Row],[Planned Date]])+(MONTH(Table25781014[[#This Row],[Planned Date]])&gt;=7)),2),IF(Table25781014[[#This Row],[Date Completed]]&lt;&gt;"",YEAR(Table25781014[[#This Row],[Date Completed]])+(MONTH(Table25781014[[#This Row],[Date Completed]])&gt;=7)-1&amp;"-"&amp;RIGHT(IF(Table25781014[[#This Row],[Date Completed]]="","",YEAR(Table25781014[[#This Row],[Date Completed]])+(MONTH(Table25781014[[#This Row],[Date Completed]])&gt;=7)),2),""))</f>
        <v/>
      </c>
      <c r="AG459" s="229" t="str">
        <f>IF(Table25781014[[#This Row],[Planned Date]]="","",TEXT(Table25781014[[#This Row],[Planned Date]],"mmm"))</f>
        <v/>
      </c>
      <c r="AH459" s="252" t="str">
        <f>IF(Table25781014[[#This Row],[Month]]="","",VLOOKUP(Table25781014[[#This Row],[Month]],List!$B$2:$C$13,2,FALSE))</f>
        <v/>
      </c>
    </row>
    <row r="460" spans="1:34" x14ac:dyDescent="0.2">
      <c r="D460" s="13">
        <f>14.3-13.38+16.91-16.75+147.6-146.9+138.7-138.38+147.75-147.95+151-150.85</f>
        <v>2.0500000000000114</v>
      </c>
    </row>
    <row r="462" spans="1:34" x14ac:dyDescent="0.2">
      <c r="E462" s="324"/>
      <c r="H462" s="324"/>
    </row>
    <row r="463" spans="1:34" x14ac:dyDescent="0.2">
      <c r="E463" s="324"/>
      <c r="H463" s="324"/>
    </row>
    <row r="464" spans="1:34" x14ac:dyDescent="0.2">
      <c r="E464" s="324"/>
      <c r="H464" s="324"/>
    </row>
    <row r="465" spans="5:8" x14ac:dyDescent="0.2">
      <c r="E465" s="324"/>
      <c r="H465" s="324"/>
    </row>
    <row r="466" spans="5:8" x14ac:dyDescent="0.2">
      <c r="E466" s="324"/>
      <c r="H466" s="324"/>
    </row>
    <row r="467" spans="5:8" x14ac:dyDescent="0.2">
      <c r="E467" s="324"/>
      <c r="H467" s="324"/>
    </row>
    <row r="468" spans="5:8" x14ac:dyDescent="0.2">
      <c r="E468" s="324"/>
      <c r="H468" s="324"/>
    </row>
    <row r="469" spans="5:8" x14ac:dyDescent="0.2">
      <c r="E469" s="324"/>
      <c r="H469" s="324"/>
    </row>
    <row r="470" spans="5:8" x14ac:dyDescent="0.2">
      <c r="E470" s="324"/>
      <c r="H470" s="324"/>
    </row>
    <row r="471" spans="5:8" x14ac:dyDescent="0.2">
      <c r="E471" s="324"/>
      <c r="H471" s="324"/>
    </row>
    <row r="472" spans="5:8" x14ac:dyDescent="0.2">
      <c r="E472" s="324"/>
      <c r="H472" s="324"/>
    </row>
    <row r="473" spans="5:8" x14ac:dyDescent="0.2">
      <c r="E473" s="324"/>
      <c r="H473" s="324"/>
    </row>
  </sheetData>
  <sheetProtection sort="0" autoFilter="0"/>
  <protectedRanges>
    <protectedRange sqref="W53 AE59:AE70 W90 Z59:AD65 X96:AD96 X97 Z97:AE97 W82 W63 W57 X98:AE108 X66:AD78 X18 X152:X153 X111:AE111 Y109:AE110 Y128:AE128 X79:X80 Z254:AA254 Z304:AA304 Z320:AA320 Z388:AA389 Z420:AA420 X395:X396 Z423:AA423 Z429:AA433 Y112:AE112 Q154 Y80 X113:AE127 AE72:AE96 Z79:AD95 X82:X94 Z44:AE58 X3:AE17 X129:AE150 Q3:Q150 Z151:AA233 X20:X65 Y18:AE43" name="Range1"/>
  </protectedRanges>
  <mergeCells count="1">
    <mergeCell ref="A1:AE1"/>
  </mergeCells>
  <conditionalFormatting sqref="AB3:AE459">
    <cfRule type="containsBlanks" dxfId="168" priority="229">
      <formula>LEN(TRIM(AB3))=0</formula>
    </cfRule>
  </conditionalFormatting>
  <conditionalFormatting sqref="F3:G459">
    <cfRule type="notContainsBlanks" dxfId="167" priority="29">
      <formula>LEN(TRIM(F3))&gt;0</formula>
    </cfRule>
  </conditionalFormatting>
  <conditionalFormatting sqref="AA3:AA459">
    <cfRule type="expression" dxfId="166" priority="7">
      <formula>$Z3="Cancelled"</formula>
    </cfRule>
  </conditionalFormatting>
  <conditionalFormatting sqref="A3:AH459">
    <cfRule type="expression" dxfId="165" priority="3">
      <formula>$Z3="Impacted by CRR"</formula>
    </cfRule>
  </conditionalFormatting>
  <conditionalFormatting sqref="AE39">
    <cfRule type="expression" dxfId="164" priority="1">
      <formula>$Z39="Cancelled"</formula>
    </cfRule>
  </conditionalFormatting>
  <dataValidations count="1">
    <dataValidation type="whole" operator="greaterThanOrEqual" allowBlank="1" showInputMessage="1" showErrorMessage="1" sqref="B3:B303" xr:uid="{00000000-0002-0000-0200-000000000000}">
      <formula1>1</formula1>
    </dataValidation>
  </dataValidations>
  <hyperlinks>
    <hyperlink ref="Y309" r:id="rId1" xr:uid="{00000000-0004-0000-0200-000000000000}"/>
    <hyperlink ref="Y343" r:id="rId2" xr:uid="{00000000-0004-0000-0200-000002000000}"/>
    <hyperlink ref="Y345" r:id="rId3" xr:uid="{00000000-0004-0000-0200-000003000000}"/>
    <hyperlink ref="Y348" r:id="rId4" xr:uid="{00000000-0004-0000-0200-000004000000}"/>
    <hyperlink ref="Y350" r:id="rId5" xr:uid="{00000000-0004-0000-0200-000005000000}"/>
    <hyperlink ref="Y352" r:id="rId6" xr:uid="{00000000-0004-0000-0200-000006000000}"/>
    <hyperlink ref="Y14" r:id="rId7" xr:uid="{00000000-0004-0000-0200-000007000000}"/>
    <hyperlink ref="Y3" r:id="rId8" xr:uid="{00000000-0004-0000-0200-000008000000}"/>
    <hyperlink ref="Y5" r:id="rId9" xr:uid="{00000000-0004-0000-0200-000009000000}"/>
    <hyperlink ref="Y242" r:id="rId10" xr:uid="{00000000-0004-0000-0200-00000A000000}"/>
    <hyperlink ref="Y238" r:id="rId11" xr:uid="{00000000-0004-0000-0200-00000B000000}"/>
    <hyperlink ref="Y236" r:id="rId12" xr:uid="{00000000-0004-0000-0200-00000C000000}"/>
    <hyperlink ref="Y248" r:id="rId13" xr:uid="{00000000-0004-0000-0200-00000D000000}"/>
    <hyperlink ref="Y246" r:id="rId14" xr:uid="{00000000-0004-0000-0200-00000E000000}"/>
    <hyperlink ref="Y254" r:id="rId15" xr:uid="{00000000-0004-0000-0200-00000F000000}"/>
    <hyperlink ref="Y257" r:id="rId16" xr:uid="{00000000-0004-0000-0200-000010000000}"/>
    <hyperlink ref="Y261" r:id="rId17" xr:uid="{00000000-0004-0000-0200-000011000000}"/>
    <hyperlink ref="Y263" r:id="rId18" xr:uid="{00000000-0004-0000-0200-000012000000}"/>
    <hyperlink ref="Y267" r:id="rId19" xr:uid="{00000000-0004-0000-0200-000013000000}"/>
    <hyperlink ref="Y273" r:id="rId20" xr:uid="{00000000-0004-0000-0200-000014000000}"/>
    <hyperlink ref="Y279" r:id="rId21" xr:uid="{00000000-0004-0000-0200-000015000000}"/>
    <hyperlink ref="Y456" r:id="rId22" xr:uid="{00000000-0004-0000-0200-000016000000}"/>
    <hyperlink ref="Y455" r:id="rId23" xr:uid="{00000000-0004-0000-0200-000017000000}"/>
    <hyperlink ref="Y281" r:id="rId24" xr:uid="{00000000-0004-0000-0200-000018000000}"/>
    <hyperlink ref="Y298" r:id="rId25" display="Undercutting data\Main Line\UM\48.850 - 48.920.pdf" xr:uid="{00000000-0004-0000-0200-00001B000000}"/>
    <hyperlink ref="Y303" r:id="rId26" display="Undercutting data\Main Line\UM\52.220 - 52.310.pdf" xr:uid="{00000000-0004-0000-0200-00001C000000}"/>
    <hyperlink ref="Y19" r:id="rId27" xr:uid="{00000000-0004-0000-0200-00001D000000}"/>
    <hyperlink ref="Y21" r:id="rId28" xr:uid="{00000000-0004-0000-0200-00001E000000}"/>
    <hyperlink ref="Y24" r:id="rId29" xr:uid="{00000000-0004-0000-0200-00001F000000}"/>
    <hyperlink ref="Y28" r:id="rId30" xr:uid="{00000000-0004-0000-0200-000020000000}"/>
    <hyperlink ref="Y34" r:id="rId31" xr:uid="{00000000-0004-0000-0200-000021000000}"/>
    <hyperlink ref="Y41" r:id="rId32" xr:uid="{00000000-0004-0000-0200-000022000000}"/>
    <hyperlink ref="Y43" r:id="rId33" xr:uid="{00000000-0004-0000-0200-000023000000}"/>
    <hyperlink ref="Y44" r:id="rId34" xr:uid="{00000000-0004-0000-0200-000024000000}"/>
    <hyperlink ref="Y20" r:id="rId35" xr:uid="{00000000-0004-0000-0200-000025000000}"/>
    <hyperlink ref="Y22" r:id="rId36" xr:uid="{00000000-0004-0000-0200-000026000000}"/>
    <hyperlink ref="Y23" r:id="rId37" xr:uid="{00000000-0004-0000-0200-000027000000}"/>
    <hyperlink ref="Y26" r:id="rId38" xr:uid="{00000000-0004-0000-0200-000028000000}"/>
    <hyperlink ref="Y31" r:id="rId39" xr:uid="{00000000-0004-0000-0200-000029000000}"/>
    <hyperlink ref="Y35" r:id="rId40" xr:uid="{00000000-0004-0000-0200-00002A000000}"/>
    <hyperlink ref="Y38" r:id="rId41" xr:uid="{00000000-0004-0000-0200-00002B000000}"/>
    <hyperlink ref="Y46" r:id="rId42" xr:uid="{00000000-0004-0000-0200-00002C000000}"/>
    <hyperlink ref="Y47" r:id="rId43" xr:uid="{00000000-0004-0000-0200-00002D000000}"/>
    <hyperlink ref="Y48" r:id="rId44" xr:uid="{00000000-0004-0000-0200-00002E000000}"/>
    <hyperlink ref="Y49" r:id="rId45" xr:uid="{00000000-0004-0000-0200-00002F000000}"/>
    <hyperlink ref="Y51" r:id="rId46" xr:uid="{00000000-0004-0000-0200-000030000000}"/>
    <hyperlink ref="Y425" r:id="rId47" xr:uid="{00000000-0004-0000-0200-000031000000}"/>
    <hyperlink ref="Y72" r:id="rId48" display="0.000 - 0.450" xr:uid="{00000000-0004-0000-0200-000032000000}"/>
    <hyperlink ref="Y73" r:id="rId49" xr:uid="{00000000-0004-0000-0200-000033000000}"/>
    <hyperlink ref="Y74" r:id="rId50" xr:uid="{00000000-0004-0000-0200-000034000000}"/>
    <hyperlink ref="Y76" r:id="rId51" xr:uid="{00000000-0004-0000-0200-000035000000}"/>
    <hyperlink ref="Y55" r:id="rId52" xr:uid="{00000000-0004-0000-0200-000038000000}"/>
    <hyperlink ref="Y56" r:id="rId53" xr:uid="{00000000-0004-0000-0200-000039000000}"/>
    <hyperlink ref="Y60" r:id="rId54" xr:uid="{00000000-0004-0000-0200-00003A000000}"/>
    <hyperlink ref="Y67" r:id="rId55" xr:uid="{00000000-0004-0000-0200-00003B000000}"/>
    <hyperlink ref="Y70" r:id="rId56" xr:uid="{00000000-0004-0000-0200-00003C000000}"/>
    <hyperlink ref="Y71" r:id="rId57" xr:uid="{00000000-0004-0000-0200-00003D000000}"/>
    <hyperlink ref="Y332" r:id="rId58" xr:uid="{00000000-0004-0000-0200-00003E000000}"/>
    <hyperlink ref="Y439" r:id="rId59" xr:uid="{00000000-0004-0000-0200-00003F000000}"/>
    <hyperlink ref="Y190" r:id="rId60" xr:uid="{00000000-0004-0000-0200-000040000000}"/>
    <hyperlink ref="Y161" r:id="rId61" xr:uid="{00000000-0004-0000-0200-000041000000}"/>
    <hyperlink ref="Y125" r:id="rId62" xr:uid="{00000000-0004-0000-0200-000042000000}"/>
    <hyperlink ref="Y372" r:id="rId63" xr:uid="{00000000-0004-0000-0200-000043000000}"/>
    <hyperlink ref="Y312" r:id="rId64" xr:uid="{00000000-0004-0000-0200-000044000000}"/>
    <hyperlink ref="Y121" r:id="rId65" xr:uid="{00000000-0004-0000-0200-000045000000}"/>
    <hyperlink ref="Y123" r:id="rId66" xr:uid="{00000000-0004-0000-0200-000046000000}"/>
    <hyperlink ref="Y149" r:id="rId67" xr:uid="{00000000-0004-0000-0200-000047000000}"/>
    <hyperlink ref="Y151" r:id="rId68" xr:uid="{00000000-0004-0000-0200-000048000000}"/>
    <hyperlink ref="Y154" r:id="rId69" xr:uid="{00000000-0004-0000-0200-00004A000000}"/>
    <hyperlink ref="Y157" r:id="rId70" xr:uid="{00000000-0004-0000-0200-00004B000000}"/>
    <hyperlink ref="Y11" r:id="rId71" xr:uid="{2C112981-038F-46EF-ADFA-E14A394D6488}"/>
    <hyperlink ref="Y17" r:id="rId72" xr:uid="{B8A2BAA3-B741-4F4E-94CA-ACF48B1FA83A}"/>
    <hyperlink ref="Y36" r:id="rId73" xr:uid="{8E7BF448-BED7-477B-94B2-60311A8F305C}"/>
    <hyperlink ref="Y12" r:id="rId74" xr:uid="{37B7DE47-4D51-42F7-B0AA-6B4D176A5640}"/>
    <hyperlink ref="Y15" r:id="rId75" xr:uid="{7C3EFC8D-0F03-45E2-B7F1-3C3B9057B4E4}"/>
    <hyperlink ref="Y40" r:id="rId76" xr:uid="{F2F38406-FF15-421A-AA4E-EA91B288D441}"/>
    <hyperlink ref="Y95" r:id="rId77" xr:uid="{6B01CD77-DE28-40FA-9785-4D3E568BADEA}"/>
    <hyperlink ref="Y104" r:id="rId78" xr:uid="{D6CD455B-1225-494B-8BD9-90177E7BF711}"/>
  </hyperlinks>
  <pageMargins left="0.7" right="0.7" top="0.75" bottom="0.75" header="0.3" footer="0.3"/>
  <pageSetup paperSize="9" orientation="portrait" r:id="rId79"/>
  <tableParts count="1">
    <tablePart r:id="rId80"/>
  </tableParts>
  <extLst>
    <ext xmlns:x14="http://schemas.microsoft.com/office/spreadsheetml/2009/9/main" uri="{78C0D931-6437-407d-A8EE-F0AAD7539E65}">
      <x14:conditionalFormattings>
        <x14:conditionalFormatting xmlns:xm="http://schemas.microsoft.com/office/excel/2006/main">
          <x14:cfRule type="expression" priority="21" id="{B7A23AEA-E2A3-4A94-AD64-A2672BDACAE0}">
            <xm:f>$Z3=Reference!$F$6</xm:f>
            <x14:dxf>
              <fill>
                <patternFill patternType="solid">
                  <bgColor rgb="FFFFFF00"/>
                </patternFill>
              </fill>
            </x14:dxf>
          </x14:cfRule>
          <xm:sqref>Y329:AH329 A329:W329 A80:W80 Y80:AH80 A330:AH459 A108:W110 Y108:AH110 A3:AH4 A5 B5:AH16 A81:AH107 A17:AH79 A111:AH328</xm:sqref>
        </x14:conditionalFormatting>
        <x14:conditionalFormatting xmlns:xm="http://schemas.microsoft.com/office/excel/2006/main">
          <x14:cfRule type="containsText" priority="1207" operator="containsText" id="{62ED74C1-DD1E-4865-9FCD-0F21A3E4DA53}">
            <xm:f>NOT(ISERROR(SEARCH(Reference!$E$3,N3)))</xm:f>
            <xm:f>Reference!$E$3</xm:f>
            <x14:dxf>
              <fill>
                <patternFill>
                  <bgColor rgb="FFFFFF00"/>
                </patternFill>
              </fill>
            </x14:dxf>
          </x14:cfRule>
          <x14:cfRule type="containsText" priority="1208" operator="containsText" id="{EB418FEE-82EC-45AF-B70F-121C69075831}">
            <xm:f>NOT(ISERROR(SEARCH(Reference!$E$2,N3)))</xm:f>
            <xm:f>Reference!$E$2</xm:f>
            <x14:dxf>
              <fill>
                <patternFill>
                  <bgColor rgb="FF00CC00"/>
                </patternFill>
              </fill>
            </x14:dxf>
          </x14:cfRule>
          <x14:cfRule type="containsText" priority="1209" operator="containsText" id="{42955A2E-E564-4BDE-8948-DD962A95E820}">
            <xm:f>NOT(ISERROR(SEARCH(Reference!$E$4,N3)))</xm:f>
            <xm:f>Reference!$E$4</xm:f>
            <x14:dxf>
              <fill>
                <patternFill>
                  <bgColor rgb="FFFF9900"/>
                </patternFill>
              </fill>
            </x14:dxf>
          </x14:cfRule>
          <x14:cfRule type="containsText" priority="1210" operator="containsText" id="{19C38FF4-5B10-40EB-9C4E-F6ABE90D2F16}">
            <xm:f>NOT(ISERROR(SEARCH(Reference!$E$7,N3)))</xm:f>
            <xm:f>Reference!$E$7</xm:f>
            <x14:dxf>
              <font>
                <color theme="0"/>
              </font>
              <fill>
                <patternFill>
                  <bgColor rgb="FF9933FF"/>
                </patternFill>
              </fill>
            </x14:dxf>
          </x14:cfRule>
          <x14:cfRule type="containsText" priority="1211" operator="containsText" id="{ABE95E10-4BDA-4BCA-890D-89C3807EC2F2}">
            <xm:f>NOT(ISERROR(SEARCH(Reference!$E$6,N3)))</xm:f>
            <xm:f>Reference!$E$6</xm:f>
            <x14:dxf>
              <fill>
                <patternFill>
                  <bgColor rgb="FFFFB3FF"/>
                </patternFill>
              </fill>
            </x14:dxf>
          </x14:cfRule>
          <x14:cfRule type="containsText" priority="1212" operator="containsText" id="{7756D5E8-BF6A-4D94-9253-A4209AD6676E}">
            <xm:f>NOT(ISERROR(SEARCH(Reference!$E$5,N3)))</xm:f>
            <xm:f>Reference!$E$5</xm:f>
            <x14:dxf>
              <fill>
                <patternFill>
                  <bgColor rgb="FFFF5757"/>
                </patternFill>
              </fill>
            </x14:dxf>
          </x14:cfRule>
          <xm:sqref>N3:O459</xm:sqref>
        </x14:conditionalFormatting>
        <x14:conditionalFormatting xmlns:xm="http://schemas.microsoft.com/office/excel/2006/main">
          <x14:cfRule type="expression" priority="23" id="{25E62449-B7A6-4E2F-9535-7E2AB32CBFD6}">
            <xm:f>$Z3=Reference!$F$2</xm:f>
            <x14:dxf>
              <font>
                <color theme="1"/>
              </font>
              <fill>
                <patternFill>
                  <bgColor rgb="FF92D050"/>
                </patternFill>
              </fill>
            </x14:dxf>
          </x14:cfRule>
          <xm:sqref>Y329:AE329 A329:W329 A80:W80 Y80:AE80 A330:AE459 A108:W110 Y108:AE110 A3:AE4 A5 B5:AE16 A81:AE107 A17:AE79 A111:AE328</xm:sqref>
        </x14:conditionalFormatting>
        <x14:conditionalFormatting xmlns:xm="http://schemas.microsoft.com/office/excel/2006/main">
          <x14:cfRule type="expression" priority="243" id="{43B6AFAC-7A3A-4F6D-931A-50C50FC18BCC}">
            <xm:f>$Z3=Reference!$F$5</xm:f>
            <x14:dxf>
              <font>
                <color auto="1"/>
              </font>
              <fill>
                <patternFill>
                  <bgColor theme="0" tint="-0.34998626667073579"/>
                </patternFill>
              </fill>
            </x14:dxf>
          </x14:cfRule>
          <x14:cfRule type="expression" priority="1213" id="{F48A427E-7F49-44B7-BDE9-7013178E0464}">
            <xm:f>$Z3=Reference!$F$4</xm:f>
            <x14:dxf>
              <font>
                <color theme="1"/>
              </font>
              <fill>
                <patternFill>
                  <bgColor theme="6" tint="0.59996337778862885"/>
                </patternFill>
              </fill>
            </x14:dxf>
          </x14:cfRule>
          <xm:sqref>Y329:Z329 A329:W329 A80:W80 Y80:Z80 A330:Z459 A108:W110 Y108:Z110 A3:Z4 A17:Z79 A5 B5:Z16 A81:Z107 A111:Z328</xm:sqref>
        </x14:conditionalFormatting>
        <x14:conditionalFormatting xmlns:xm="http://schemas.microsoft.com/office/excel/2006/main">
          <x14:cfRule type="containsText" priority="8" operator="containsText" id="{B76E7BF9-D0E3-458F-8BF2-1724C915D517}">
            <xm:f>NOT(ISERROR(SEARCH(Reference!$F$7,Z3)))</xm:f>
            <xm:f>Reference!$F$7</xm:f>
            <x14:dxf>
              <font>
                <b/>
                <i val="0"/>
              </font>
              <fill>
                <patternFill>
                  <bgColor rgb="FFFF0000"/>
                </patternFill>
              </fill>
            </x14:dxf>
          </x14:cfRule>
          <xm:sqref>Z3:AA459</xm:sqref>
        </x14:conditionalFormatting>
        <x14:conditionalFormatting xmlns:xm="http://schemas.microsoft.com/office/excel/2006/main">
          <x14:cfRule type="expression" priority="4" id="{78F0ECBF-A009-4C95-A23A-AF5F2B2FF2A1}">
            <xm:f>$Z455=Reference!$F$6</xm:f>
            <x14:dxf>
              <fill>
                <patternFill patternType="solid">
                  <bgColor rgb="FFFFFF00"/>
                </patternFill>
              </fill>
            </x14:dxf>
          </x14:cfRule>
          <xm:sqref>A455</xm:sqref>
        </x14:conditionalFormatting>
        <x14:conditionalFormatting xmlns:xm="http://schemas.microsoft.com/office/excel/2006/main">
          <x14:cfRule type="expression" priority="5" id="{DF181425-658A-48A8-B4D3-A30A8CE97C41}">
            <xm:f>$Z455=Reference!$F$5</xm:f>
            <x14:dxf>
              <font>
                <color auto="1"/>
              </font>
              <fill>
                <patternFill>
                  <bgColor theme="0" tint="-0.34998626667073579"/>
                </patternFill>
              </fill>
            </x14:dxf>
          </x14:cfRule>
          <x14:cfRule type="expression" priority="6" id="{2D5193D5-6CCA-4C0B-8CD0-8EB81A3D9DBC}">
            <xm:f>$Z455=Reference!$F$4</xm:f>
            <x14:dxf>
              <font>
                <color theme="1"/>
              </font>
              <fill>
                <patternFill>
                  <bgColor theme="6" tint="0.59996337778862885"/>
                </patternFill>
              </fill>
            </x14:dxf>
          </x14:cfRule>
          <xm:sqref>A455</xm:sqref>
        </x14:conditionalFormatting>
        <x14:conditionalFormatting xmlns:xm="http://schemas.microsoft.com/office/excel/2006/main">
          <x14:cfRule type="expression" priority="1215" id="{B7A23AEA-E2A3-4A94-AD64-A2672BDACAE0}">
            <xm:f>$Z5=Reference!$F$6</xm:f>
            <x14:dxf>
              <fill>
                <patternFill patternType="solid">
                  <bgColor rgb="FFFFFF00"/>
                </patternFill>
              </fill>
            </x14:dxf>
          </x14:cfRule>
          <xm:sqref>A11:A16</xm:sqref>
        </x14:conditionalFormatting>
        <x14:conditionalFormatting xmlns:xm="http://schemas.microsoft.com/office/excel/2006/main">
          <x14:cfRule type="expression" priority="1223" id="{25E62449-B7A6-4E2F-9535-7E2AB32CBFD6}">
            <xm:f>$Z5=Reference!$F$2</xm:f>
            <x14:dxf>
              <font>
                <color theme="1"/>
              </font>
              <fill>
                <patternFill>
                  <bgColor rgb="FF92D050"/>
                </patternFill>
              </fill>
            </x14:dxf>
          </x14:cfRule>
          <xm:sqref>A11:A16</xm:sqref>
        </x14:conditionalFormatting>
        <x14:conditionalFormatting xmlns:xm="http://schemas.microsoft.com/office/excel/2006/main">
          <x14:cfRule type="expression" priority="1226" id="{43B6AFAC-7A3A-4F6D-931A-50C50FC18BCC}">
            <xm:f>$Z5=Reference!$F$5</xm:f>
            <x14:dxf>
              <font>
                <color auto="1"/>
              </font>
              <fill>
                <patternFill>
                  <bgColor theme="0" tint="-0.34998626667073579"/>
                </patternFill>
              </fill>
            </x14:dxf>
          </x14:cfRule>
          <x14:cfRule type="expression" priority="1227" id="{F48A427E-7F49-44B7-BDE9-7013178E0464}">
            <xm:f>$Z5=Reference!$F$4</xm:f>
            <x14:dxf>
              <font>
                <color theme="1"/>
              </font>
              <fill>
                <patternFill>
                  <bgColor theme="6" tint="0.59996337778862885"/>
                </patternFill>
              </fill>
            </x14:dxf>
          </x14:cfRule>
          <xm:sqref>A11:A16</xm:sqref>
        </x14:conditionalFormatting>
        <x14:conditionalFormatting xmlns:xm="http://schemas.microsoft.com/office/excel/2006/main">
          <x14:cfRule type="containsText" priority="1204" operator="containsText" id="{4FBE5F94-BED2-4CC7-8CD4-273849B302CE}">
            <xm:f>NOT(ISERROR(SEARCH(Reference!$G$3,A3)))</xm:f>
            <xm:f>Reference!$G$3</xm:f>
            <x14:dxf>
              <fill>
                <patternFill>
                  <bgColor theme="7" tint="0.39994506668294322"/>
                </patternFill>
              </fill>
            </x14:dxf>
          </x14:cfRule>
          <x14:cfRule type="containsText" priority="1205" operator="containsText" id="{FA63779B-54C2-4CD8-8CB3-E20AAAF51BFF}">
            <xm:f>NOT(ISERROR(SEARCH(Reference!$G$4,A3)))</xm:f>
            <xm:f>Reference!$G$4</xm:f>
            <x14:dxf>
              <fill>
                <patternFill>
                  <bgColor rgb="FF69D8FF"/>
                </patternFill>
              </fill>
            </x14:dxf>
          </x14:cfRule>
          <x14:cfRule type="containsText" priority="1206" operator="containsText" id="{71895EB7-EC09-4776-8494-BF82929A65EF}">
            <xm:f>NOT(ISERROR(SEARCH(Reference!$G$2,A3)))</xm:f>
            <xm:f>Reference!$G$2</xm:f>
            <x14:dxf>
              <fill>
                <patternFill>
                  <bgColor rgb="FFFF5D5D"/>
                </patternFill>
              </fill>
            </x14:dxf>
          </x14:cfRule>
          <xm:sqref>A3:A459</xm:sqref>
        </x14:conditionalFormatting>
        <x14:conditionalFormatting xmlns:xm="http://schemas.microsoft.com/office/excel/2006/main">
          <x14:cfRule type="containsText" priority="2" operator="containsText" id="{E8A5CA18-8E0A-4D01-9ECD-B8864F844FD7}">
            <xm:f>NOT(ISERROR(SEARCH(Reference!$F$7,AE39)))</xm:f>
            <xm:f>Reference!$F$7</xm:f>
            <x14:dxf>
              <font>
                <b/>
                <i val="0"/>
              </font>
              <fill>
                <patternFill>
                  <bgColor rgb="FFFF0000"/>
                </patternFill>
              </fill>
            </x14:dxf>
          </x14:cfRule>
          <xm:sqref>AE39</xm:sqref>
        </x14:conditionalFormatting>
      </x14:conditionalFormattings>
    </ext>
    <ext xmlns:x14="http://schemas.microsoft.com/office/spreadsheetml/2009/9/main" uri="{CCE6A557-97BC-4b89-ADB6-D9C93CAAB3DF}">
      <x14:dataValidations xmlns:xm="http://schemas.microsoft.com/office/excel/2006/main" count="12">
        <x14:dataValidation type="list" allowBlank="1" showInputMessage="1" showErrorMessage="1" xr:uid="{00000000-0002-0000-0200-000003000000}">
          <x14:formula1>
            <xm:f>Reference!$F$2:$F$6</xm:f>
          </x14:formula1>
          <xm:sqref>AA454:AA459</xm:sqref>
        </x14:dataValidation>
        <x14:dataValidation type="list" allowBlank="1" showInputMessage="1" showErrorMessage="1" xr:uid="{00000000-0002-0000-0200-000004000000}">
          <x14:formula1>
            <xm:f>Reference!$D$2:$D$15</xm:f>
          </x14:formula1>
          <xm:sqref>I3:I459</xm:sqref>
        </x14:dataValidation>
        <x14:dataValidation type="list" allowBlank="1" showInputMessage="1" showErrorMessage="1" xr:uid="{00000000-0002-0000-0200-000005000000}">
          <x14:formula1>
            <xm:f>Reference!$E$2:$E$8</xm:f>
          </x14:formula1>
          <xm:sqref>N3:O459</xm:sqref>
        </x14:dataValidation>
        <x14:dataValidation type="list" allowBlank="1" showInputMessage="1" showErrorMessage="1" xr:uid="{00000000-0002-0000-0200-000006000000}">
          <x14:formula1>
            <xm:f>Reference!$F$2:$F$3</xm:f>
          </x14:formula1>
          <xm:sqref>T3:V459</xm:sqref>
        </x14:dataValidation>
        <x14:dataValidation type="list" allowBlank="1" showInputMessage="1" showErrorMessage="1" xr:uid="{00000000-0002-0000-0200-000008000000}">
          <x14:formula1>
            <xm:f>Reference!$F$2</xm:f>
          </x14:formula1>
          <xm:sqref>R3:S459</xm:sqref>
        </x14:dataValidation>
        <x14:dataValidation type="list" allowBlank="1" showInputMessage="1" showErrorMessage="1" xr:uid="{00000000-0002-0000-0200-000009000000}">
          <x14:formula1>
            <xm:f>Reference!$H$2:$H$7</xm:f>
          </x14:formula1>
          <xm:sqref>M3:M459</xm:sqref>
        </x14:dataValidation>
        <x14:dataValidation type="list" allowBlank="1" showInputMessage="1" showErrorMessage="1" xr:uid="{00000000-0002-0000-0200-00000A000000}">
          <x14:formula1>
            <xm:f>Reference!$I$2:$I$15</xm:f>
          </x14:formula1>
          <xm:sqref>C3:C459</xm:sqref>
        </x14:dataValidation>
        <x14:dataValidation type="list" allowBlank="1" showInputMessage="1" showErrorMessage="1" xr:uid="{00000000-0002-0000-0200-00000B000000}">
          <x14:formula1>
            <xm:f>Reference!$A$2:$A$47</xm:f>
          </x14:formula1>
          <xm:sqref>D3:D459</xm:sqref>
        </x14:dataValidation>
        <x14:dataValidation type="list" allowBlank="1" showInputMessage="1" showErrorMessage="1" xr:uid="{00000000-0002-0000-0200-00000C000000}">
          <x14:formula1>
            <xm:f>List!$G$1:$G$3</xm:f>
          </x14:formula1>
          <xm:sqref>H3:H459</xm:sqref>
        </x14:dataValidation>
        <x14:dataValidation type="list" allowBlank="1" showInputMessage="1" showErrorMessage="1" xr:uid="{00000000-0002-0000-0200-000007000000}">
          <x14:formula1>
            <xm:f>Reference!$G$2:$G$4</xm:f>
          </x14:formula1>
          <xm:sqref>A3:A5 A11:A459</xm:sqref>
        </x14:dataValidation>
        <x14:dataValidation type="list" allowBlank="1" showInputMessage="1" showErrorMessage="1" xr:uid="{0F4C8EAB-6CC4-4227-9DBE-020306FC4EFC}">
          <x14:formula1>
            <xm:f>Reference!$H$2:$H$8</xm:f>
          </x14:formula1>
          <xm:sqref>Z1 Z460:Z1048576</xm:sqref>
        </x14:dataValidation>
        <x14:dataValidation type="list" allowBlank="1" showInputMessage="1" showErrorMessage="1" xr:uid="{69D733DE-08C5-4FBA-A107-6D226CCDA620}">
          <x14:formula1>
            <xm:f>Reference!$F$2:$F$8</xm:f>
          </x14:formula1>
          <xm:sqref>Z3:Z459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B3FF"/>
  </sheetPr>
  <dimension ref="A1:P97"/>
  <sheetViews>
    <sheetView showGridLines="0" topLeftCell="A73" workbookViewId="0">
      <selection activeCell="H21" sqref="H21"/>
    </sheetView>
  </sheetViews>
  <sheetFormatPr defaultRowHeight="12.75" x14ac:dyDescent="0.2"/>
  <cols>
    <col min="1" max="1" width="27.140625" bestFit="1" customWidth="1"/>
    <col min="2" max="2" width="10" bestFit="1" customWidth="1"/>
    <col min="3" max="3" width="9.28515625" bestFit="1" customWidth="1"/>
    <col min="4" max="4" width="12.7109375" bestFit="1" customWidth="1"/>
    <col min="5" max="5" width="10" bestFit="1" customWidth="1"/>
    <col min="6" max="6" width="17.42578125" customWidth="1"/>
    <col min="7" max="7" width="12.7109375" bestFit="1" customWidth="1"/>
    <col min="8" max="8" width="12.5703125" bestFit="1" customWidth="1"/>
    <col min="9" max="9" width="11.42578125" customWidth="1"/>
    <col min="10" max="10" width="10.28515625" customWidth="1"/>
    <col min="11" max="11" width="12.42578125" customWidth="1"/>
    <col min="14" max="14" width="7.140625" bestFit="1" customWidth="1"/>
    <col min="15" max="15" width="17.5703125" bestFit="1" customWidth="1"/>
    <col min="16" max="16" width="30.85546875" bestFit="1" customWidth="1"/>
  </cols>
  <sheetData>
    <row r="1" spans="1:7" s="52" customFormat="1" x14ac:dyDescent="0.2">
      <c r="A1" s="52" t="s">
        <v>521</v>
      </c>
      <c r="B1" s="52" t="str">
        <f>List!F2</f>
        <v>2018-19</v>
      </c>
      <c r="C1" s="52" t="str">
        <f>INDEX(List!B2:B13,D1)</f>
        <v>Mar</v>
      </c>
      <c r="D1" s="52">
        <v>9</v>
      </c>
      <c r="G1" s="52" t="str">
        <f>"Undercutting Programme YTD "&amp;C1</f>
        <v>Undercutting Programme YTD Mar</v>
      </c>
    </row>
    <row r="2" spans="1:7" s="52" customFormat="1" x14ac:dyDescent="0.2"/>
    <row r="3" spans="1:7" s="52" customFormat="1" ht="18.75" thickBot="1" x14ac:dyDescent="0.3">
      <c r="A3" s="497" t="s">
        <v>522</v>
      </c>
      <c r="B3" s="498"/>
      <c r="C3" s="498"/>
      <c r="D3" s="498"/>
      <c r="E3" s="498"/>
      <c r="F3" s="498"/>
      <c r="G3" s="498"/>
    </row>
    <row r="4" spans="1:7" s="52" customFormat="1" ht="39" thickBot="1" x14ac:dyDescent="0.25">
      <c r="A4" s="242" t="s">
        <v>163</v>
      </c>
      <c r="B4" s="142" t="s">
        <v>331</v>
      </c>
      <c r="C4" s="142" t="s">
        <v>329</v>
      </c>
      <c r="D4" s="142" t="s">
        <v>328</v>
      </c>
      <c r="E4" s="142" t="s">
        <v>327</v>
      </c>
      <c r="F4" s="241" t="s">
        <v>525</v>
      </c>
      <c r="G4" s="237" t="s">
        <v>528</v>
      </c>
    </row>
    <row r="5" spans="1:7" s="52" customFormat="1" x14ac:dyDescent="0.2">
      <c r="A5" s="238" t="str">
        <f>List!A2</f>
        <v>Main Line</v>
      </c>
      <c r="B5" s="239">
        <f>SUMIFS(Programme!AD:AD,Programme!AF:AF,$B$1,Programme!$AH:AH,"&lt;="&amp;$D$1,Programme!C:C,$A5)</f>
        <v>2.5700000000000012</v>
      </c>
      <c r="C5" s="239">
        <f>SUMIFS(Programme!AD:AD,Programme!AF:AF,$B$1,Programme!AH:AH,"&lt;="&amp;$D$1,Programme!C:C,$A5,Programme!A:A,"LOW")</f>
        <v>0</v>
      </c>
      <c r="D5" s="239">
        <f>SUMIFS(Programme!AD:AD,Programme!AF:AF,$B$1,Programme!AH:AH,"&lt;="&amp;$D$1,Programme!C:C,$A5,Programme!A:A,"MEDIUM")</f>
        <v>0</v>
      </c>
      <c r="E5" s="239">
        <f>SUMIFS(Programme!AD:AD,Programme!AF:AF,$B$1,Programme!AH:AH,"&lt;="&amp;$D$1,Programme!C:C,$A5,Programme!A:A,"HIGH")</f>
        <v>2.5700000000000012</v>
      </c>
      <c r="F5" s="240">
        <f>IFERROR(B5/N45,"")</f>
        <v>1.1422222222222222</v>
      </c>
      <c r="G5" s="243">
        <f>IFERROR(B5/B25,"")</f>
        <v>0.14782858786310046</v>
      </c>
    </row>
    <row r="6" spans="1:7" s="52" customFormat="1" x14ac:dyDescent="0.2">
      <c r="A6" s="234" t="str">
        <f>List!A3</f>
        <v>North Coast Line</v>
      </c>
      <c r="B6" s="239">
        <f>SUMIFS(Programme!AD:AD,Programme!AF:AF,$B$1,Programme!$AH:AH,"&lt;="&amp;$D$1,Programme!C:C,$A6)</f>
        <v>1.8600000000000017</v>
      </c>
      <c r="C6" s="239">
        <f>SUMIFS(Programme!AD:AD,Programme!AF:AF,$B$1,Programme!AH:AH,"&lt;="&amp;$D$1,Programme!C:C,$A6,Programme!A:A,"LOW")</f>
        <v>0</v>
      </c>
      <c r="D6" s="239">
        <f>SUMIFS(Programme!AD:AD,Programme!AF:AF,$B$1,Programme!AH:AH,"&lt;="&amp;$D$1,Programme!C:C,$A6,Programme!A:A,"MEDIUM")</f>
        <v>0</v>
      </c>
      <c r="E6" s="239">
        <f>SUMIFS(Programme!AD:AD,Programme!AF:AF,$B$1,Programme!AH:AH,"&lt;="&amp;$D$1,Programme!C:C,$A6,Programme!A:A,"HIGH")</f>
        <v>1.8600000000000017</v>
      </c>
      <c r="F6" s="233">
        <f t="shared" ref="F6:F20" si="0">IFERROR(B6/N46,"")</f>
        <v>0.5535714285714286</v>
      </c>
      <c r="G6" s="243">
        <f t="shared" ref="G6:G20" si="1">IFERROR(B6/B26,"")</f>
        <v>6.9877526485836713E-2</v>
      </c>
    </row>
    <row r="7" spans="1:7" s="52" customFormat="1" x14ac:dyDescent="0.2">
      <c r="A7" s="234" t="str">
        <f>List!A4</f>
        <v>Ferny Grove Line</v>
      </c>
      <c r="B7" s="239">
        <f>SUMIFS(Programme!AD:AD,Programme!AF:AF,$B$1,Programme!$AH:AH,"&lt;="&amp;$D$1,Programme!C:C,$A7)</f>
        <v>0.42499999999999982</v>
      </c>
      <c r="C7" s="239">
        <f>SUMIFS(Programme!AD:AD,Programme!AF:AF,$B$1,Programme!AH:AH,"&lt;="&amp;$D$1,Programme!C:C,$A7,Programme!A:A,"LOW")</f>
        <v>0</v>
      </c>
      <c r="D7" s="239">
        <f>SUMIFS(Programme!AD:AD,Programme!AF:AF,$B$1,Programme!AH:AH,"&lt;="&amp;$D$1,Programme!C:C,$A7,Programme!A:A,"MEDIUM")</f>
        <v>0.42499999999999982</v>
      </c>
      <c r="E7" s="239">
        <f>SUMIFS(Programme!AD:AD,Programme!AF:AF,$B$1,Programme!AH:AH,"&lt;="&amp;$D$1,Programme!C:C,$A7,Programme!A:A,"HIGH")</f>
        <v>0</v>
      </c>
      <c r="F7" s="233">
        <f t="shared" si="0"/>
        <v>0.77272727272727271</v>
      </c>
      <c r="G7" s="243">
        <f t="shared" si="1"/>
        <v>0.11921458625525942</v>
      </c>
    </row>
    <row r="8" spans="1:7" s="52" customFormat="1" x14ac:dyDescent="0.2">
      <c r="A8" s="234" t="str">
        <f>List!A5</f>
        <v>Inner City Line (via Central)</v>
      </c>
      <c r="B8" s="239">
        <f>SUMIFS(Programme!AD:AD,Programme!AF:AF,$B$1,Programme!$AH:AH,"&lt;="&amp;$D$1,Programme!C:C,$A8)</f>
        <v>0</v>
      </c>
      <c r="C8" s="239">
        <f>SUMIFS(Programme!AD:AD,Programme!AF:AF,$B$1,Programme!AH:AH,"&lt;="&amp;$D$1,Programme!C:C,$A8,Programme!A:A,"LOW")</f>
        <v>0</v>
      </c>
      <c r="D8" s="239">
        <f>SUMIFS(Programme!AD:AD,Programme!AF:AF,$B$1,Programme!AH:AH,"&lt;="&amp;$D$1,Programme!C:C,$A8,Programme!A:A,"MEDIUM")</f>
        <v>0</v>
      </c>
      <c r="E8" s="239">
        <f>SUMIFS(Programme!AD:AD,Programme!AF:AF,$B$1,Programme!AH:AH,"&lt;="&amp;$D$1,Programme!C:C,$A8,Programme!A:A,"HIGH")</f>
        <v>0</v>
      </c>
      <c r="F8" s="233" t="str">
        <f t="shared" si="0"/>
        <v/>
      </c>
      <c r="G8" s="243">
        <f t="shared" si="1"/>
        <v>0</v>
      </c>
    </row>
    <row r="9" spans="1:7" s="52" customFormat="1" x14ac:dyDescent="0.2">
      <c r="A9" s="234" t="str">
        <f>List!A6</f>
        <v>Gold Coast / Beenleigh Line</v>
      </c>
      <c r="B9" s="239">
        <f>SUMIFS(Programme!AD:AD,Programme!AF:AF,$B$1,Programme!$AH:AH,"&lt;="&amp;$D$1,Programme!C:C,$A9)</f>
        <v>0.8300000000000054</v>
      </c>
      <c r="C9" s="239">
        <f>SUMIFS(Programme!AD:AD,Programme!AF:AF,$B$1,Programme!AH:AH,"&lt;="&amp;$D$1,Programme!C:C,$A9,Programme!A:A,"LOW")</f>
        <v>0</v>
      </c>
      <c r="D9" s="239">
        <f>SUMIFS(Programme!AD:AD,Programme!AF:AF,$B$1,Programme!AH:AH,"&lt;="&amp;$D$1,Programme!C:C,$A9,Programme!A:A,"MEDIUM")</f>
        <v>0</v>
      </c>
      <c r="E9" s="239">
        <f>SUMIFS(Programme!AD:AD,Programme!AF:AF,$B$1,Programme!AH:AH,"&lt;="&amp;$D$1,Programme!C:C,$A9,Programme!A:A,"HIGH")</f>
        <v>0.8300000000000054</v>
      </c>
      <c r="F9" s="233">
        <f t="shared" si="0"/>
        <v>1.2205882352941197</v>
      </c>
      <c r="G9" s="243">
        <f t="shared" si="1"/>
        <v>0.11971729410067855</v>
      </c>
    </row>
    <row r="10" spans="1:7" s="52" customFormat="1" x14ac:dyDescent="0.2">
      <c r="A10" s="234" t="str">
        <f>List!A7</f>
        <v>Shorncliffe Line</v>
      </c>
      <c r="B10" s="239">
        <f>SUMIFS(Programme!AD:AD,Programme!AF:AF,$B$1,Programme!$AH:AH,"&lt;="&amp;$D$1,Programme!C:C,$A10)</f>
        <v>0.76000000000000068</v>
      </c>
      <c r="C10" s="239">
        <f>SUMIFS(Programme!AD:AD,Programme!AF:AF,$B$1,Programme!AH:AH,"&lt;="&amp;$D$1,Programme!C:C,$A10,Programme!A:A,"LOW")</f>
        <v>0.1800000000000006</v>
      </c>
      <c r="D10" s="239">
        <f>SUMIFS(Programme!AD:AD,Programme!AF:AF,$B$1,Programme!AH:AH,"&lt;="&amp;$D$1,Programme!C:C,$A10,Programme!A:A,"MEDIUM")</f>
        <v>7.0000000000000284E-2</v>
      </c>
      <c r="E10" s="239">
        <f>SUMIFS(Programme!AD:AD,Programme!AF:AF,$B$1,Programme!AH:AH,"&lt;="&amp;$D$1,Programme!C:C,$A10,Programme!A:A,"HIGH")</f>
        <v>0.50999999999999979</v>
      </c>
      <c r="F10" s="233">
        <f t="shared" si="0"/>
        <v>1</v>
      </c>
      <c r="G10" s="243">
        <f t="shared" si="1"/>
        <v>0.18207954000958324</v>
      </c>
    </row>
    <row r="11" spans="1:7" s="52" customFormat="1" x14ac:dyDescent="0.2">
      <c r="A11" s="234" t="str">
        <f>List!A8</f>
        <v>Springfield Line</v>
      </c>
      <c r="B11" s="239">
        <f>SUMIFS(Programme!AD:AD,Programme!AF:AF,$B$1,Programme!$AH:AH,"&lt;="&amp;$D$1,Programme!C:C,$A11)</f>
        <v>0</v>
      </c>
      <c r="C11" s="239">
        <f>SUMIFS(Programme!AD:AD,Programme!AF:AF,$B$1,Programme!AH:AH,"&lt;="&amp;$D$1,Programme!C:C,$A11,Programme!A:A,"LOW")</f>
        <v>0</v>
      </c>
      <c r="D11" s="239">
        <f>SUMIFS(Programme!AD:AD,Programme!AF:AF,$B$1,Programme!AH:AH,"&lt;="&amp;$D$1,Programme!C:C,$A11,Programme!A:A,"MEDIUM")</f>
        <v>0</v>
      </c>
      <c r="E11" s="239">
        <f>SUMIFS(Programme!AD:AD,Programme!AF:AF,$B$1,Programme!AH:AH,"&lt;="&amp;$D$1,Programme!C:C,$A11,Programme!A:A,"HIGH")</f>
        <v>0</v>
      </c>
      <c r="F11" s="233" t="str">
        <f t="shared" si="0"/>
        <v/>
      </c>
      <c r="G11" s="243" t="str">
        <f t="shared" si="1"/>
        <v/>
      </c>
    </row>
    <row r="12" spans="1:7" s="52" customFormat="1" x14ac:dyDescent="0.2">
      <c r="A12" s="234" t="str">
        <f>List!A9</f>
        <v>Cleveland Line</v>
      </c>
      <c r="B12" s="239">
        <f>SUMIFS(Programme!AD:AD,Programme!AF:AF,$B$1,Programme!$AH:AH,"&lt;="&amp;$D$1,Programme!C:C,$A12)</f>
        <v>1.5000000000000009</v>
      </c>
      <c r="C12" s="239">
        <f>SUMIFS(Programme!AD:AD,Programme!AF:AF,$B$1,Programme!AH:AH,"&lt;="&amp;$D$1,Programme!C:C,$A12,Programme!A:A,"LOW")</f>
        <v>0</v>
      </c>
      <c r="D12" s="239">
        <f>SUMIFS(Programme!AD:AD,Programme!AF:AF,$B$1,Programme!AH:AH,"&lt;="&amp;$D$1,Programme!C:C,$A12,Programme!A:A,"MEDIUM")</f>
        <v>0.90000000000000036</v>
      </c>
      <c r="E12" s="239">
        <f>SUMIFS(Programme!AD:AD,Programme!AF:AF,$B$1,Programme!AH:AH,"&lt;="&amp;$D$1,Programme!C:C,$A12,Programme!A:A,"HIGH")</f>
        <v>0.60000000000000053</v>
      </c>
      <c r="F12" s="233">
        <f t="shared" si="0"/>
        <v>0.73891625615763545</v>
      </c>
      <c r="G12" s="243">
        <f t="shared" si="1"/>
        <v>0.34562211981566798</v>
      </c>
    </row>
    <row r="13" spans="1:7" s="52" customFormat="1" x14ac:dyDescent="0.2">
      <c r="A13" s="234" t="str">
        <f>List!A10</f>
        <v>Redcliffe Line</v>
      </c>
      <c r="B13" s="239">
        <f>SUMIFS(Programme!AD:AD,Programme!AF:AF,$B$1,Programme!$AH:AH,"&lt;="&amp;$D$1,Programme!C:C,$A13)</f>
        <v>0</v>
      </c>
      <c r="C13" s="239">
        <f>SUMIFS(Programme!AD:AD,Programme!AF:AF,$B$1,Programme!AH:AH,"&lt;="&amp;$D$1,Programme!C:C,$A13,Programme!A:A,"LOW")</f>
        <v>0</v>
      </c>
      <c r="D13" s="239">
        <f>SUMIFS(Programme!AD:AD,Programme!AF:AF,$B$1,Programme!AH:AH,"&lt;="&amp;$D$1,Programme!C:C,$A13,Programme!A:A,"MEDIUM")</f>
        <v>0</v>
      </c>
      <c r="E13" s="239">
        <f>SUMIFS(Programme!AD:AD,Programme!AF:AF,$B$1,Programme!AH:AH,"&lt;="&amp;$D$1,Programme!C:C,$A13,Programme!A:A,"HIGH")</f>
        <v>0</v>
      </c>
      <c r="F13" s="233" t="str">
        <f t="shared" si="0"/>
        <v/>
      </c>
      <c r="G13" s="243" t="str">
        <f t="shared" si="1"/>
        <v/>
      </c>
    </row>
    <row r="14" spans="1:7" s="52" customFormat="1" x14ac:dyDescent="0.2">
      <c r="A14" s="234" t="str">
        <f>List!A11</f>
        <v>Doomben Line</v>
      </c>
      <c r="B14" s="239">
        <f>SUMIFS(Programme!AD:AD,Programme!AF:AF,$B$1,Programme!$AH:AH,"&lt;="&amp;$D$1,Programme!C:C,$A14)</f>
        <v>0</v>
      </c>
      <c r="C14" s="239">
        <f>SUMIFS(Programme!AD:AD,Programme!AF:AF,$B$1,Programme!AH:AH,"&lt;="&amp;$D$1,Programme!C:C,$A14,Programme!A:A,"LOW")</f>
        <v>0</v>
      </c>
      <c r="D14" s="239">
        <f>SUMIFS(Programme!AD:AD,Programme!AF:AF,$B$1,Programme!AH:AH,"&lt;="&amp;$D$1,Programme!C:C,$A14,Programme!A:A,"MEDIUM")</f>
        <v>0</v>
      </c>
      <c r="E14" s="239">
        <f>SUMIFS(Programme!AD:AD,Programme!AF:AF,$B$1,Programme!AH:AH,"&lt;="&amp;$D$1,Programme!C:C,$A14,Programme!A:A,"HIGH")</f>
        <v>0</v>
      </c>
      <c r="F14" s="233" t="str">
        <f t="shared" si="0"/>
        <v/>
      </c>
      <c r="G14" s="243">
        <f t="shared" si="1"/>
        <v>0</v>
      </c>
    </row>
    <row r="15" spans="1:7" s="52" customFormat="1" x14ac:dyDescent="0.2">
      <c r="A15" s="234" t="str">
        <f>List!A12</f>
        <v>DG Dutton Park - Fisherman Is</v>
      </c>
      <c r="B15" s="239">
        <f>SUMIFS(Programme!AD:AD,Programme!AF:AF,$B$1,Programme!$AH:AH,"&lt;="&amp;$D$1,Programme!C:C,$A15)</f>
        <v>0.44999999999999929</v>
      </c>
      <c r="C15" s="239">
        <f>SUMIFS(Programme!AD:AD,Programme!AF:AF,$B$1,Programme!AH:AH,"&lt;="&amp;$D$1,Programme!C:C,$A15,Programme!A:A,"LOW")</f>
        <v>0</v>
      </c>
      <c r="D15" s="239">
        <f>SUMIFS(Programme!AD:AD,Programme!AF:AF,$B$1,Programme!AH:AH,"&lt;="&amp;$D$1,Programme!C:C,$A15,Programme!A:A,"MEDIUM")</f>
        <v>0.15999999999999948</v>
      </c>
      <c r="E15" s="239">
        <f>SUMIFS(Programme!AD:AD,Programme!AF:AF,$B$1,Programme!AH:AH,"&lt;="&amp;$D$1,Programme!C:C,$A15,Programme!A:A,"HIGH")</f>
        <v>0.28999999999999981</v>
      </c>
      <c r="F15" s="233">
        <f t="shared" si="0"/>
        <v>0.83333333333333193</v>
      </c>
      <c r="G15" s="243">
        <f t="shared" si="1"/>
        <v>0.2195121951219508</v>
      </c>
    </row>
    <row r="16" spans="1:7" s="52" customFormat="1" x14ac:dyDescent="0.2">
      <c r="A16" s="234" t="str">
        <f>List!A13</f>
        <v>DG Dutton Park - ARTC Int</v>
      </c>
      <c r="B16" s="239">
        <f>SUMIFS(Programme!AD:AD,Programme!AF:AF,$B$1,Programme!$AH:AH,"&lt;="&amp;$D$1,Programme!C:C,$A16)</f>
        <v>0.19999999999999929</v>
      </c>
      <c r="C16" s="239">
        <f>SUMIFS(Programme!AD:AD,Programme!AF:AF,$B$1,Programme!AH:AH,"&lt;="&amp;$D$1,Programme!C:C,$A16,Programme!A:A,"LOW")</f>
        <v>0</v>
      </c>
      <c r="D16" s="239">
        <f>SUMIFS(Programme!AD:AD,Programme!AF:AF,$B$1,Programme!AH:AH,"&lt;="&amp;$D$1,Programme!C:C,$A16,Programme!A:A,"MEDIUM")</f>
        <v>0</v>
      </c>
      <c r="E16" s="239">
        <f>SUMIFS(Programme!AD:AD,Programme!AF:AF,$B$1,Programme!AH:AH,"&lt;="&amp;$D$1,Programme!C:C,$A16,Programme!A:A,"HIGH")</f>
        <v>0.19999999999999929</v>
      </c>
      <c r="F16" s="233">
        <f t="shared" si="0"/>
        <v>1.6666666666666716</v>
      </c>
      <c r="G16" s="243">
        <f t="shared" si="1"/>
        <v>0.54054054054053979</v>
      </c>
    </row>
    <row r="17" spans="1:11" s="52" customFormat="1" x14ac:dyDescent="0.2">
      <c r="A17" s="234" t="str">
        <f>List!A14</f>
        <v>Tennyson Line</v>
      </c>
      <c r="B17" s="239">
        <f>SUMIFS(Programme!AD:AD,Programme!AF:AF,$B$1,Programme!$AH:AH,"&lt;="&amp;$D$1,Programme!C:C,$A17)</f>
        <v>0</v>
      </c>
      <c r="C17" s="239">
        <f>SUMIFS(Programme!AD:AD,Programme!AF:AF,$B$1,Programme!AH:AH,"&lt;="&amp;$D$1,Programme!C:C,$A17,Programme!A:A,"LOW")</f>
        <v>0</v>
      </c>
      <c r="D17" s="239">
        <f>SUMIFS(Programme!AD:AD,Programme!AF:AF,$B$1,Programme!AH:AH,"&lt;="&amp;$D$1,Programme!C:C,$A17,Programme!A:A,"MEDIUM")</f>
        <v>0</v>
      </c>
      <c r="E17" s="239">
        <f>SUMIFS(Programme!AD:AD,Programme!AF:AF,$B$1,Programme!AH:AH,"&lt;="&amp;$D$1,Programme!C:C,$A17,Programme!A:A,"HIGH")</f>
        <v>0</v>
      </c>
      <c r="F17" s="233" t="str">
        <f t="shared" si="0"/>
        <v/>
      </c>
      <c r="G17" s="243">
        <f t="shared" si="1"/>
        <v>0</v>
      </c>
    </row>
    <row r="18" spans="1:11" s="52" customFormat="1" x14ac:dyDescent="0.2">
      <c r="A18" s="234" t="str">
        <f>List!A15</f>
        <v>QR SPUR</v>
      </c>
      <c r="B18" s="239">
        <f>SUMIFS(Programme!AD:AD,Programme!AF:AF,$B$1,Programme!$AH:AH,"&lt;="&amp;$D$1,Programme!C:C,$A18)</f>
        <v>0</v>
      </c>
      <c r="C18" s="239">
        <f>SUMIFS(Programme!AD:AD,Programme!AF:AF,$B$1,Programme!AH:AH,"&lt;="&amp;$D$1,Programme!C:C,$A18,Programme!A:A,"LOW")</f>
        <v>0</v>
      </c>
      <c r="D18" s="239">
        <f>SUMIFS(Programme!AD:AD,Programme!AF:AF,$B$1,Programme!AH:AH,"&lt;="&amp;$D$1,Programme!C:C,$A18,Programme!A:A,"MEDIUM")</f>
        <v>0</v>
      </c>
      <c r="E18" s="239">
        <f>SUMIFS(Programme!AD:AD,Programme!AF:AF,$B$1,Programme!AH:AH,"&lt;="&amp;$D$1,Programme!C:C,$A18,Programme!A:A,"HIGH")</f>
        <v>0</v>
      </c>
      <c r="F18" s="233" t="str">
        <f t="shared" si="0"/>
        <v/>
      </c>
      <c r="G18" s="243">
        <f t="shared" si="1"/>
        <v>0</v>
      </c>
    </row>
    <row r="19" spans="1:11" s="52" customFormat="1" x14ac:dyDescent="0.2">
      <c r="A19" s="234" t="str">
        <f>List!A16</f>
        <v>DG Inner City</v>
      </c>
      <c r="B19" s="239">
        <f>SUMIFS(Programme!AD:AD,Programme!AF:AF,$B$1,Programme!$AH:AH,"&lt;="&amp;$D$1,Programme!C:C,$A19)</f>
        <v>0</v>
      </c>
      <c r="C19" s="239">
        <f>SUMIFS(Programme!AD:AD,Programme!AF:AF,$B$1,Programme!AH:AH,"&lt;="&amp;$D$1,Programme!C:C,$A19,Programme!A:A,"LOW")</f>
        <v>0</v>
      </c>
      <c r="D19" s="239">
        <f>SUMIFS(Programme!AD:AD,Programme!AF:AF,$B$1,Programme!AH:AH,"&lt;="&amp;$D$1,Programme!C:C,$A19,Programme!A:A,"MEDIUM")</f>
        <v>0</v>
      </c>
      <c r="E19" s="239">
        <f>SUMIFS(Programme!AD:AD,Programme!AF:AF,$B$1,Programme!AH:AH,"&lt;="&amp;$D$1,Programme!C:C,$A19,Programme!A:A,"HIGH")</f>
        <v>0</v>
      </c>
      <c r="F19" s="233" t="str">
        <f t="shared" si="0"/>
        <v/>
      </c>
      <c r="G19" s="243" t="str">
        <f t="shared" si="1"/>
        <v/>
      </c>
    </row>
    <row r="20" spans="1:11" s="52" customFormat="1" ht="13.5" thickBot="1" x14ac:dyDescent="0.25">
      <c r="A20" s="235" t="s">
        <v>512</v>
      </c>
      <c r="B20" s="151">
        <f>SUM(B5:B19)</f>
        <v>8.5950000000000095</v>
      </c>
      <c r="C20" s="151">
        <f>SUM(C5:C19)</f>
        <v>0.1800000000000006</v>
      </c>
      <c r="D20" s="151">
        <f>SUM(D5:D19)</f>
        <v>1.5549999999999999</v>
      </c>
      <c r="E20" s="151">
        <f>SUM(E5:E19)</f>
        <v>6.8600000000000083</v>
      </c>
      <c r="F20" s="236">
        <f t="shared" si="0"/>
        <v>0.83527696793002948</v>
      </c>
      <c r="G20" s="243">
        <f t="shared" si="1"/>
        <v>0.12061803586965686</v>
      </c>
    </row>
    <row r="21" spans="1:11" s="52" customFormat="1" x14ac:dyDescent="0.2"/>
    <row r="22" spans="1:11" s="52" customFormat="1" ht="13.5" thickBot="1" x14ac:dyDescent="0.25"/>
    <row r="23" spans="1:11" s="52" customFormat="1" ht="18.75" thickBot="1" x14ac:dyDescent="0.3">
      <c r="A23" s="493" t="s">
        <v>330</v>
      </c>
      <c r="B23" s="494"/>
      <c r="C23" s="494"/>
      <c r="D23" s="494"/>
      <c r="E23" s="494"/>
      <c r="F23" s="494"/>
      <c r="G23" s="494"/>
      <c r="H23" s="494"/>
      <c r="I23" s="495"/>
    </row>
    <row r="24" spans="1:11" ht="26.25" thickBot="1" x14ac:dyDescent="0.25">
      <c r="A24" s="141" t="s">
        <v>163</v>
      </c>
      <c r="B24" s="142" t="s">
        <v>331</v>
      </c>
      <c r="C24" s="142" t="s">
        <v>329</v>
      </c>
      <c r="D24" s="142" t="s">
        <v>328</v>
      </c>
      <c r="E24" s="143" t="s">
        <v>327</v>
      </c>
      <c r="F24" s="4" t="s">
        <v>332</v>
      </c>
      <c r="G24" s="134" t="s">
        <v>340</v>
      </c>
      <c r="H24" s="135" t="s">
        <v>338</v>
      </c>
      <c r="I24" s="136" t="s">
        <v>339</v>
      </c>
      <c r="J24" s="232" t="s">
        <v>529</v>
      </c>
      <c r="K24" s="232" t="s">
        <v>530</v>
      </c>
    </row>
    <row r="25" spans="1:11" x14ac:dyDescent="0.2">
      <c r="A25" s="137" t="str">
        <f>List!A2</f>
        <v>Main Line</v>
      </c>
      <c r="B25" s="138">
        <f>SUM(C25:E25)</f>
        <v>17.384999999999998</v>
      </c>
      <c r="C25" s="138">
        <f>SUMIFS(Table25781014[Length (km)],Table25781014[Priority],"LOW",Table25781014[Line],A25,Table25781014[Tentatively added / Undercut Complete?],"No")</f>
        <v>5.6809999999999992</v>
      </c>
      <c r="D25" s="138">
        <f>SUMIFS(Table25781014[Length (km)],Table25781014[Priority],"MEDIUM",Table25781014[Line],A25,Table25781014[Tentatively added / Undercut Complete?],"No")</f>
        <v>5.3300000000000072</v>
      </c>
      <c r="E25" s="139">
        <f>SUMIFS(Table25781014[Length (km)],Table25781014[Priority],"HIGH",Table25781014[Line],A25,Table25781014[Tentatively added / Undercut Complete?],"No")</f>
        <v>6.3739999999999926</v>
      </c>
      <c r="F25" s="140">
        <v>113.19999999999999</v>
      </c>
      <c r="G25" s="131">
        <f t="shared" ref="G25:G39" si="2">F25/$F$40</f>
        <v>0.14021562487613465</v>
      </c>
      <c r="H25" s="132">
        <f>B25/$B$40</f>
        <v>0.24397260658452377</v>
      </c>
      <c r="I25" s="133">
        <f>E25/$E$40</f>
        <v>0.26413061495110196</v>
      </c>
      <c r="J25">
        <f>SUMIFS(Programme!$L$3:$L$451,Programme!$C$3:$C$451,$A25,Programme!$R$3:$R$451,"Yes",Programme!$Z$3:$Z$451,"No")</f>
        <v>10.975</v>
      </c>
      <c r="K25" s="230">
        <f t="shared" ref="K25:K30" si="3">IFERROR(J25/B25,"")</f>
        <v>0.63129134311187807</v>
      </c>
    </row>
    <row r="26" spans="1:11" x14ac:dyDescent="0.2">
      <c r="A26" s="137" t="str">
        <f>List!A3</f>
        <v>North Coast Line</v>
      </c>
      <c r="B26" s="138">
        <f t="shared" ref="B26:B39" si="4">SUM(C26:E26)</f>
        <v>26.618000000000002</v>
      </c>
      <c r="C26" s="138">
        <f>SUMIFS(Table25781014[Length (km)],Table25781014[Priority],"LOW",Table25781014[Line],A26,Table25781014[Tentatively added / Undercut Complete?],"No")</f>
        <v>8.7029999999999745</v>
      </c>
      <c r="D26" s="138">
        <f>SUMIFS(Table25781014[Length (km)],Table25781014[Priority],"MEDIUM",Table25781014[Line],A26,Table25781014[Tentatively added / Undercut Complete?],"No")</f>
        <v>7.6220000000000132</v>
      </c>
      <c r="E26" s="139">
        <f>SUMIFS(Table25781014[Length (km)],Table25781014[Priority],"HIGH",Table25781014[Line],A26,Table25781014[Tentatively added / Undercut Complete?],"No")</f>
        <v>10.293000000000012</v>
      </c>
      <c r="F26" s="120">
        <v>289.85799999999995</v>
      </c>
      <c r="G26" s="126">
        <f t="shared" si="2"/>
        <v>0.35903375084228473</v>
      </c>
      <c r="H26" s="125">
        <f t="shared" ref="H26:H39" si="5">B26/$B$40</f>
        <v>0.37354402312722779</v>
      </c>
      <c r="I26" s="127">
        <f t="shared" ref="I26:I39" si="6">E26/$E$40</f>
        <v>0.42652909000497313</v>
      </c>
      <c r="J26" s="52">
        <f>SUMIFS(Programme!$L$3:$L$451,Programme!$C$3:$C$451,$A26,Programme!$R$3:$R$451,"Yes",Programme!$Z$3:$Z$451,"No")</f>
        <v>16.007999999999974</v>
      </c>
      <c r="K26" s="230">
        <f t="shared" si="3"/>
        <v>0.60139755052971566</v>
      </c>
    </row>
    <row r="27" spans="1:11" x14ac:dyDescent="0.2">
      <c r="A27" s="137" t="str">
        <f>List!A4</f>
        <v>Ferny Grove Line</v>
      </c>
      <c r="B27" s="138">
        <f t="shared" si="4"/>
        <v>3.5649999999999999</v>
      </c>
      <c r="C27" s="138">
        <f>SUMIFS(Table25781014[Length (km)],Table25781014[Priority],"LOW",Table25781014[Line],A27,Table25781014[Tentatively added / Undercut Complete?],"No")</f>
        <v>1.8000000000000007</v>
      </c>
      <c r="D27" s="138">
        <f>SUMIFS(Table25781014[Length (km)],Table25781014[Priority],"MEDIUM",Table25781014[Line],A27,Table25781014[Tentatively added / Undercut Complete?],"No")</f>
        <v>0.87499999999999989</v>
      </c>
      <c r="E27" s="139">
        <f>SUMIFS(Table25781014[Length (km)],Table25781014[Priority],"HIGH",Table25781014[Line],A27,Table25781014[Tentatively added / Undercut Complete?],"No")</f>
        <v>0.88999999999999935</v>
      </c>
      <c r="F27" s="120">
        <v>27.376000000000001</v>
      </c>
      <c r="G27" s="126">
        <f t="shared" si="2"/>
        <v>3.3909389987712563E-2</v>
      </c>
      <c r="H27" s="125">
        <f t="shared" si="5"/>
        <v>5.0029470375256103E-2</v>
      </c>
      <c r="I27" s="127">
        <f t="shared" si="6"/>
        <v>3.6880490634841674E-2</v>
      </c>
      <c r="J27" s="52">
        <f>SUMIFS(Programme!$L$3:$L$451,Programme!$C$3:$C$451,$A27,Programme!$R$3:$R$451,"Yes",Programme!$Z$3:$Z$451,"No")</f>
        <v>2.7149999999999994</v>
      </c>
      <c r="K27" s="230">
        <f t="shared" si="3"/>
        <v>0.76157082748948091</v>
      </c>
    </row>
    <row r="28" spans="1:11" x14ac:dyDescent="0.2">
      <c r="A28" s="137" t="str">
        <f>List!A5</f>
        <v>Inner City Line (via Central)</v>
      </c>
      <c r="B28" s="138">
        <f t="shared" si="4"/>
        <v>1.4419999999999999</v>
      </c>
      <c r="C28" s="138">
        <f>SUMIFS(Table25781014[Length (km)],Table25781014[Priority],"LOW",Table25781014[Line],A28,Table25781014[Tentatively added / Undercut Complete?],"No")</f>
        <v>0.35700000000000021</v>
      </c>
      <c r="D28" s="138">
        <f>SUMIFS(Table25781014[Length (km)],Table25781014[Priority],"MEDIUM",Table25781014[Line],A28,Table25781014[Tentatively added / Undercut Complete?],"No")</f>
        <v>0.69999999999999973</v>
      </c>
      <c r="E28" s="139">
        <f>SUMIFS(Table25781014[Length (km)],Table25781014[Priority],"HIGH",Table25781014[Line],A28,Table25781014[Tentatively added / Undercut Complete?],"No")</f>
        <v>0.38500000000000001</v>
      </c>
      <c r="F28" s="120">
        <v>13.64</v>
      </c>
      <c r="G28" s="126">
        <f t="shared" si="2"/>
        <v>1.6895239605216224E-2</v>
      </c>
      <c r="H28" s="125">
        <f t="shared" si="5"/>
        <v>2.0236324342529959E-2</v>
      </c>
      <c r="I28" s="127">
        <f t="shared" si="6"/>
        <v>1.5953920106083208E-2</v>
      </c>
      <c r="J28" s="52">
        <f>SUMIFS(Programme!$L$3:$L$459,Programme!$C$3:$C$459,$A28,Programme!$R$3:$R$459,"Yes",Programme!$Z$3:$Z$459,"No")</f>
        <v>0.18500000000000005</v>
      </c>
      <c r="K28" s="230">
        <f t="shared" si="3"/>
        <v>0.12829403606102641</v>
      </c>
    </row>
    <row r="29" spans="1:11" x14ac:dyDescent="0.2">
      <c r="A29" s="137" t="str">
        <f>List!A6</f>
        <v>Gold Coast / Beenleigh Line</v>
      </c>
      <c r="B29" s="138">
        <f t="shared" si="4"/>
        <v>6.9330000000000087</v>
      </c>
      <c r="C29" s="138">
        <f>SUMIFS(Table25781014[Length (km)],Table25781014[Priority],"LOW",Table25781014[Line],A29,Table25781014[Tentatively added / Undercut Complete?],"No")</f>
        <v>3.1800000000000068</v>
      </c>
      <c r="D29" s="138">
        <f>SUMIFS(Table25781014[Length (km)],Table25781014[Priority],"MEDIUM",Table25781014[Line],A29,Table25781014[Tentatively added / Undercut Complete?],"No")</f>
        <v>3.1430000000000002</v>
      </c>
      <c r="E29" s="139">
        <f>SUMIFS(Table25781014[Length (km)],Table25781014[Priority],"HIGH",Table25781014[Line],A29,Table25781014[Tentatively added / Undercut Complete?],"No")</f>
        <v>0.61000000000000076</v>
      </c>
      <c r="F29" s="120">
        <v>188.95</v>
      </c>
      <c r="G29" s="126">
        <f t="shared" si="2"/>
        <v>0.23404366007372474</v>
      </c>
      <c r="H29" s="125">
        <f t="shared" si="5"/>
        <v>9.7294338881248527E-2</v>
      </c>
      <c r="I29" s="127">
        <f t="shared" si="6"/>
        <v>2.5277639648599401E-2</v>
      </c>
      <c r="J29" s="52">
        <f>SUMIFS(Programme!$L$3:$L$451,Programme!$C$3:$C$451,$A29,Programme!$R$3:$R$451,"Yes",Programme!$Z$3:$Z$451,"No")</f>
        <v>1.942999999999997</v>
      </c>
      <c r="K29" s="230">
        <f t="shared" si="3"/>
        <v>0.28025385835857414</v>
      </c>
    </row>
    <row r="30" spans="1:11" x14ac:dyDescent="0.2">
      <c r="A30" s="137" t="str">
        <f>List!A7</f>
        <v>Shorncliffe Line</v>
      </c>
      <c r="B30" s="138">
        <f>SUM(C30:E30)</f>
        <v>4.1740000000000013</v>
      </c>
      <c r="C30" s="138">
        <f>SUMIFS(Table25781014[Length (km)],Table25781014[Priority],"LOW",Table25781014[Line],A30,Table25781014[Tentatively added / Undercut Complete?],"No")</f>
        <v>1.3500000000000005</v>
      </c>
      <c r="D30" s="138">
        <f>SUMIFS(Table25781014[Length (km)],Table25781014[Priority],"MEDIUM",Table25781014[Line],A30,Table25781014[Tentatively added / Undercut Complete?],"No")</f>
        <v>1.1000000000000014</v>
      </c>
      <c r="E30" s="139">
        <f>SUMIFS(Table25781014[Length (km)],Table25781014[Priority],"HIGH",Table25781014[Line],A30,Table25781014[Tentatively added / Undercut Complete?],"No")</f>
        <v>1.7239999999999991</v>
      </c>
      <c r="F30" s="120">
        <v>21.425999999999998</v>
      </c>
      <c r="G30" s="126">
        <f t="shared" si="2"/>
        <v>2.6539399104205483E-2</v>
      </c>
      <c r="H30" s="125">
        <f t="shared" si="5"/>
        <v>5.8575879199528481E-2</v>
      </c>
      <c r="I30" s="127">
        <f t="shared" si="6"/>
        <v>7.1440411072434901E-2</v>
      </c>
      <c r="J30" s="52">
        <f>SUMIFS(Programme!$L$3:$L$451,Programme!$C$3:$C$451,$A30,Programme!$R$3:$R$451,"Yes",Programme!$Z$3:$Z$451,"No")</f>
        <v>2.4040000000000008</v>
      </c>
      <c r="K30" s="230">
        <f t="shared" si="3"/>
        <v>0.57594633445136556</v>
      </c>
    </row>
    <row r="31" spans="1:11" x14ac:dyDescent="0.2">
      <c r="A31" s="137" t="str">
        <f>List!A8</f>
        <v>Springfield Line</v>
      </c>
      <c r="B31" s="138">
        <f t="shared" si="4"/>
        <v>0</v>
      </c>
      <c r="C31" s="138">
        <f>SUMIFS(Table25781014[Length (km)],Table25781014[Priority],"LOW",Table25781014[Line],A31,Table25781014[Tentatively added / Undercut Complete?],"No")</f>
        <v>0</v>
      </c>
      <c r="D31" s="138">
        <f>SUMIFS(Table25781014[Length (km)],Table25781014[Priority],"MEDIUM",Table25781014[Line],A31,Table25781014[Tentatively added / Undercut Complete?],"No")</f>
        <v>0</v>
      </c>
      <c r="E31" s="139">
        <f>SUMIFS(Table25781014[Length (km)],Table25781014[Priority],"HIGH",Table25781014[Line],A31,Table25781014[Tentatively added / Undercut Complete?],"No")</f>
        <v>0</v>
      </c>
      <c r="F31" s="120">
        <v>27.92</v>
      </c>
      <c r="G31" s="126">
        <f t="shared" si="2"/>
        <v>3.4583217725633213E-2</v>
      </c>
      <c r="H31" s="125">
        <f t="shared" si="5"/>
        <v>0</v>
      </c>
      <c r="I31" s="127">
        <f t="shared" si="6"/>
        <v>0</v>
      </c>
      <c r="J31" s="52">
        <f>SUMIFS(Programme!$L$3:$L$451,Programme!$C$3:$C$451,$A31,Programme!$R$3:$R$451,"Yes",Programme!$Z$3:$Z$451,"No")</f>
        <v>0</v>
      </c>
      <c r="K31" s="230" t="str">
        <f>IFERROR(J31/B31,"")</f>
        <v/>
      </c>
    </row>
    <row r="32" spans="1:11" x14ac:dyDescent="0.2">
      <c r="A32" s="137" t="str">
        <f>List!A9</f>
        <v>Cleveland Line</v>
      </c>
      <c r="B32" s="138">
        <f t="shared" si="4"/>
        <v>4.3400000000000052</v>
      </c>
      <c r="C32" s="138">
        <f>SUMIFS(Table25781014[Length (km)],Table25781014[Priority],"LOW",Table25781014[Line],A32,Table25781014[Tentatively added / Undercut Complete?],"No")</f>
        <v>1.7700000000000053</v>
      </c>
      <c r="D32" s="138">
        <f>SUMIFS(Table25781014[Length (km)],Table25781014[Priority],"MEDIUM",Table25781014[Line],A32,Table25781014[Tentatively added / Undercut Complete?],"No")</f>
        <v>2.1599999999999993</v>
      </c>
      <c r="E32" s="139">
        <f>SUMIFS(Table25781014[Length (km)],Table25781014[Priority],"HIGH",Table25781014[Line],A32,Table25781014[Tentatively added / Undercut Complete?],"No")</f>
        <v>0.41000000000000014</v>
      </c>
      <c r="F32" s="120">
        <v>51.462999999999994</v>
      </c>
      <c r="G32" s="126">
        <f t="shared" si="2"/>
        <v>6.3744847199651206E-2</v>
      </c>
      <c r="H32" s="125">
        <f t="shared" si="5"/>
        <v>6.0905442195964027E-2</v>
      </c>
      <c r="I32" s="127">
        <f t="shared" si="6"/>
        <v>1.6989888944140566E-2</v>
      </c>
      <c r="J32" s="52">
        <f>SUMIFS(Programme!$L$3:$L$451,Programme!$C$3:$C$451,$A32,Programme!$R$3:$R$451,"Yes",Programme!$Z$3:$Z$451,"No")</f>
        <v>2.7400000000000029</v>
      </c>
      <c r="K32" s="230">
        <f t="shared" ref="K32:K39" si="7">IFERROR(J32/B32,"")</f>
        <v>0.63133640552995385</v>
      </c>
    </row>
    <row r="33" spans="1:16" x14ac:dyDescent="0.2">
      <c r="A33" s="137" t="str">
        <f>List!A10</f>
        <v>Redcliffe Line</v>
      </c>
      <c r="B33" s="138">
        <f t="shared" si="4"/>
        <v>0</v>
      </c>
      <c r="C33" s="138">
        <f>SUMIFS(Table25781014[Length (km)],Table25781014[Priority],"LOW",Table25781014[Line],A33,Table25781014[Tentatively added / Undercut Complete?],"No")</f>
        <v>0</v>
      </c>
      <c r="D33" s="138">
        <f>SUMIFS(Table25781014[Length (km)],Table25781014[Priority],"MEDIUM",Table25781014[Line],A33,Table25781014[Tentatively added / Undercut Complete?],"No")</f>
        <v>0</v>
      </c>
      <c r="E33" s="139">
        <f>SUMIFS(Table25781014[Length (km)],Table25781014[Priority],"HIGH",Table25781014[Line],A33,Table25781014[Tentatively added / Undercut Complete?],"No")</f>
        <v>0</v>
      </c>
      <c r="F33" s="120">
        <f>2*12.695</f>
        <v>25.39</v>
      </c>
      <c r="G33" s="126">
        <f t="shared" si="2"/>
        <v>3.1449423282730204E-2</v>
      </c>
      <c r="H33" s="125">
        <f t="shared" si="5"/>
        <v>0</v>
      </c>
      <c r="I33" s="127">
        <f t="shared" si="6"/>
        <v>0</v>
      </c>
      <c r="J33" s="52">
        <f>SUMIFS(Programme!$L$3:$L$451,Programme!$C$3:$C$451,$A33,Programme!$R$3:$R$451,"Yes",Programme!$Z$3:$Z$451,"No")</f>
        <v>0</v>
      </c>
      <c r="K33" s="230" t="str">
        <f t="shared" si="7"/>
        <v/>
      </c>
    </row>
    <row r="34" spans="1:16" x14ac:dyDescent="0.2">
      <c r="A34" s="137" t="str">
        <f>List!A11</f>
        <v>Doomben Line</v>
      </c>
      <c r="B34" s="138">
        <f t="shared" si="4"/>
        <v>2.5900000000000003</v>
      </c>
      <c r="C34" s="138">
        <f>SUMIFS(Table25781014[Length (km)],Table25781014[Priority],"LOW",Table25781014[Line],A34,Table25781014[Tentatively added / Undercut Complete?],"No")</f>
        <v>0.73500000000000032</v>
      </c>
      <c r="D34" s="138">
        <f>SUMIFS(Table25781014[Length (km)],Table25781014[Priority],"MEDIUM",Table25781014[Line],A34,Table25781014[Tentatively added / Undercut Complete?],"No")</f>
        <v>0.97000000000000008</v>
      </c>
      <c r="E34" s="139">
        <f>SUMIFS(Table25781014[Length (km)],Table25781014[Priority],"HIGH",Table25781014[Line],A34,Table25781014[Tentatively added / Undercut Complete?],"No")</f>
        <v>0.88499999999999968</v>
      </c>
      <c r="F34" s="120">
        <v>7.3360000000000003</v>
      </c>
      <c r="G34" s="126">
        <f t="shared" si="2"/>
        <v>9.0867652304887272E-3</v>
      </c>
      <c r="H34" s="125">
        <f t="shared" si="5"/>
        <v>3.6346796149204302E-2</v>
      </c>
      <c r="I34" s="127">
        <f t="shared" si="6"/>
        <v>3.6673296867230219E-2</v>
      </c>
      <c r="J34" s="52">
        <f>SUMIFS(Programme!$L$3:$L$451,Programme!$C$3:$C$451,$A34,Programme!$R$3:$R$451,"Yes",Programme!$Z$3:$Z$451,"No")</f>
        <v>2.09</v>
      </c>
      <c r="K34" s="230">
        <f t="shared" si="7"/>
        <v>0.80694980694980678</v>
      </c>
    </row>
    <row r="35" spans="1:16" x14ac:dyDescent="0.2">
      <c r="A35" s="137" t="str">
        <f>List!A12</f>
        <v>DG Dutton Park - Fisherman Is</v>
      </c>
      <c r="B35" s="138">
        <f t="shared" si="4"/>
        <v>2.0500000000000007</v>
      </c>
      <c r="C35" s="138">
        <f>SUMIFS(Table25781014[Length (km)],Table25781014[Priority],"LOW",Table25781014[Line],A35,Table25781014[Tentatively added / Undercut Complete?],"No")</f>
        <v>0.39999999999999991</v>
      </c>
      <c r="D35" s="138">
        <f>SUMIFS(Table25781014[Length (km)],Table25781014[Priority],"MEDIUM",Table25781014[Line],A35,Table25781014[Tentatively added / Undercut Complete?],"No")</f>
        <v>0.63000000000000012</v>
      </c>
      <c r="E35" s="139">
        <f>SUMIFS(Table25781014[Length (km)],Table25781014[Priority],"HIGH",Table25781014[Line],A35,Table25781014[Tentatively added / Undercut Complete?],"No")</f>
        <v>1.0200000000000005</v>
      </c>
      <c r="F35" s="120">
        <v>21.069000000000003</v>
      </c>
      <c r="G35" s="126">
        <f t="shared" si="2"/>
        <v>2.6097199651195065E-2</v>
      </c>
      <c r="H35" s="125">
        <f t="shared" si="5"/>
        <v>2.876869965477561E-2</v>
      </c>
      <c r="I35" s="127">
        <f t="shared" si="6"/>
        <v>4.2267528592739946E-2</v>
      </c>
      <c r="J35" s="52">
        <f>SUMIFS(Programme!$L$3:$L$451,Programme!$C$3:$C$451,$A35,Programme!$R$3:$R$451,"Yes",Programme!$Z$3:$Z$451,"No")</f>
        <v>1.45</v>
      </c>
      <c r="K35" s="230">
        <f t="shared" si="7"/>
        <v>0.70731707317073145</v>
      </c>
    </row>
    <row r="36" spans="1:16" x14ac:dyDescent="0.2">
      <c r="A36" s="137" t="str">
        <f>List!A13</f>
        <v>DG Dutton Park - ARTC Int</v>
      </c>
      <c r="B36" s="138">
        <f t="shared" si="4"/>
        <v>0.36999999999999922</v>
      </c>
      <c r="C36" s="138">
        <f>SUMIFS(Table25781014[Length (km)],Table25781014[Priority],"LOW",Table25781014[Line],A36,Table25781014[Tentatively added / Undercut Complete?],"No")</f>
        <v>0.19999999999999929</v>
      </c>
      <c r="D36" s="138">
        <f>SUMIFS(Table25781014[Length (km)],Table25781014[Priority],"MEDIUM",Table25781014[Line],A36,Table25781014[Tentatively added / Undercut Complete?],"No")</f>
        <v>0</v>
      </c>
      <c r="E36" s="139">
        <f>SUMIFS(Table25781014[Length (km)],Table25781014[Priority],"HIGH",Table25781014[Line],A36,Table25781014[Tentatively added / Undercut Complete?],"No")</f>
        <v>0.16999999999999993</v>
      </c>
      <c r="F36" s="120">
        <v>11.8</v>
      </c>
      <c r="G36" s="126">
        <f t="shared" si="2"/>
        <v>1.4616116374014037E-2</v>
      </c>
      <c r="H36" s="125">
        <f t="shared" si="5"/>
        <v>5.1923994498863169E-3</v>
      </c>
      <c r="I36" s="127">
        <f t="shared" si="6"/>
        <v>7.0445880987899849E-3</v>
      </c>
      <c r="J36" s="52">
        <f>SUMIFS(Programme!$L$3:$L$451,Programme!$C$3:$C$451,$A36,Programme!$R$3:$R$451,"Yes",Programme!$Z$3:$Z$451,"No")</f>
        <v>0.16999999999999993</v>
      </c>
      <c r="K36" s="230">
        <f t="shared" si="7"/>
        <v>0.45945945945946026</v>
      </c>
    </row>
    <row r="37" spans="1:16" x14ac:dyDescent="0.2">
      <c r="A37" s="137" t="str">
        <f>List!A14</f>
        <v>Tennyson Line</v>
      </c>
      <c r="B37" s="138">
        <f t="shared" si="4"/>
        <v>1.0910000000000002</v>
      </c>
      <c r="C37" s="138">
        <f>SUMIFS(Table25781014[Length (km)],Table25781014[Priority],"LOW",Table25781014[Line],A37,Table25781014[Tentatively added / Undercut Complete?],"No")</f>
        <v>0.42000000000000015</v>
      </c>
      <c r="D37" s="138">
        <f>SUMIFS(Table25781014[Length (km)],Table25781014[Priority],"MEDIUM",Table25781014[Line],A37,Table25781014[Tentatively added / Undercut Complete?],"No")</f>
        <v>0</v>
      </c>
      <c r="E37" s="139">
        <f>SUMIFS(Table25781014[Length (km)],Table25781014[Priority],"HIGH",Table25781014[Line],A37,Table25781014[Tentatively added / Undercut Complete?],"No")</f>
        <v>0.67100000000000004</v>
      </c>
      <c r="F37" s="120">
        <v>7.9</v>
      </c>
      <c r="G37" s="126">
        <f t="shared" si="2"/>
        <v>9.7853660470093983E-3</v>
      </c>
      <c r="H37" s="125">
        <f t="shared" si="5"/>
        <v>1.531056162115131E-2</v>
      </c>
      <c r="I37" s="127">
        <f t="shared" si="6"/>
        <v>2.7805403613459307E-2</v>
      </c>
      <c r="J37" s="52">
        <f>SUMIFS(Programme!$L$3:$L$451,Programme!$C$3:$C$451,$A37,Programme!$R$3:$R$451,"Yes",Programme!$Z$3:$Z$451,"No")</f>
        <v>0.32800000000000007</v>
      </c>
      <c r="K37" s="230">
        <f t="shared" si="7"/>
        <v>0.30064161319890009</v>
      </c>
    </row>
    <row r="38" spans="1:16" x14ac:dyDescent="0.2">
      <c r="A38" s="137" t="str">
        <f>List!A15</f>
        <v>QR SPUR</v>
      </c>
      <c r="B38" s="138">
        <f t="shared" si="4"/>
        <v>0.69999999999999929</v>
      </c>
      <c r="C38" s="138">
        <f>SUMIFS(Table25781014[Length (km)],Table25781014[Priority],"LOW",Table25781014[Line],A38,Table25781014[Tentatively added / Undercut Complete?],"No")</f>
        <v>0</v>
      </c>
      <c r="D38" s="138">
        <f>SUMIFS(Table25781014[Length (km)],Table25781014[Priority],"MEDIUM",Table25781014[Line],A38,Table25781014[Tentatively added / Undercut Complete?],"No")</f>
        <v>0</v>
      </c>
      <c r="E38" s="139">
        <f>SUMIFS(Table25781014[Length (km)],Table25781014[Priority],"HIGH",Table25781014[Line],A38,Table25781014[Tentatively added / Undercut Complete?],"No")</f>
        <v>0.69999999999999929</v>
      </c>
      <c r="F38" s="120">
        <v>1.6449999999999996</v>
      </c>
      <c r="G38" s="126">
        <f t="shared" si="2"/>
        <v>2.037585714851956E-3</v>
      </c>
      <c r="H38" s="125">
        <f t="shared" si="5"/>
        <v>9.823458418703853E-3</v>
      </c>
      <c r="I38" s="127">
        <f t="shared" si="6"/>
        <v>2.9007127465605805E-2</v>
      </c>
      <c r="J38" s="52">
        <f>SUMIFS(Programme!$L$3:$L$451,Programme!$C$3:$C$451,$A38,Programme!$R$3:$R$451,"Yes",Programme!$Z$3:$Z$451,"No")</f>
        <v>0</v>
      </c>
      <c r="K38" s="230">
        <f t="shared" si="7"/>
        <v>0</v>
      </c>
    </row>
    <row r="39" spans="1:16" s="52" customFormat="1" ht="13.5" thickBot="1" x14ac:dyDescent="0.25">
      <c r="A39" s="137" t="str">
        <f>List!A16</f>
        <v>DG Inner City</v>
      </c>
      <c r="B39" s="138">
        <f t="shared" si="4"/>
        <v>0</v>
      </c>
      <c r="C39" s="138">
        <f>SUMIFS(Table25781014[Length (km)],Table25781014[Priority],"LOW",Table25781014[Line],A39,Table25781014[Tentatively added / Undercut Complete?],"No")</f>
        <v>0</v>
      </c>
      <c r="D39" s="138">
        <f>SUMIFS(Table25781014[Length (km)],Table25781014[Priority],"MEDIUM",Table25781014[Line],A39,Table25781014[Tentatively added / Undercut Complete?],"No")</f>
        <v>0</v>
      </c>
      <c r="E39" s="139">
        <f>SUMIFS(Table25781014[Length (km)],Table25781014[Priority],"HIGH",Table25781014[Line],A39,Table25781014[Tentatively added / Undercut Complete?],"No")</f>
        <v>0</v>
      </c>
      <c r="F39" s="120">
        <v>2.6219999999999999</v>
      </c>
      <c r="G39" s="128">
        <f t="shared" si="2"/>
        <v>3.2477506044631187E-3</v>
      </c>
      <c r="H39" s="129">
        <f t="shared" si="5"/>
        <v>0</v>
      </c>
      <c r="I39" s="130">
        <f t="shared" si="6"/>
        <v>0</v>
      </c>
      <c r="J39" s="52">
        <f>SUMIFS(Programme!$L$3:$L$451,Programme!$C$3:$C$451,$A39,Programme!$R$3:$R$451,"Yes",Programme!$Z$3:$Z$451,"No")</f>
        <v>0</v>
      </c>
      <c r="K39" s="230" t="str">
        <f t="shared" si="7"/>
        <v/>
      </c>
    </row>
    <row r="40" spans="1:16" ht="13.5" thickBot="1" x14ac:dyDescent="0.25">
      <c r="A40" s="117" t="s">
        <v>333</v>
      </c>
      <c r="B40" s="118">
        <f>SUM(B25:B38)</f>
        <v>71.25800000000001</v>
      </c>
      <c r="C40" s="118">
        <f>SUM(C25:C38)</f>
        <v>24.595999999999989</v>
      </c>
      <c r="D40" s="118">
        <f>SUM(D25:D38)</f>
        <v>22.530000000000019</v>
      </c>
      <c r="E40" s="119">
        <f>SUM(E25:E38)</f>
        <v>24.132000000000001</v>
      </c>
      <c r="F40" s="121">
        <f>SUM(F25:F37)</f>
        <v>807.32799999999975</v>
      </c>
      <c r="G40" s="52"/>
    </row>
    <row r="42" spans="1:16" s="52" customFormat="1" x14ac:dyDescent="0.2"/>
    <row r="43" spans="1:16" ht="13.5" thickBot="1" x14ac:dyDescent="0.25">
      <c r="A43" s="496" t="s">
        <v>507</v>
      </c>
      <c r="B43" s="496"/>
      <c r="C43" s="496"/>
      <c r="D43" s="496"/>
      <c r="E43" s="496"/>
      <c r="F43" s="496"/>
      <c r="G43" s="496"/>
      <c r="H43" s="496"/>
      <c r="I43" s="496"/>
      <c r="J43" s="496"/>
      <c r="K43" s="496"/>
      <c r="L43" s="496"/>
      <c r="M43" s="496"/>
      <c r="N43" s="496"/>
      <c r="O43" s="496"/>
    </row>
    <row r="44" spans="1:16" ht="13.5" thickBot="1" x14ac:dyDescent="0.25">
      <c r="A44" s="224" t="s">
        <v>163</v>
      </c>
      <c r="B44" s="223" t="s">
        <v>496</v>
      </c>
      <c r="C44" s="223" t="s">
        <v>497</v>
      </c>
      <c r="D44" s="223" t="s">
        <v>498</v>
      </c>
      <c r="E44" s="223" t="s">
        <v>499</v>
      </c>
      <c r="F44" s="223" t="s">
        <v>500</v>
      </c>
      <c r="G44" s="223" t="s">
        <v>501</v>
      </c>
      <c r="H44" s="223" t="s">
        <v>502</v>
      </c>
      <c r="I44" s="223" t="s">
        <v>503</v>
      </c>
      <c r="J44" s="223" t="s">
        <v>504</v>
      </c>
      <c r="K44" s="223" t="s">
        <v>505</v>
      </c>
      <c r="L44" s="223" t="s">
        <v>506</v>
      </c>
      <c r="M44" s="223" t="s">
        <v>495</v>
      </c>
      <c r="N44" s="223" t="s">
        <v>511</v>
      </c>
      <c r="O44" s="223" t="s">
        <v>526</v>
      </c>
      <c r="P44" s="223" t="s">
        <v>612</v>
      </c>
    </row>
    <row r="45" spans="1:16" x14ac:dyDescent="0.2">
      <c r="A45" s="137" t="str">
        <f>List!A2</f>
        <v>Main Line</v>
      </c>
      <c r="B45">
        <f>SUMIFS(Programme!$L$3:$L$451,Programme!$C$3:$C$451,$A45,Programme!$F$3:$F$451,"&gt;="&amp;"1/7/2018",Programme!$F$3:$F$451,"&lt;="&amp;"31/7/2018")</f>
        <v>0.25</v>
      </c>
      <c r="C45" s="52">
        <f>SUMIFS(Programme!$L$3:$L$451,Programme!$C$3:$C$451,$A45,Programme!$F$3:$F$451,"&gt;="&amp;"1/8/2018",Programme!$F$3:$F$451,"&lt;="&amp;"31/8/2018")</f>
        <v>0.92999999999999972</v>
      </c>
      <c r="D45" s="52">
        <f>SUMIFS(Programme!$L$3:$L$451,Programme!$C$3:$C$451,$A45,Programme!$F$3:$F$451,"&gt;="&amp;"1/9/2018",Programme!$F$3:$F$451,"&lt;="&amp;"30/9/2018")</f>
        <v>0</v>
      </c>
      <c r="E45" s="52">
        <f>SUMIFS(Programme!$L$3:$L$451,Programme!$C$3:$C$451,$A45,Programme!$F$3:$F$451,"&gt;="&amp;"1/10/2018",Programme!$F$3:$F$451,"&lt;="&amp;"31/10/2018")</f>
        <v>0</v>
      </c>
      <c r="F45" s="52">
        <f>SUMIFS(Programme!$L$3:$L$451,Programme!$C$3:$C$451,$A45,Programme!$F$3:$F$451,"&gt;="&amp;"1/11/2018",Programme!$F$3:$F$451,"&lt;="&amp;"30/11/2018")</f>
        <v>0.15000000000000013</v>
      </c>
      <c r="G45" s="52">
        <f>SUMIFS(Programme!$L$3:$L$451,Programme!$C$3:$C$451,$A45,Programme!$F$3:$F$451,"&gt;="&amp;"1/12/2018",Programme!$F$3:$F$451,"&lt;="&amp;"31/12/2018")</f>
        <v>0</v>
      </c>
      <c r="H45" s="52">
        <f>SUMIFS(Programme!$L$3:$L$451,Programme!$C$3:$C$451,$A45,Programme!$F$3:$F$451,"&gt;="&amp;"1/1/2019",Programme!$F$3:$F$451,"&lt;="&amp;"31/1/2019")</f>
        <v>0</v>
      </c>
      <c r="I45" s="52">
        <f>SUMIFS(Programme!$L$3:$L$451,Programme!$C$3:$C$451,$A45,Programme!$F$3:$F$451,"&gt;="&amp;"1/2/2019",Programme!$F$3:$F$451,"&lt;="&amp;"28/2/2019")</f>
        <v>0</v>
      </c>
      <c r="J45" s="52">
        <f>SUMIFS(Programme!$L$3:$L$451,Programme!$C$3:$C$451,$A45,Programme!$F$3:$F$451,"&gt;="&amp;"1/3/2019",Programme!$F$3:$F$451,"&lt;="&amp;"31/3/2019")</f>
        <v>0.71000000000000085</v>
      </c>
      <c r="K45" s="52">
        <f>SUMIFS(Programme!$L$3:$L$451,Programme!$C$3:$C$451,$A45,Programme!$F$3:$F$451,"&gt;="&amp;"1/4/2019",Programme!$F$3:$F$451,"&lt;="&amp;"30/4/2019")</f>
        <v>0</v>
      </c>
      <c r="L45" s="52">
        <f>SUMIFS(Programme!$L$3:$L$451,Programme!$C$3:$C$451,$A45,Programme!$F$3:$F$451,"&gt;="&amp;"1/5/2019",Programme!$F$3:$F$451,"&lt;="&amp;"31/5/2019")</f>
        <v>0.20999999999999996</v>
      </c>
      <c r="M45" s="52">
        <f>SUMIFS(Programme!$L$3:$L$451,Programme!$C$3:$C$451,$A45,Programme!$F$3:$F$451,"&gt;="&amp;"1/6/2019",Programme!$F$3:$F$451,"&lt;="&amp;"30/6/2019")</f>
        <v>0</v>
      </c>
      <c r="N45">
        <f>SUM(B45:M45)</f>
        <v>2.2500000000000009</v>
      </c>
      <c r="O45" s="231">
        <f>N45/$N$60</f>
        <v>0.2186588921282798</v>
      </c>
      <c r="P45" s="230">
        <f t="shared" ref="P45:P59" si="8">IFERROR(B5/N45,1)</f>
        <v>1.1422222222222222</v>
      </c>
    </row>
    <row r="46" spans="1:16" x14ac:dyDescent="0.2">
      <c r="A46" s="137" t="str">
        <f>List!A3</f>
        <v>North Coast Line</v>
      </c>
      <c r="B46" s="52">
        <f>SUMIFS(Programme!$L$3:$L$451,Programme!$C$3:$C$451,$A46,Programme!$F$3:$F$451,"&gt;="&amp;"1/7/2018",Programme!$F$3:$F$451,"&lt;="&amp;"31/7/2018")</f>
        <v>0</v>
      </c>
      <c r="C46" s="52">
        <f>SUMIFS(Programme!$L$3:$L$451,Programme!$C$3:$C$451,$A46,Programme!$F$3:$F$451,"&gt;="&amp;"1/8/2018",Programme!$F$3:$F$451,"&lt;="&amp;"31/8/2018")</f>
        <v>0.85000000000000142</v>
      </c>
      <c r="D46" s="52">
        <f>SUMIFS(Programme!$L$3:$L$451,Programme!$C$3:$C$451,$A46,Programme!$F$3:$F$451,"&gt;="&amp;"1/9/2018",Programme!$F$3:$F$451,"&lt;="&amp;"30/9/2018")</f>
        <v>0.39999999999999991</v>
      </c>
      <c r="E46" s="52">
        <f>SUMIFS(Programme!$L$3:$L$451,Programme!$C$3:$C$451,$A46,Programme!$F$3:$F$451,"&gt;="&amp;"1/10/2018",Programme!$F$3:$F$451,"&lt;="&amp;"31/10/2018")</f>
        <v>0</v>
      </c>
      <c r="F46" s="52">
        <f>SUMIFS(Programme!$L$3:$L$451,Programme!$C$3:$C$451,$A46,Programme!$F$3:$F$451,"&gt;="&amp;"1/11/2018",Programme!$F$3:$F$451,"&lt;="&amp;"31/11/2018")</f>
        <v>0</v>
      </c>
      <c r="G46" s="52">
        <f>SUMIFS(Programme!$L$3:$L$451,Programme!$C$3:$C$451,$A46,Programme!$F$3:$F$451,"&gt;="&amp;"1/12/2018",Programme!$F$3:$F$451,"&lt;="&amp;"31/12/2018")</f>
        <v>0</v>
      </c>
      <c r="H46" s="52">
        <f>SUMIFS(Programme!$L$3:$L$451,Programme!$C$3:$C$451,$A46,Programme!$F$3:$F$451,"&gt;="&amp;"1/1/2019",Programme!$F$3:$F$451,"&lt;="&amp;"31/1/2019")</f>
        <v>0</v>
      </c>
      <c r="I46" s="52">
        <f>SUMIFS(Programme!$L$3:$L$451,Programme!$C$3:$C$451,$A46,Programme!$F$3:$F$451,"&gt;="&amp;"1/2/2019",Programme!$F$3:$F$451,"&lt;="&amp;"28/2/2019")</f>
        <v>0.66000000000000014</v>
      </c>
      <c r="J46" s="52">
        <f>SUMIFS(Programme!$L$3:$L$451,Programme!$C$3:$C$451,$A46,Programme!$F$3:$F$451,"&gt;="&amp;"1/3/2019",Programme!$F$3:$F$451,"&lt;="&amp;"31/3/2019")</f>
        <v>0</v>
      </c>
      <c r="K46" s="52">
        <f>SUMIFS(Programme!$L$3:$L$451,Programme!$C$3:$C$451,$A46,Programme!$F$3:$F$451,"&gt;="&amp;"1/4/2019",Programme!$F$3:$F$451,"&lt;="&amp;"30/4/2019")</f>
        <v>0.91999999999999993</v>
      </c>
      <c r="L46" s="52">
        <f>SUMIFS(Programme!$L$3:$L$451,Programme!$C$3:$C$451,$A46,Programme!$F$3:$F$451,"&gt;="&amp;"1/5/2019",Programme!$F$3:$F$451,"&lt;="&amp;"31/5/2019")</f>
        <v>0</v>
      </c>
      <c r="M46" s="52">
        <f>SUMIFS(Programme!$L$3:$L$451,Programme!$C$3:$C$451,$A46,Programme!$F$3:$F$451,"&gt;="&amp;"1/6/2019",Programme!$F$3:$F$451,"&lt;="&amp;"30/6/2019")</f>
        <v>0.53000000000000114</v>
      </c>
      <c r="N46" s="52">
        <f>SUM(B46:M46)</f>
        <v>3.3600000000000025</v>
      </c>
      <c r="O46" s="231">
        <f t="shared" ref="O46:O59" si="9">N46/$N$60</f>
        <v>0.32653061224489793</v>
      </c>
      <c r="P46" s="230">
        <f t="shared" si="8"/>
        <v>0.5535714285714286</v>
      </c>
    </row>
    <row r="47" spans="1:16" x14ac:dyDescent="0.2">
      <c r="A47" s="137" t="str">
        <f>List!A4</f>
        <v>Ferny Grove Line</v>
      </c>
      <c r="B47" s="52">
        <f>SUMIFS(Programme!$L$3:$L$451,Programme!$C$3:$C$451,$A47,Programme!$F$3:$F$451,"&gt;="&amp;"1/7/2018",Programme!$F$3:$F$451,"&lt;="&amp;"31/7/2018")</f>
        <v>0</v>
      </c>
      <c r="C47" s="52">
        <f>SUMIFS(Programme!$L$3:$L$451,Programme!$C$3:$C$451,$A47,Programme!$F$3:$F$451,"&gt;="&amp;"1/8/2018",Programme!$F$3:$F$451,"&lt;="&amp;"31/8/2018")</f>
        <v>0</v>
      </c>
      <c r="D47" s="52">
        <f>SUMIFS(Programme!$L$3:$L$451,Programme!$C$3:$C$451,$A47,Programme!$F$3:$F$451,"&gt;="&amp;"1/9/2018",Programme!$F$3:$F$451,"&lt;="&amp;"30/9/2018")</f>
        <v>0</v>
      </c>
      <c r="E47" s="52">
        <f>SUMIFS(Programme!$L$3:$L$451,Programme!$C$3:$C$451,$A47,Programme!$F$3:$F$451,"&gt;="&amp;"1/10/2018",Programme!$F$3:$F$451,"&lt;="&amp;"31/10/2018")</f>
        <v>0.54999999999999982</v>
      </c>
      <c r="F47" s="52">
        <f>SUMIFS(Programme!$L$3:$L$451,Programme!$C$3:$C$451,$A47,Programme!$F$3:$F$451,"&gt;="&amp;"1/11/2018",Programme!$F$3:$F$451,"&lt;="&amp;"31/11/2018")</f>
        <v>0</v>
      </c>
      <c r="G47" s="52">
        <f>SUMIFS(Programme!$L$3:$L$451,Programme!$C$3:$C$451,$A47,Programme!$F$3:$F$451,"&gt;="&amp;"1/12/2018",Programme!$F$3:$F$451,"&lt;="&amp;"31/12/2018")</f>
        <v>0</v>
      </c>
      <c r="H47" s="52">
        <f>SUMIFS(Programme!$L$3:$L$451,Programme!$C$3:$C$451,$A47,Programme!$F$3:$F$451,"&gt;="&amp;"1/1/2019",Programme!$F$3:$F$451,"&lt;="&amp;"31/1/2019")</f>
        <v>0</v>
      </c>
      <c r="I47" s="52">
        <f>SUMIFS(Programme!$L$3:$L$451,Programme!$C$3:$C$451,$A47,Programme!$F$3:$F$451,"&gt;="&amp;"1/2/2019",Programme!$F$3:$F$451,"&lt;="&amp;"28/2/2019")</f>
        <v>0</v>
      </c>
      <c r="J47" s="52">
        <f>SUMIFS(Programme!$L$3:$L$451,Programme!$C$3:$C$451,$A47,Programme!$F$3:$F$451,"&gt;="&amp;"1/3/2019",Programme!$F$3:$F$451,"&lt;="&amp;"31/3/2019")</f>
        <v>0</v>
      </c>
      <c r="K47" s="52">
        <f>SUMIFS(Programme!$L$3:$L$451,Programme!$C$3:$C$451,$A47,Programme!$F$3:$F$451,"&gt;="&amp;"1/4/2019",Programme!$F$3:$F$451,"&lt;="&amp;"30/4/2019")</f>
        <v>0</v>
      </c>
      <c r="L47" s="52">
        <f>SUMIFS(Programme!$L$3:$L$451,Programme!$C$3:$C$451,$A47,Programme!$F$3:$F$451,"&gt;="&amp;"1/5/2019",Programme!$F$3:$F$451,"&lt;="&amp;"31/5/2019")</f>
        <v>0</v>
      </c>
      <c r="M47" s="52">
        <f>SUMIFS(Programme!$L$3:$L$451,Programme!$C$3:$C$451,$A47,Programme!$F$3:$F$451,"&gt;="&amp;"1/6/2019",Programme!$F$3:$F$451,"&lt;="&amp;"30/6/2019")</f>
        <v>0</v>
      </c>
      <c r="N47" s="52">
        <f t="shared" ref="N47:N59" si="10">SUM(B47:M47)</f>
        <v>0.54999999999999982</v>
      </c>
      <c r="O47" s="231">
        <f t="shared" si="9"/>
        <v>5.3449951409135027E-2</v>
      </c>
      <c r="P47" s="230">
        <f t="shared" si="8"/>
        <v>0.77272727272727271</v>
      </c>
    </row>
    <row r="48" spans="1:16" x14ac:dyDescent="0.2">
      <c r="A48" s="137" t="str">
        <f>List!A5</f>
        <v>Inner City Line (via Central)</v>
      </c>
      <c r="B48" s="52">
        <f>SUMIFS(Programme!$L$3:$L$451,Programme!$C$3:$C$451,$A48,Programme!$F$3:$F$451,"&gt;="&amp;"1/7/2018",Programme!$F$3:$F$451,"&lt;="&amp;"31/7/2018")</f>
        <v>0</v>
      </c>
      <c r="C48" s="52">
        <f>SUMIFS(Programme!$L$3:$L$451,Programme!$C$3:$C$451,$A48,Programme!$F$3:$F$451,"&gt;="&amp;"1/8/2018",Programme!$F$3:$F$451,"&lt;="&amp;"31/8/2018")</f>
        <v>0</v>
      </c>
      <c r="D48" s="52">
        <f>SUMIFS(Programme!$L$3:$L$451,Programme!$C$3:$C$451,$A48,Programme!$F$3:$F$451,"&gt;="&amp;"1/9/2018",Programme!$F$3:$F$451,"&lt;="&amp;"30/9/2018")</f>
        <v>0</v>
      </c>
      <c r="E48" s="52">
        <f>SUMIFS(Programme!$L$3:$L$451,Programme!$C$3:$C$451,$A48,Programme!$F$3:$F$451,"&gt;="&amp;"1/10/2018",Programme!$F$3:$F$451,"&lt;="&amp;"31/10/2018")</f>
        <v>0</v>
      </c>
      <c r="F48" s="52">
        <f>SUMIFS(Programme!$L$3:$L$451,Programme!$C$3:$C$451,$A48,Programme!$F$3:$F$451,"&gt;="&amp;"1/11/2018",Programme!$F$3:$F$451,"&lt;="&amp;"31/11/2018")</f>
        <v>0</v>
      </c>
      <c r="G48" s="52">
        <f>SUMIFS(Programme!$L$3:$L$451,Programme!$C$3:$C$451,$A48,Programme!$F$3:$F$451,"&gt;="&amp;"1/12/2018",Programme!$F$3:$F$451,"&lt;="&amp;"31/12/2018")</f>
        <v>0</v>
      </c>
      <c r="H48" s="52">
        <f>SUMIFS(Programme!$L$3:$L$451,Programme!$C$3:$C$451,$A48,Programme!$F$3:$F$451,"&gt;="&amp;"1/1/2019",Programme!$F$3:$F$451,"&lt;="&amp;"31/1/2019")</f>
        <v>0</v>
      </c>
      <c r="I48" s="52">
        <f>SUMIFS(Programme!$L$3:$L$451,Programme!$C$3:$C$451,$A48,Programme!$F$3:$F$451,"&gt;="&amp;"1/2/2019",Programme!$F$3:$F$451,"&lt;="&amp;"28/2/2019")</f>
        <v>0</v>
      </c>
      <c r="J48" s="52">
        <f>SUMIFS(Programme!$L$3:$L$451,Programme!$C$3:$C$451,$A48,Programme!$F$3:$F$451,"&gt;="&amp;"1/3/2019",Programme!$F$3:$F$451,"&lt;="&amp;"31/3/2019")</f>
        <v>0</v>
      </c>
      <c r="K48" s="52">
        <f>SUMIFS(Programme!$L$3:$L$451,Programme!$C$3:$C$451,$A48,Programme!$F$3:$F$451,"&gt;="&amp;"1/4/2019",Programme!$F$3:$F$451,"&lt;="&amp;"30/4/2019")</f>
        <v>0</v>
      </c>
      <c r="L48" s="52">
        <f>SUMIFS(Programme!$L$3:$L$451,Programme!$C$3:$C$451,$A48,Programme!$F$3:$F$451,"&gt;="&amp;"1/5/2019",Programme!$F$3:$F$451,"&lt;="&amp;"31/5/2019")</f>
        <v>0</v>
      </c>
      <c r="M48" s="52">
        <f>SUMIFS(Programme!$L$3:$L$451,Programme!$C$3:$C$451,$A48,Programme!$F$3:$F$451,"&gt;="&amp;"1/6/2019",Programme!$F$3:$F$451,"&lt;="&amp;"30/6/2019")</f>
        <v>0</v>
      </c>
      <c r="N48" s="52">
        <f t="shared" si="10"/>
        <v>0</v>
      </c>
      <c r="O48" s="231">
        <f t="shared" si="9"/>
        <v>0</v>
      </c>
      <c r="P48" s="230">
        <f>IFERROR(B8/N48,1)</f>
        <v>1</v>
      </c>
    </row>
    <row r="49" spans="1:16" x14ac:dyDescent="0.2">
      <c r="A49" s="137" t="str">
        <f>List!A6</f>
        <v>Gold Coast / Beenleigh Line</v>
      </c>
      <c r="B49" s="52">
        <f>SUMIFS(Programme!$L$3:$L$451,Programme!$C$3:$C$451,$A49,Programme!$F$3:$F$451,"&gt;="&amp;"1/7/2018",Programme!$F$3:$F$451,"&lt;="&amp;"31/7/2018")</f>
        <v>0</v>
      </c>
      <c r="C49" s="52">
        <f>SUMIFS(Programme!$L$3:$L$451,Programme!$C$3:$C$451,$A49,Programme!$F$3:$F$451,"&gt;="&amp;"1/8/2018",Programme!$F$3:$F$451,"&lt;="&amp;"31/8/2018")</f>
        <v>0</v>
      </c>
      <c r="D49" s="52">
        <f>SUMIFS(Programme!$L$3:$L$451,Programme!$C$3:$C$451,$A49,Programme!$F$3:$F$451,"&gt;="&amp;"1/9/2018",Programme!$F$3:$F$451,"&lt;="&amp;"30/9/2018")</f>
        <v>0</v>
      </c>
      <c r="E49" s="52">
        <f>SUMIFS(Programme!$L$3:$L$451,Programme!$C$3:$C$451,$A49,Programme!$F$3:$F$451,"&gt;="&amp;"1/10/2018",Programme!$F$3:$F$451,"&lt;="&amp;"31/10/2018")</f>
        <v>0</v>
      </c>
      <c r="F49" s="52">
        <f>SUMIFS(Programme!$L$3:$L$451,Programme!$C$3:$C$451,$A49,Programme!$F$3:$F$451,"&gt;="&amp;"1/11/2018",Programme!$F$3:$F$451,"&lt;="&amp;"31/11/2018")</f>
        <v>0</v>
      </c>
      <c r="G49" s="52">
        <f>SUMIFS(Programme!$L$3:$L$451,Programme!$C$3:$C$451,$A49,Programme!$F$3:$F$451,"&gt;="&amp;"1/12/2018",Programme!$F$3:$F$451,"&lt;="&amp;"31/12/2018")</f>
        <v>0.30000000000000426</v>
      </c>
      <c r="H49" s="52">
        <f>SUMIFS(Programme!$L$3:$L$451,Programme!$C$3:$C$451,$A49,Programme!$F$3:$F$451,"&gt;="&amp;"1/1/2019",Programme!$F$3:$F$451,"&lt;="&amp;"31/1/2019")</f>
        <v>0</v>
      </c>
      <c r="I49" s="52">
        <f>SUMIFS(Programme!$L$3:$L$451,Programme!$C$3:$C$451,$A49,Programme!$F$3:$F$451,"&gt;="&amp;"1/2/2019",Programme!$F$3:$F$451,"&lt;="&amp;"28/2/2019")</f>
        <v>0</v>
      </c>
      <c r="J49" s="52">
        <f>SUMIFS(Programme!$L$3:$L$451,Programme!$C$3:$C$451,$A49,Programme!$F$3:$F$451,"&gt;="&amp;"1/3/2019",Programme!$F$3:$F$451,"&lt;="&amp;"31/3/2019")</f>
        <v>0.27499999999999858</v>
      </c>
      <c r="K49" s="52">
        <f>SUMIFS(Programme!$L$3:$L$451,Programme!$C$3:$C$451,$A49,Programme!$F$3:$F$451,"&gt;="&amp;"1/4/2019",Programme!$F$3:$F$451,"&lt;="&amp;"30/4/2019")</f>
        <v>0</v>
      </c>
      <c r="L49" s="52">
        <f>SUMIFS(Programme!$L$3:$L$451,Programme!$C$3:$C$451,$A49,Programme!$F$3:$F$451,"&gt;="&amp;"1/5/2019",Programme!$F$3:$F$451,"&lt;="&amp;"31/5/2019")</f>
        <v>0</v>
      </c>
      <c r="M49" s="52">
        <f>SUMIFS(Programme!$L$3:$L$451,Programme!$C$3:$C$451,$A49,Programme!$F$3:$F$451,"&gt;="&amp;"1/6/2019",Programme!$F$3:$F$451,"&lt;="&amp;"30/6/2019")</f>
        <v>0.10500000000000043</v>
      </c>
      <c r="N49" s="52">
        <f t="shared" si="10"/>
        <v>0.68000000000000327</v>
      </c>
      <c r="O49" s="231">
        <f t="shared" si="9"/>
        <v>6.608357628765818E-2</v>
      </c>
      <c r="P49" s="230">
        <f t="shared" si="8"/>
        <v>1.2205882352941197</v>
      </c>
    </row>
    <row r="50" spans="1:16" x14ac:dyDescent="0.2">
      <c r="A50" s="137" t="str">
        <f>List!A7</f>
        <v>Shorncliffe Line</v>
      </c>
      <c r="B50" s="52">
        <f>SUMIFS(Programme!$L$3:$L$451,Programme!$C$3:$C$451,$A50,Programme!$F$3:$F$451,"&gt;="&amp;"1/7/2018",Programme!$F$3:$F$451,"&lt;="&amp;"31/7/2018")</f>
        <v>0.76000000000000068</v>
      </c>
      <c r="C50" s="52">
        <f>SUMIFS(Programme!$L$3:$L$451,Programme!$C$3:$C$451,$A50,Programme!$F$3:$F$451,"&gt;="&amp;"1/8/2018",Programme!$F$3:$F$451,"&lt;="&amp;"31/8/2018")</f>
        <v>0</v>
      </c>
      <c r="D50" s="52">
        <f>SUMIFS(Programme!$L$3:$L$451,Programme!$C$3:$C$451,$A50,Programme!$F$3:$F$451,"&gt;="&amp;"1/9/2018",Programme!$F$3:$F$451,"&lt;="&amp;"30/9/2018")</f>
        <v>0</v>
      </c>
      <c r="E50" s="52">
        <f>SUMIFS(Programme!$L$3:$L$451,Programme!$C$3:$C$451,$A50,Programme!$F$3:$F$451,"&gt;="&amp;"1/10/2018",Programme!$F$3:$F$451,"&lt;="&amp;"31/10/2018")</f>
        <v>0</v>
      </c>
      <c r="F50" s="52">
        <f>SUMIFS(Programme!$L$3:$L$451,Programme!$C$3:$C$451,$A50,Programme!$F$3:$F$451,"&gt;="&amp;"1/11/2018",Programme!$F$3:$F$451,"&lt;="&amp;"31/11/2018")</f>
        <v>0</v>
      </c>
      <c r="G50" s="52">
        <f>SUMIFS(Programme!$L$3:$L$451,Programme!$C$3:$C$451,$A50,Programme!$F$3:$F$451,"&gt;="&amp;"1/12/2018",Programme!$F$3:$F$451,"&lt;="&amp;"31/12/2018")</f>
        <v>0</v>
      </c>
      <c r="H50" s="52">
        <f>SUMIFS(Programme!$L$3:$L$451,Programme!$C$3:$C$451,$A50,Programme!$F$3:$F$451,"&gt;="&amp;"1/1/2019",Programme!$F$3:$F$451,"&lt;="&amp;"31/1/2019")</f>
        <v>0</v>
      </c>
      <c r="I50" s="52">
        <f>SUMIFS(Programme!$L$3:$L$451,Programme!$C$3:$C$451,$A50,Programme!$F$3:$F$451,"&gt;="&amp;"1/2/2019",Programme!$F$3:$F$451,"&lt;="&amp;"28/2/2019")</f>
        <v>0</v>
      </c>
      <c r="J50" s="52">
        <f>SUMIFS(Programme!$L$3:$L$451,Programme!$C$3:$C$451,$A50,Programme!$F$3:$F$451,"&gt;="&amp;"1/3/2019",Programme!$F$3:$F$451,"&lt;="&amp;"31/3/2019")</f>
        <v>0</v>
      </c>
      <c r="K50" s="52">
        <f>SUMIFS(Programme!$L$3:$L$451,Programme!$C$3:$C$451,$A50,Programme!$F$3:$F$451,"&gt;="&amp;"1/4/2019",Programme!$F$3:$F$451,"&lt;="&amp;"30/4/2019")</f>
        <v>0</v>
      </c>
      <c r="L50" s="52">
        <f>SUMIFS(Programme!$L$3:$L$451,Programme!$C$3:$C$451,$A50,Programme!$F$3:$F$451,"&gt;="&amp;"1/5/2019",Programme!$F$3:$F$451,"&lt;="&amp;"31/5/2019")</f>
        <v>0</v>
      </c>
      <c r="M50" s="52">
        <f>SUMIFS(Programme!$L$3:$L$451,Programme!$C$3:$C$451,$A50,Programme!$F$3:$F$451,"&gt;="&amp;"1/6/2019",Programme!$F$3:$F$451,"&lt;="&amp;"30/6/2019")</f>
        <v>0</v>
      </c>
      <c r="N50" s="52">
        <f t="shared" si="10"/>
        <v>0.76000000000000068</v>
      </c>
      <c r="O50" s="231">
        <f t="shared" si="9"/>
        <v>7.3858114674441214E-2</v>
      </c>
      <c r="P50" s="230">
        <f t="shared" si="8"/>
        <v>1</v>
      </c>
    </row>
    <row r="51" spans="1:16" x14ac:dyDescent="0.2">
      <c r="A51" s="137" t="str">
        <f>List!A8</f>
        <v>Springfield Line</v>
      </c>
      <c r="B51" s="52">
        <f>SUMIFS(Programme!$L$3:$L$451,Programme!$C$3:$C$451,$A51,Programme!$F$3:$F$451,"&gt;="&amp;"1/7/2018",Programme!$F$3:$F$451,"&lt;="&amp;"31/7/2018")</f>
        <v>0</v>
      </c>
      <c r="C51" s="52">
        <f>SUMIFS(Programme!$L$3:$L$451,Programme!$C$3:$C$451,$A51,Programme!$F$3:$F$451,"&gt;="&amp;"1/8/2018",Programme!$F$3:$F$451,"&lt;="&amp;"31/8/2018")</f>
        <v>0</v>
      </c>
      <c r="D51" s="52">
        <f>SUMIFS(Programme!$L$3:$L$451,Programme!$C$3:$C$451,$A51,Programme!$F$3:$F$451,"&gt;="&amp;"1/9/2018",Programme!$F$3:$F$451,"&lt;="&amp;"30/9/2018")</f>
        <v>0</v>
      </c>
      <c r="E51" s="52">
        <f>SUMIFS(Programme!$L$3:$L$451,Programme!$C$3:$C$451,$A51,Programme!$F$3:$F$451,"&gt;="&amp;"1/10/2018",Programme!$F$3:$F$451,"&lt;="&amp;"31/10/2018")</f>
        <v>0</v>
      </c>
      <c r="F51" s="52">
        <f>SUMIFS(Programme!$L$3:$L$451,Programme!$C$3:$C$451,$A51,Programme!$F$3:$F$451,"&gt;="&amp;"1/11/2018",Programme!$F$3:$F$451,"&lt;="&amp;"31/11/2018")</f>
        <v>0</v>
      </c>
      <c r="G51" s="52">
        <f>SUMIFS(Programme!$L$3:$L$451,Programme!$C$3:$C$451,$A51,Programme!$F$3:$F$451,"&gt;="&amp;"1/12/2018",Programme!$F$3:$F$451,"&lt;="&amp;"31/12/2018")</f>
        <v>0</v>
      </c>
      <c r="H51" s="52">
        <f>SUMIFS(Programme!$L$3:$L$451,Programme!$C$3:$C$451,$A51,Programme!$F$3:$F$451,"&gt;="&amp;"1/1/2019",Programme!$F$3:$F$451,"&lt;="&amp;"31/1/2019")</f>
        <v>0</v>
      </c>
      <c r="I51" s="52">
        <f>SUMIFS(Programme!$L$3:$L$451,Programme!$C$3:$C$451,$A51,Programme!$F$3:$F$451,"&gt;="&amp;"1/2/2019",Programme!$F$3:$F$451,"&lt;="&amp;"28/2/2019")</f>
        <v>0</v>
      </c>
      <c r="J51" s="52">
        <f>SUMIFS(Programme!$L$3:$L$451,Programme!$C$3:$C$451,$A51,Programme!$F$3:$F$451,"&gt;="&amp;"1/3/2019",Programme!$F$3:$F$451,"&lt;="&amp;"31/3/2019")</f>
        <v>0</v>
      </c>
      <c r="K51" s="52">
        <f>SUMIFS(Programme!$L$3:$L$451,Programme!$C$3:$C$451,$A51,Programme!$F$3:$F$451,"&gt;="&amp;"1/4/2019",Programme!$F$3:$F$451,"&lt;="&amp;"30/4/2019")</f>
        <v>0</v>
      </c>
      <c r="L51" s="52">
        <f>SUMIFS(Programme!$L$3:$L$451,Programme!$C$3:$C$451,$A51,Programme!$F$3:$F$451,"&gt;="&amp;"1/5/2019",Programme!$F$3:$F$451,"&lt;="&amp;"31/5/2019")</f>
        <v>0</v>
      </c>
      <c r="M51" s="52">
        <f>SUMIFS(Programme!$L$3:$L$451,Programme!$C$3:$C$451,$A51,Programme!$F$3:$F$451,"&gt;="&amp;"1/6/2019",Programme!$F$3:$F$451,"&lt;="&amp;"30/6/2019")</f>
        <v>0</v>
      </c>
      <c r="N51" s="52">
        <f t="shared" si="10"/>
        <v>0</v>
      </c>
      <c r="O51" s="231">
        <f t="shared" si="9"/>
        <v>0</v>
      </c>
      <c r="P51" s="230">
        <f t="shared" si="8"/>
        <v>1</v>
      </c>
    </row>
    <row r="52" spans="1:16" x14ac:dyDescent="0.2">
      <c r="A52" s="137" t="str">
        <f>List!A9</f>
        <v>Cleveland Line</v>
      </c>
      <c r="B52" s="52">
        <f>SUMIFS(Programme!$L$3:$L$451,Programme!$C$3:$C$451,$A52,Programme!$F$3:$F$451,"&gt;="&amp;"1/7/2018",Programme!$F$3:$F$451,"&lt;="&amp;"31/7/2018")</f>
        <v>0</v>
      </c>
      <c r="C52" s="52">
        <f>SUMIFS(Programme!$L$3:$L$451,Programme!$C$3:$C$451,$A52,Programme!$F$3:$F$451,"&gt;="&amp;"1/8/2018",Programme!$F$3:$F$451,"&lt;="&amp;"31/8/2018")</f>
        <v>0</v>
      </c>
      <c r="D52" s="52">
        <f>SUMIFS(Programme!$L$3:$L$451,Programme!$C$3:$C$451,$A52,Programme!$F$3:$F$451,"&gt;="&amp;"1/9/2018",Programme!$F$3:$F$451,"&lt;="&amp;"30/9/2018")</f>
        <v>0</v>
      </c>
      <c r="E52" s="52">
        <f>SUMIFS(Programme!$L$3:$L$451,Programme!$C$3:$C$451,$A52,Programme!$F$3:$F$451,"&gt;="&amp;"1/10/2018",Programme!$F$3:$F$451,"&lt;="&amp;"31/10/2018")</f>
        <v>0</v>
      </c>
      <c r="F52" s="52">
        <f>SUMIFS(Programme!$L$3:$L$451,Programme!$C$3:$C$451,$A52,Programme!$F$3:$F$451,"&gt;="&amp;"1/11/2018",Programme!$F$3:$F$451,"&lt;="&amp;"31/11/2018")</f>
        <v>0</v>
      </c>
      <c r="G52" s="52">
        <f>SUMIFS(Programme!$L$3:$L$451,Programme!$C$3:$C$451,$A52,Programme!$F$3:$F$451,"&gt;="&amp;"1/12/2018",Programme!$F$3:$F$451,"&lt;="&amp;"31/12/2018")</f>
        <v>0</v>
      </c>
      <c r="H52" s="52">
        <f>SUMIFS(Programme!$L$3:$L$451,Programme!$C$3:$C$451,$A52,Programme!$F$3:$F$451,"&gt;="&amp;"1/1/2019",Programme!$F$3:$F$451,"&lt;="&amp;"31/1/2019")</f>
        <v>0.90000000000000036</v>
      </c>
      <c r="I52" s="52">
        <f>SUMIFS(Programme!$L$3:$L$451,Programme!$C$3:$C$451,$A52,Programme!$F$3:$F$451,"&gt;="&amp;"1/2/2019",Programme!$F$3:$F$451,"&lt;="&amp;"28/2/2019")</f>
        <v>0.16000000000000014</v>
      </c>
      <c r="J52" s="52">
        <f>SUMIFS(Programme!$L$3:$L$451,Programme!$C$3:$C$451,$A52,Programme!$F$3:$F$451,"&gt;="&amp;"1/3/2019",Programme!$F$3:$F$451,"&lt;="&amp;"31/3/2019")</f>
        <v>0</v>
      </c>
      <c r="K52" s="52">
        <f>SUMIFS(Programme!$L$3:$L$451,Programme!$C$3:$C$451,$A52,Programme!$F$3:$F$451,"&gt;="&amp;"1/4/2019",Programme!$F$3:$F$451,"&lt;="&amp;"30/4/2019")</f>
        <v>0</v>
      </c>
      <c r="L52" s="52">
        <f>SUMIFS(Programme!$L$3:$L$451,Programme!$C$3:$C$451,$A52,Programme!$F$3:$F$451,"&gt;="&amp;"1/5/2019",Programme!$F$3:$F$451,"&lt;="&amp;"31/5/2019")</f>
        <v>0</v>
      </c>
      <c r="M52" s="52">
        <f>SUMIFS(Programme!$L$3:$L$451,Programme!$C$3:$C$451,$A52,Programme!$F$3:$F$451,"&gt;="&amp;"1/6/2019",Programme!$F$3:$F$451,"&lt;="&amp;"30/6/2019")</f>
        <v>0.97000000000000064</v>
      </c>
      <c r="N52" s="52">
        <f t="shared" si="10"/>
        <v>2.0300000000000011</v>
      </c>
      <c r="O52" s="231">
        <f t="shared" si="9"/>
        <v>0.19727891156462582</v>
      </c>
      <c r="P52" s="230">
        <f t="shared" si="8"/>
        <v>0.73891625615763545</v>
      </c>
    </row>
    <row r="53" spans="1:16" x14ac:dyDescent="0.2">
      <c r="A53" s="137" t="str">
        <f>List!A10</f>
        <v>Redcliffe Line</v>
      </c>
      <c r="B53" s="52">
        <f>SUMIFS(Programme!$L$3:$L$451,Programme!$C$3:$C$451,$A53,Programme!$F$3:$F$451,"&gt;="&amp;"1/7/2018",Programme!$F$3:$F$451,"&lt;="&amp;"31/7/2018")</f>
        <v>0</v>
      </c>
      <c r="C53" s="52">
        <f>SUMIFS(Programme!$L$3:$L$451,Programme!$C$3:$C$451,$A53,Programme!$F$3:$F$451,"&gt;="&amp;"1/8/2018",Programme!$F$3:$F$451,"&lt;="&amp;"31/8/2018")</f>
        <v>0</v>
      </c>
      <c r="D53" s="52">
        <f>SUMIFS(Programme!$L$3:$L$451,Programme!$C$3:$C$451,$A53,Programme!$F$3:$F$451,"&gt;="&amp;"1/9/2018",Programme!$F$3:$F$451,"&lt;="&amp;"30/9/2018")</f>
        <v>0</v>
      </c>
      <c r="E53" s="52">
        <f>SUMIFS(Programme!$L$3:$L$451,Programme!$C$3:$C$451,$A53,Programme!$F$3:$F$451,"&gt;="&amp;"1/10/2018",Programme!$F$3:$F$451,"&lt;="&amp;"31/10/2018")</f>
        <v>0</v>
      </c>
      <c r="F53" s="52">
        <f>SUMIFS(Programme!$L$3:$L$451,Programme!$C$3:$C$451,$A53,Programme!$F$3:$F$451,"&gt;="&amp;"1/11/2018",Programme!$F$3:$F$451,"&lt;="&amp;"31/11/2018")</f>
        <v>0</v>
      </c>
      <c r="G53" s="52">
        <f>SUMIFS(Programme!$L$3:$L$451,Programme!$C$3:$C$451,$A53,Programme!$F$3:$F$451,"&gt;="&amp;"1/12/2018",Programme!$F$3:$F$451,"&lt;="&amp;"31/12/2018")</f>
        <v>0</v>
      </c>
      <c r="H53" s="52">
        <f>SUMIFS(Programme!$L$3:$L$451,Programme!$C$3:$C$451,$A53,Programme!$F$3:$F$451,"&gt;="&amp;"1/1/2019",Programme!$F$3:$F$451,"&lt;="&amp;"31/1/2019")</f>
        <v>0</v>
      </c>
      <c r="I53" s="52">
        <f>SUMIFS(Programme!$L$3:$L$451,Programme!$C$3:$C$451,$A53,Programme!$F$3:$F$451,"&gt;="&amp;"1/2/2019",Programme!$F$3:$F$451,"&lt;="&amp;"28/2/2019")</f>
        <v>0</v>
      </c>
      <c r="J53" s="52">
        <f>SUMIFS(Programme!$L$3:$L$451,Programme!$C$3:$C$451,$A53,Programme!$F$3:$F$451,"&gt;="&amp;"1/3/2019",Programme!$F$3:$F$451,"&lt;="&amp;"31/3/2019")</f>
        <v>0</v>
      </c>
      <c r="K53" s="52">
        <f>SUMIFS(Programme!$L$3:$L$451,Programme!$C$3:$C$451,$A53,Programme!$F$3:$F$451,"&gt;="&amp;"1/4/2019",Programme!$F$3:$F$451,"&lt;="&amp;"30/4/2019")</f>
        <v>0</v>
      </c>
      <c r="L53" s="52">
        <f>SUMIFS(Programme!$L$3:$L$451,Programme!$C$3:$C$451,$A53,Programme!$F$3:$F$451,"&gt;="&amp;"1/5/2019",Programme!$F$3:$F$451,"&lt;="&amp;"31/5/2019")</f>
        <v>0</v>
      </c>
      <c r="M53" s="52">
        <f>SUMIFS(Programme!$L$3:$L$451,Programme!$C$3:$C$451,$A53,Programme!$F$3:$F$451,"&gt;="&amp;"1/6/2019",Programme!$F$3:$F$451,"&lt;="&amp;"30/6/2019")</f>
        <v>0</v>
      </c>
      <c r="N53" s="52">
        <f t="shared" si="10"/>
        <v>0</v>
      </c>
      <c r="O53" s="231">
        <f t="shared" si="9"/>
        <v>0</v>
      </c>
      <c r="P53" s="230">
        <f t="shared" si="8"/>
        <v>1</v>
      </c>
    </row>
    <row r="54" spans="1:16" x14ac:dyDescent="0.2">
      <c r="A54" s="137" t="str">
        <f>List!A11</f>
        <v>Doomben Line</v>
      </c>
      <c r="B54" s="52">
        <f>SUMIFS(Programme!$L$3:$L$451,Programme!$C$3:$C$451,$A54,Programme!$F$3:$F$451,"&gt;="&amp;"1/7/2018",Programme!$F$3:$F$451,"&lt;="&amp;"31/7/2018")</f>
        <v>0</v>
      </c>
      <c r="C54" s="52">
        <f>SUMIFS(Programme!$L$3:$L$451,Programme!$C$3:$C$451,$A54,Programme!$F$3:$F$451,"&gt;="&amp;"1/8/2018",Programme!$F$3:$F$451,"&lt;="&amp;"31/8/2018")</f>
        <v>0</v>
      </c>
      <c r="D54" s="52">
        <f>SUMIFS(Programme!$L$3:$L$451,Programme!$C$3:$C$451,$A54,Programme!$F$3:$F$451,"&gt;="&amp;"1/9/2018",Programme!$F$3:$F$451,"&lt;="&amp;"30/9/2018")</f>
        <v>0</v>
      </c>
      <c r="E54" s="52">
        <f>SUMIFS(Programme!$L$3:$L$451,Programme!$C$3:$C$451,$A54,Programme!$F$3:$F$451,"&gt;="&amp;"1/10/2018",Programme!$F$3:$F$451,"&lt;="&amp;"31/10/2018")</f>
        <v>0</v>
      </c>
      <c r="F54" s="52">
        <f>SUMIFS(Programme!$L$3:$L$451,Programme!$C$3:$C$451,$A54,Programme!$F$3:$F$451,"&gt;="&amp;"1/11/2018",Programme!$F$3:$F$451,"&lt;="&amp;"31/11/2018")</f>
        <v>0</v>
      </c>
      <c r="G54" s="52">
        <f>SUMIFS(Programme!$L$3:$L$451,Programme!$C$3:$C$451,$A54,Programme!$F$3:$F$451,"&gt;="&amp;"1/12/2018",Programme!$F$3:$F$451,"&lt;="&amp;"31/12/2018")</f>
        <v>0</v>
      </c>
      <c r="H54" s="52">
        <f>SUMIFS(Programme!$L$3:$L$451,Programme!$C$3:$C$451,$A54,Programme!$F$3:$F$451,"&gt;="&amp;"1/1/2019",Programme!$F$3:$F$451,"&lt;="&amp;"31/1/2019")</f>
        <v>0</v>
      </c>
      <c r="I54" s="52">
        <f>SUMIFS(Programme!$L$3:$L$451,Programme!$C$3:$C$451,$A54,Programme!$F$3:$F$451,"&gt;="&amp;"1/2/2019",Programme!$F$3:$F$451,"&lt;="&amp;"28/2/2019")</f>
        <v>0</v>
      </c>
      <c r="J54" s="52">
        <f>SUMIFS(Programme!$L$3:$L$451,Programme!$C$3:$C$451,$A54,Programme!$F$3:$F$451,"&gt;="&amp;"1/3/2019",Programme!$F$3:$F$451,"&lt;="&amp;"31/3/2019")</f>
        <v>0</v>
      </c>
      <c r="K54" s="52">
        <f>SUMIFS(Programme!$L$3:$L$451,Programme!$C$3:$C$451,$A54,Programme!$F$3:$F$451,"&gt;="&amp;"1/4/2019",Programme!$F$3:$F$451,"&lt;="&amp;"30/4/2019")</f>
        <v>0</v>
      </c>
      <c r="L54" s="52">
        <f>SUMIFS(Programme!$L$3:$L$451,Programme!$C$3:$C$451,$A54,Programme!$F$3:$F$451,"&gt;="&amp;"1/5/2019",Programme!$F$3:$F$451,"&lt;="&amp;"31/5/2019")</f>
        <v>0</v>
      </c>
      <c r="M54" s="52">
        <f>SUMIFS(Programme!$L$3:$L$451,Programme!$C$3:$C$451,$A54,Programme!$F$3:$F$451,"&gt;="&amp;"1/6/2019",Programme!$F$3:$F$451,"&lt;="&amp;"30/6/2019")</f>
        <v>0</v>
      </c>
      <c r="N54" s="52">
        <f t="shared" si="10"/>
        <v>0</v>
      </c>
      <c r="O54" s="231">
        <f t="shared" si="9"/>
        <v>0</v>
      </c>
      <c r="P54" s="230">
        <f t="shared" si="8"/>
        <v>1</v>
      </c>
    </row>
    <row r="55" spans="1:16" x14ac:dyDescent="0.2">
      <c r="A55" s="137" t="str">
        <f>List!A12</f>
        <v>DG Dutton Park - Fisherman Is</v>
      </c>
      <c r="B55" s="52">
        <f>SUMIFS(Programme!$L$3:$L$451,Programme!$C$3:$C$451,$A55,Programme!$F$3:$F$451,"&gt;="&amp;"1/7/2018",Programme!$F$3:$F$451,"&lt;="&amp;"31/7/2018")</f>
        <v>0</v>
      </c>
      <c r="C55" s="52">
        <f>SUMIFS(Programme!$L$3:$L$451,Programme!$C$3:$C$451,$A55,Programme!$F$3:$F$451,"&gt;="&amp;"1/8/2018",Programme!$F$3:$F$451,"&lt;="&amp;"31/8/2018")</f>
        <v>0</v>
      </c>
      <c r="D55" s="52">
        <f>SUMIFS(Programme!$L$3:$L$451,Programme!$C$3:$C$451,$A55,Programme!$F$3:$F$451,"&gt;="&amp;"1/9/2018",Programme!$F$3:$F$451,"&lt;="&amp;"30/9/2018")</f>
        <v>0</v>
      </c>
      <c r="E55" s="52">
        <f>SUMIFS(Programme!$L$3:$L$451,Programme!$C$3:$C$451,$A55,Programme!$F$3:$F$451,"&gt;="&amp;"1/10/2018",Programme!$F$3:$F$451,"&lt;="&amp;"31/10/2018")</f>
        <v>0</v>
      </c>
      <c r="F55" s="52">
        <f>SUMIFS(Programme!$L$3:$L$451,Programme!$C$3:$C$451,$A55,Programme!$F$3:$F$451,"&gt;="&amp;"1/11/2018",Programme!$F$3:$F$451,"&lt;="&amp;"31/11/2018")</f>
        <v>0</v>
      </c>
      <c r="G55" s="52">
        <f>SUMIFS(Programme!$L$3:$L$451,Programme!$C$3:$C$451,$A55,Programme!$F$3:$F$451,"&gt;="&amp;"1/12/2018",Programme!$F$3:$F$451,"&lt;="&amp;"31/12/2018")</f>
        <v>0</v>
      </c>
      <c r="H55" s="52">
        <f>SUMIFS(Programme!$L$3:$L$451,Programme!$C$3:$C$451,$A55,Programme!$F$3:$F$451,"&gt;="&amp;"1/1/2019",Programme!$F$3:$F$451,"&lt;="&amp;"31/1/2019")</f>
        <v>0</v>
      </c>
      <c r="I55" s="52">
        <f>SUMIFS(Programme!$L$3:$L$451,Programme!$C$3:$C$451,$A55,Programme!$F$3:$F$451,"&gt;="&amp;"1/2/2019",Programme!$F$3:$F$451,"&lt;="&amp;"28/2/2019")</f>
        <v>0</v>
      </c>
      <c r="J55" s="52">
        <f>SUMIFS(Programme!$L$3:$L$451,Programme!$C$3:$C$451,$A55,Programme!$F$3:$F$451,"&gt;="&amp;"1/3/2019",Programme!$F$3:$F$451,"&lt;="&amp;"31/3/2019")</f>
        <v>0.54</v>
      </c>
      <c r="K55" s="52">
        <f>SUMIFS(Programme!$L$3:$L$451,Programme!$C$3:$C$451,$A55,Programme!$F$3:$F$451,"&gt;="&amp;"1/4/2019",Programme!$F$3:$F$451,"&lt;="&amp;"30/4/2019")</f>
        <v>0</v>
      </c>
      <c r="L55" s="52">
        <f>SUMIFS(Programme!$L$3:$L$451,Programme!$C$3:$C$451,$A55,Programme!$F$3:$F$451,"&gt;="&amp;"1/5/2019",Programme!$F$3:$F$451,"&lt;="&amp;"31/5/2019")</f>
        <v>0</v>
      </c>
      <c r="M55" s="52">
        <f>SUMIFS(Programme!$L$3:$L$451,Programme!$C$3:$C$451,$A55,Programme!$F$3:$F$451,"&gt;="&amp;"1/6/2019",Programme!$F$3:$F$451,"&lt;="&amp;"30/6/2019")</f>
        <v>0</v>
      </c>
      <c r="N55" s="52">
        <f t="shared" si="10"/>
        <v>0.54</v>
      </c>
      <c r="O55" s="231">
        <f t="shared" si="9"/>
        <v>5.2478134110787132E-2</v>
      </c>
      <c r="P55" s="230">
        <f t="shared" si="8"/>
        <v>0.83333333333333193</v>
      </c>
    </row>
    <row r="56" spans="1:16" x14ac:dyDescent="0.2">
      <c r="A56" s="137" t="str">
        <f>List!A13</f>
        <v>DG Dutton Park - ARTC Int</v>
      </c>
      <c r="B56" s="52">
        <f>SUMIFS(Programme!$L$3:$L$451,Programme!$C$3:$C$451,$A56,Programme!$F$3:$F$451,"&gt;="&amp;"1/7/2018",Programme!$F$3:$F$451,"&lt;="&amp;"31/7/2018")</f>
        <v>0</v>
      </c>
      <c r="C56" s="52">
        <f>SUMIFS(Programme!$L$3:$L$451,Programme!$C$3:$C$451,$A56,Programme!$F$3:$F$451,"&gt;="&amp;"1/8/2018",Programme!$F$3:$F$451,"&lt;="&amp;"31/8/2018")</f>
        <v>0</v>
      </c>
      <c r="D56" s="52">
        <f>SUMIFS(Programme!$L$3:$L$451,Programme!$C$3:$C$451,$A56,Programme!$F$3:$F$451,"&gt;="&amp;"1/9/2018",Programme!$F$3:$F$451,"&lt;="&amp;"30/9/2018")</f>
        <v>0</v>
      </c>
      <c r="E56" s="52">
        <f>SUMIFS(Programme!$L$3:$L$451,Programme!$C$3:$C$451,$A56,Programme!$F$3:$F$451,"&gt;="&amp;"1/10/2018",Programme!$F$3:$F$451,"&lt;="&amp;"31/10/2018")</f>
        <v>0.11999999999999922</v>
      </c>
      <c r="F56" s="52">
        <f>SUMIFS(Programme!$L$3:$L$451,Programme!$C$3:$C$451,$A56,Programme!$F$3:$F$451,"&gt;="&amp;"1/11/2018",Programme!$F$3:$F$451,"&lt;="&amp;"31/11/2018")</f>
        <v>0</v>
      </c>
      <c r="G56" s="52">
        <f>SUMIFS(Programme!$L$3:$L$451,Programme!$C$3:$C$451,$A56,Programme!$F$3:$F$451,"&gt;="&amp;"1/12/2018",Programme!$F$3:$F$451,"&lt;="&amp;"31/12/2018")</f>
        <v>0</v>
      </c>
      <c r="H56" s="52">
        <f>SUMIFS(Programme!$L$3:$L$451,Programme!$C$3:$C$451,$A56,Programme!$F$3:$F$451,"&gt;="&amp;"1/1/2019",Programme!$F$3:$F$451,"&lt;="&amp;"31/1/2019")</f>
        <v>0</v>
      </c>
      <c r="I56" s="52">
        <f>SUMIFS(Programme!$L$3:$L$451,Programme!$C$3:$C$451,$A56,Programme!$F$3:$F$451,"&gt;="&amp;"1/2/2019",Programme!$F$3:$F$451,"&lt;="&amp;"28/2/2019")</f>
        <v>0</v>
      </c>
      <c r="J56" s="52">
        <f>SUMIFS(Programme!$L$3:$L$451,Programme!$C$3:$C$451,$A56,Programme!$F$3:$F$451,"&gt;="&amp;"1/3/2019",Programme!$F$3:$F$451,"&lt;="&amp;"31/3/2019")</f>
        <v>0</v>
      </c>
      <c r="K56" s="52">
        <f>SUMIFS(Programme!$L$3:$L$451,Programme!$C$3:$C$451,$A56,Programme!$F$3:$F$451,"&gt;="&amp;"1/4/2019",Programme!$F$3:$F$451,"&lt;="&amp;"30/4/2019")</f>
        <v>0</v>
      </c>
      <c r="L56" s="52">
        <f>SUMIFS(Programme!$L$3:$L$451,Programme!$C$3:$C$451,$A56,Programme!$F$3:$F$451,"&gt;="&amp;"1/5/2019",Programme!$F$3:$F$451,"&lt;="&amp;"31/5/2019")</f>
        <v>0</v>
      </c>
      <c r="M56" s="52">
        <f>SUMIFS(Programme!$L$3:$L$451,Programme!$C$3:$C$451,$A56,Programme!$F$3:$F$451,"&gt;="&amp;"1/6/2019",Programme!$F$3:$F$451,"&lt;="&amp;"30/6/2019")</f>
        <v>0</v>
      </c>
      <c r="N56" s="52">
        <f t="shared" si="10"/>
        <v>0.11999999999999922</v>
      </c>
      <c r="O56" s="231">
        <f t="shared" si="9"/>
        <v>1.1661807580174842E-2</v>
      </c>
      <c r="P56" s="230">
        <f t="shared" si="8"/>
        <v>1.6666666666666716</v>
      </c>
    </row>
    <row r="57" spans="1:16" x14ac:dyDescent="0.2">
      <c r="A57" s="137" t="str">
        <f>List!A14</f>
        <v>Tennyson Line</v>
      </c>
      <c r="B57" s="52">
        <f>SUMIFS(Programme!$L$3:$L$451,Programme!$C$3:$C$451,$A57,Programme!$F$3:$F$451,"&gt;="&amp;"1/7/2018",Programme!$F$3:$F$451,"&lt;="&amp;"31/7/2018")</f>
        <v>0</v>
      </c>
      <c r="C57" s="52">
        <f>SUMIFS(Programme!$L$3:$L$451,Programme!$C$3:$C$451,$A57,Programme!$F$3:$F$451,"&gt;="&amp;"1/8/2018",Programme!$F$3:$F$451,"&lt;="&amp;"31/8/2018")</f>
        <v>0</v>
      </c>
      <c r="D57" s="52">
        <f>SUMIFS(Programme!$L$3:$L$451,Programme!$C$3:$C$451,$A57,Programme!$F$3:$F$451,"&gt;="&amp;"1/9/2018",Programme!$F$3:$F$451,"&lt;="&amp;"30/9/2018")</f>
        <v>0</v>
      </c>
      <c r="E57" s="52">
        <f>SUMIFS(Programme!$L$3:$L$451,Programme!$C$3:$C$451,$A57,Programme!$F$3:$F$451,"&gt;="&amp;"1/10/2018",Programme!$F$3:$F$451,"&lt;="&amp;"31/10/2018")</f>
        <v>0</v>
      </c>
      <c r="F57" s="52">
        <f>SUMIFS(Programme!$L$3:$L$451,Programme!$C$3:$C$451,$A57,Programme!$F$3:$F$451,"&gt;="&amp;"1/11/2018",Programme!$F$3:$F$451,"&lt;="&amp;"31/11/2018")</f>
        <v>0</v>
      </c>
      <c r="G57" s="52">
        <f>SUMIFS(Programme!$L$3:$L$451,Programme!$C$3:$C$451,$A57,Programme!$F$3:$F$451,"&gt;="&amp;"1/12/2018",Programme!$F$3:$F$451,"&lt;="&amp;"31/12/2018")</f>
        <v>0</v>
      </c>
      <c r="H57" s="52">
        <f>SUMIFS(Programme!$L$3:$L$451,Programme!$C$3:$C$451,$A57,Programme!$F$3:$F$451,"&gt;="&amp;"1/1/2019",Programme!$F$3:$F$451,"&lt;="&amp;"31/1/2019")</f>
        <v>0</v>
      </c>
      <c r="I57" s="52">
        <f>SUMIFS(Programme!$L$3:$L$451,Programme!$C$3:$C$451,$A57,Programme!$F$3:$F$451,"&gt;="&amp;"1/2/2019",Programme!$F$3:$F$451,"&lt;="&amp;"28/2/2019")</f>
        <v>0</v>
      </c>
      <c r="J57" s="52">
        <f>SUMIFS(Programme!$L$3:$L$451,Programme!$C$3:$C$451,$A57,Programme!$F$3:$F$451,"&gt;="&amp;"1/3/2019",Programme!$F$3:$F$451,"&lt;="&amp;"31/3/2019")</f>
        <v>0</v>
      </c>
      <c r="K57" s="52">
        <f>SUMIFS(Programme!$L$3:$L$451,Programme!$C$3:$C$451,$A57,Programme!$F$3:$F$451,"&gt;="&amp;"1/4/2019",Programme!$F$3:$F$451,"&lt;="&amp;"30/4/2019")</f>
        <v>0</v>
      </c>
      <c r="L57" s="52">
        <f>SUMIFS(Programme!$L$3:$L$451,Programme!$C$3:$C$451,$A57,Programme!$F$3:$F$451,"&gt;="&amp;"1/5/2019",Programme!$F$3:$F$451,"&lt;="&amp;"31/5/2019")</f>
        <v>0</v>
      </c>
      <c r="M57" s="52">
        <f>SUMIFS(Programme!$L$3:$L$451,Programme!$C$3:$C$451,$A57,Programme!$F$3:$F$451,"&gt;="&amp;"1/6/2019",Programme!$F$3:$F$451,"&lt;="&amp;"30/6/2019")</f>
        <v>0</v>
      </c>
      <c r="N57" s="52">
        <f t="shared" si="10"/>
        <v>0</v>
      </c>
      <c r="O57" s="231">
        <f t="shared" si="9"/>
        <v>0</v>
      </c>
      <c r="P57" s="230">
        <f t="shared" si="8"/>
        <v>1</v>
      </c>
    </row>
    <row r="58" spans="1:16" x14ac:dyDescent="0.2">
      <c r="A58" s="137" t="str">
        <f>List!A15</f>
        <v>QR SPUR</v>
      </c>
      <c r="B58" s="52">
        <f>SUMIFS(Programme!$L$3:$L$451,Programme!$C$3:$C$451,$A58,Programme!$F$3:$F$451,"&gt;="&amp;"1/7/2018",Programme!$F$3:$F$451,"&lt;="&amp;"31/7/2018")</f>
        <v>0</v>
      </c>
      <c r="C58" s="52">
        <f>SUMIFS(Programme!$L$3:$L$451,Programme!$C$3:$C$451,$A58,Programme!$F$3:$F$451,"&gt;="&amp;"1/8/2018",Programme!$F$3:$F$451,"&lt;="&amp;"31/8/2018")</f>
        <v>0</v>
      </c>
      <c r="D58" s="52">
        <f>SUMIFS(Programme!$L$3:$L$451,Programme!$C$3:$C$451,$A58,Programme!$F$3:$F$451,"&gt;="&amp;"1/9/2018",Programme!$F$3:$F$451,"&lt;="&amp;"30/9/2018")</f>
        <v>0</v>
      </c>
      <c r="E58" s="52">
        <f>SUMIFS(Programme!$L$3:$L$451,Programme!$C$3:$C$451,$A58,Programme!$F$3:$F$451,"&gt;="&amp;"1/10/2018",Programme!$F$3:$F$451,"&lt;="&amp;"31/10/2018")</f>
        <v>0</v>
      </c>
      <c r="F58" s="52">
        <f>SUMIFS(Programme!$L$3:$L$451,Programme!$C$3:$C$451,$A58,Programme!$F$3:$F$451,"&gt;="&amp;"1/11/2018",Programme!$F$3:$F$451,"&lt;="&amp;"31/11/2018")</f>
        <v>0</v>
      </c>
      <c r="G58" s="52">
        <f>SUMIFS(Programme!$L$3:$L$451,Programme!$C$3:$C$451,$A58,Programme!$F$3:$F$451,"&gt;="&amp;"1/12/2018",Programme!$F$3:$F$451,"&lt;="&amp;"31/12/2018")</f>
        <v>0</v>
      </c>
      <c r="H58" s="52">
        <f>SUMIFS(Programme!$L$3:$L$451,Programme!$C$3:$C$451,$A58,Programme!$F$3:$F$451,"&gt;="&amp;"1/1/2019",Programme!$F$3:$F$451,"&lt;="&amp;"31/1/2019")</f>
        <v>0</v>
      </c>
      <c r="I58" s="52">
        <f>SUMIFS(Programme!$L$3:$L$451,Programme!$C$3:$C$451,$A58,Programme!$F$3:$F$451,"&gt;="&amp;"1/2/2019",Programme!$F$3:$F$451,"&lt;="&amp;"28/2/2019")</f>
        <v>0</v>
      </c>
      <c r="J58" s="52">
        <f>SUMIFS(Programme!$L$3:$L$451,Programme!$C$3:$C$451,$A58,Programme!$F$3:$F$451,"&gt;="&amp;"1/3/2019",Programme!$F$3:$F$451,"&lt;="&amp;"31/3/2019")</f>
        <v>0</v>
      </c>
      <c r="K58" s="52">
        <f>SUMIFS(Programme!$L$3:$L$451,Programme!$C$3:$C$451,$A58,Programme!$F$3:$F$451,"&gt;="&amp;"1/4/2019",Programme!$F$3:$F$451,"&lt;="&amp;"30/4/2019")</f>
        <v>0</v>
      </c>
      <c r="L58" s="52">
        <f>SUMIFS(Programme!$L$3:$L$451,Programme!$C$3:$C$451,$A58,Programme!$F$3:$F$451,"&gt;="&amp;"1/5/2019",Programme!$F$3:$F$451,"&lt;="&amp;"31/5/2019")</f>
        <v>0</v>
      </c>
      <c r="M58" s="52">
        <f>SUMIFS(Programme!$L$3:$L$451,Programme!$C$3:$C$451,$A58,Programme!$F$3:$F$451,"&gt;="&amp;"1/6/2019",Programme!$F$3:$F$451,"&lt;="&amp;"30/6/2019")</f>
        <v>0</v>
      </c>
      <c r="N58" s="52">
        <f t="shared" si="10"/>
        <v>0</v>
      </c>
      <c r="O58" s="231">
        <f t="shared" si="9"/>
        <v>0</v>
      </c>
      <c r="P58" s="230">
        <f t="shared" si="8"/>
        <v>1</v>
      </c>
    </row>
    <row r="59" spans="1:16" x14ac:dyDescent="0.2">
      <c r="A59" s="137" t="str">
        <f>List!A16</f>
        <v>DG Inner City</v>
      </c>
      <c r="B59" s="52">
        <f>SUMIFS(Programme!$L$3:$L$451,Programme!$C$3:$C$451,$A59,Programme!$F$3:$F$451,"&gt;="&amp;"1/7/2018",Programme!$F$3:$F$451,"&lt;="&amp;"31/7/2018")</f>
        <v>0</v>
      </c>
      <c r="C59" s="52">
        <f>SUMIFS(Programme!$L$3:$L$451,Programme!$C$3:$C$451,$A59,Programme!$F$3:$F$451,"&gt;="&amp;"1/8/2018",Programme!$F$3:$F$451,"&lt;="&amp;"31/8/2018")</f>
        <v>0</v>
      </c>
      <c r="D59" s="52">
        <f>SUMIFS(Programme!$L$3:$L$451,Programme!$C$3:$C$451,$A59,Programme!$F$3:$F$451,"&gt;="&amp;"1/9/2018",Programme!$F$3:$F$451,"&lt;="&amp;"30/9/2018")</f>
        <v>0</v>
      </c>
      <c r="E59" s="52">
        <f>SUMIFS(Programme!$L$3:$L$451,Programme!$C$3:$C$451,$A59,Programme!$F$3:$F$451,"&gt;="&amp;"1/10/2018",Programme!$F$3:$F$451,"&lt;="&amp;"31/10/2018")</f>
        <v>0</v>
      </c>
      <c r="F59" s="52">
        <f>SUMIFS(Programme!$L$3:$L$451,Programme!$C$3:$C$451,$A59,Programme!$F$3:$F$451,"&gt;="&amp;"1/11/2018",Programme!$F$3:$F$451,"&lt;="&amp;"31/11/2018")</f>
        <v>0</v>
      </c>
      <c r="G59" s="52">
        <f>SUMIFS(Programme!$L$3:$L$451,Programme!$C$3:$C$451,$A59,Programme!$F$3:$F$451,"&gt;="&amp;"1/12/2018",Programme!$F$3:$F$451,"&lt;="&amp;"31/12/2018")</f>
        <v>0</v>
      </c>
      <c r="H59" s="52">
        <f>SUMIFS(Programme!$L$3:$L$451,Programme!$C$3:$C$451,$A59,Programme!$F$3:$F$451,"&gt;="&amp;"1/1/2019",Programme!$F$3:$F$451,"&lt;="&amp;"31/1/2019")</f>
        <v>0</v>
      </c>
      <c r="I59" s="52">
        <f>SUMIFS(Programme!$L$3:$L$451,Programme!$C$3:$C$451,$A59,Programme!$F$3:$F$451,"&gt;="&amp;"1/2/2019",Programme!$F$3:$F$451,"&lt;="&amp;"28/2/2019")</f>
        <v>0</v>
      </c>
      <c r="J59" s="52">
        <f>SUMIFS(Programme!$L$3:$L$451,Programme!$C$3:$C$451,$A59,Programme!$F$3:$F$451,"&gt;="&amp;"1/3/2019",Programme!$F$3:$F$451,"&lt;="&amp;"31/3/2019")</f>
        <v>0</v>
      </c>
      <c r="K59" s="52">
        <f>SUMIFS(Programme!$L$3:$L$451,Programme!$C$3:$C$451,$A59,Programme!$F$3:$F$451,"&gt;="&amp;"1/4/2019",Programme!$F$3:$F$451,"&lt;="&amp;"30/4/2019")</f>
        <v>0</v>
      </c>
      <c r="L59" s="52">
        <f>SUMIFS(Programme!$L$3:$L$451,Programme!$C$3:$C$451,$A59,Programme!$F$3:$F$451,"&gt;="&amp;"1/5/2019",Programme!$F$3:$F$451,"&lt;="&amp;"31/5/2019")</f>
        <v>0</v>
      </c>
      <c r="M59" s="52">
        <f>SUMIFS(Programme!$L$3:$L$451,Programme!$C$3:$C$451,$A59,Programme!$F$3:$F$451,"&gt;="&amp;"1/6/2019",Programme!$F$3:$F$451,"&lt;="&amp;"30/6/2019")</f>
        <v>0</v>
      </c>
      <c r="N59" s="52">
        <f t="shared" si="10"/>
        <v>0</v>
      </c>
      <c r="O59" s="231">
        <f t="shared" si="9"/>
        <v>0</v>
      </c>
      <c r="P59" s="230">
        <f t="shared" si="8"/>
        <v>1</v>
      </c>
    </row>
    <row r="60" spans="1:16" x14ac:dyDescent="0.2">
      <c r="A60" s="204" t="s">
        <v>511</v>
      </c>
      <c r="B60">
        <f>SUM(B45:B59)</f>
        <v>1.0100000000000007</v>
      </c>
      <c r="C60" s="52">
        <f>SUM(C45:C59)</f>
        <v>1.7800000000000011</v>
      </c>
      <c r="D60" s="52">
        <f t="shared" ref="D60:M60" si="11">SUM(D45:D59)</f>
        <v>0.39999999999999991</v>
      </c>
      <c r="E60" s="52">
        <f t="shared" si="11"/>
        <v>0.66999999999999904</v>
      </c>
      <c r="F60" s="52">
        <f t="shared" si="11"/>
        <v>0.15000000000000013</v>
      </c>
      <c r="G60" s="52">
        <f t="shared" si="11"/>
        <v>0.30000000000000426</v>
      </c>
      <c r="H60" s="52">
        <f t="shared" si="11"/>
        <v>0.90000000000000036</v>
      </c>
      <c r="I60" s="52">
        <f t="shared" si="11"/>
        <v>0.82000000000000028</v>
      </c>
      <c r="J60" s="52">
        <f t="shared" si="11"/>
        <v>1.5249999999999995</v>
      </c>
      <c r="K60" s="52">
        <f t="shared" si="11"/>
        <v>0.91999999999999993</v>
      </c>
      <c r="L60" s="52">
        <f t="shared" si="11"/>
        <v>0.20999999999999996</v>
      </c>
      <c r="M60" s="52">
        <f t="shared" si="11"/>
        <v>1.6050000000000022</v>
      </c>
      <c r="N60" s="52">
        <f>SUM(N45:N59)</f>
        <v>10.290000000000008</v>
      </c>
      <c r="O60" s="230"/>
      <c r="P60" s="230">
        <f>B20/N60</f>
        <v>0.83527696793002948</v>
      </c>
    </row>
    <row r="61" spans="1:16" s="52" customFormat="1" x14ac:dyDescent="0.2">
      <c r="O61" s="251"/>
      <c r="P61" s="230" t="str">
        <f>ROUND(P60*100,0)&amp;"% Complete Overall"</f>
        <v>84% Complete Overall</v>
      </c>
    </row>
    <row r="62" spans="1:16" ht="13.5" thickBot="1" x14ac:dyDescent="0.25">
      <c r="A62" s="496" t="s">
        <v>508</v>
      </c>
      <c r="B62" s="496"/>
      <c r="C62" s="496"/>
      <c r="D62" s="496"/>
      <c r="E62" s="496"/>
      <c r="F62" s="496"/>
      <c r="G62" s="496"/>
      <c r="H62" s="496"/>
      <c r="I62" s="496"/>
      <c r="J62" s="496"/>
      <c r="K62" s="496"/>
      <c r="L62" s="496"/>
      <c r="M62" s="496"/>
      <c r="N62" s="496"/>
    </row>
    <row r="63" spans="1:16" ht="13.5" thickBot="1" x14ac:dyDescent="0.25">
      <c r="A63" s="224" t="s">
        <v>163</v>
      </c>
      <c r="B63" s="223" t="s">
        <v>496</v>
      </c>
      <c r="C63" s="223" t="s">
        <v>497</v>
      </c>
      <c r="D63" s="223" t="s">
        <v>498</v>
      </c>
      <c r="E63" s="223" t="s">
        <v>499</v>
      </c>
      <c r="F63" s="223" t="s">
        <v>500</v>
      </c>
      <c r="G63" s="223" t="s">
        <v>501</v>
      </c>
      <c r="H63" s="223" t="s">
        <v>502</v>
      </c>
      <c r="I63" s="223" t="s">
        <v>503</v>
      </c>
      <c r="J63" s="223" t="s">
        <v>504</v>
      </c>
      <c r="K63" s="223" t="s">
        <v>505</v>
      </c>
      <c r="L63" s="223" t="s">
        <v>506</v>
      </c>
      <c r="M63" s="223" t="s">
        <v>495</v>
      </c>
      <c r="N63" s="223" t="s">
        <v>511</v>
      </c>
      <c r="O63" s="223" t="s">
        <v>527</v>
      </c>
    </row>
    <row r="64" spans="1:16" x14ac:dyDescent="0.2">
      <c r="A64" s="137" t="str">
        <f>List!A2</f>
        <v>Main Line</v>
      </c>
      <c r="B64" s="52">
        <f>SUMIFS(Programme!$AD$3:$AD$451,Programme!$C$3:$C$451,$A64,Programme!$AE$3:$AE$451,"&gt;="&amp;"01/07/2018",Programme!$AE$3:$AE$451,"&lt;="&amp;"31/07/2018")</f>
        <v>0.59999999999999964</v>
      </c>
      <c r="C64" s="52">
        <f>SUMIFS(Programme!$AD$3:$AD$451,Programme!$C$3:$C$451,$A64,Programme!$AE$3:$AE$451,"&gt;="&amp;"01/08/2018",Programme!$AE$3:$AE$451,"&lt;="&amp;"31/08/2018")</f>
        <v>0.92999999999999972</v>
      </c>
      <c r="D64" s="52">
        <f>SUMIFS(Programme!$AD$3:$AD$451,Programme!$C$3:$C$451,$A64,Programme!$AE$3:$AE$451,"&gt;="&amp;"01/09/2018",Programme!$AE$3:$AE$451,"&lt;="&amp;"30/09/2018")</f>
        <v>0</v>
      </c>
      <c r="E64" s="52">
        <f>SUMIFS(Programme!$AD$3:$AD$451,Programme!$C$3:$C$451,$A64,Programme!$AE$3:$AE$451,"&gt;="&amp;"01/10/2018",Programme!$AE$3:$AE$451,"&lt;="&amp;"31/10/2018")</f>
        <v>0</v>
      </c>
      <c r="F64" s="52">
        <f>SUMIFS(Programme!$AD$3:$AD$451,Programme!$C$3:$C$451,$A64,Programme!$AE$3:$AE$451,"&gt;="&amp;"01/11/2018",Programme!$AE$3:$AE$451,"&lt;="&amp;"30/11/2018")</f>
        <v>0.30000000000000004</v>
      </c>
      <c r="G64" s="52">
        <f>SUMIFS(Programme!$AD$3:$AD$451,Programme!$C$3:$C$451,$A64,Programme!$AE$3:$AE$451,"&gt;="&amp;"01/12/2018",Programme!$AE$3:$AE$451,"&lt;="&amp;"31/12/2018")</f>
        <v>0</v>
      </c>
      <c r="H64" s="52">
        <f>SUMIFS(Programme!$AD$3:$AD$451,Programme!$C$3:$C$451,$A64,Programme!$AE$3:$AE$451,"&gt;="&amp;"01/01/2019",Programme!$AE$3:$AE$451,"&lt;="&amp;"31/01/2019")</f>
        <v>0</v>
      </c>
      <c r="I64" s="52">
        <f>SUMIFS(Programme!$AD$3:$AD$451,Programme!$C$3:$C$451,$A64,Programme!$AE$3:$AE$451,"&gt;="&amp;"01/02/2019",Programme!$AE$3:$AE$451,"&lt;="&amp;"28/02/2019")</f>
        <v>0</v>
      </c>
      <c r="J64" s="52">
        <f>SUMIFS(Programme!$AD$3:$AD$451,Programme!$C$3:$C$451,$A64,Programme!$AE$3:$AE$451,"&gt;="&amp;"01/03/2019",Programme!$AE$3:$AE$451,"&lt;="&amp;"31/03/2019")</f>
        <v>0.92000000000000171</v>
      </c>
      <c r="K64" s="52">
        <f>SUMIFS(Programme!$AD$3:$AD$451,Programme!$C$3:$C$451,$A64,Programme!$AE$3:$AE$451,"&gt;="&amp;"01/04/2019",Programme!$AE$3:$AE$451,"&lt;="&amp;"30/04/2019")</f>
        <v>0</v>
      </c>
      <c r="L64" s="52">
        <f>SUMIFS(Programme!$AD$3:$AD$451,Programme!$C$3:$C$451,$A64,Programme!$AE$3:$AE$451,"&gt;="&amp;"01/05/2019",Programme!$AE$3:$AE$451,"&lt;="&amp;"31/05/2019")</f>
        <v>0.24000000000000021</v>
      </c>
      <c r="M64" s="52">
        <f>SUMIFS(Programme!$AD$3:$AD$451,Programme!$C$3:$C$451,$A64,Programme!$AE$3:$AE$451,"&gt;="&amp;"01/06/2019",Programme!$AE$3:$AE$451,"&lt;="&amp;"30/06/2019")</f>
        <v>0</v>
      </c>
      <c r="N64">
        <f>SUM(B64:M64)</f>
        <v>2.9900000000000011</v>
      </c>
      <c r="O64" s="231">
        <f>N64/$N$79</f>
        <v>0.25807008458484376</v>
      </c>
    </row>
    <row r="65" spans="1:16" x14ac:dyDescent="0.2">
      <c r="A65" s="137" t="str">
        <f>List!A3</f>
        <v>North Coast Line</v>
      </c>
      <c r="B65" s="52">
        <f>SUMIFS(Programme!$AD$3:$AD$451,Programme!$C$3:$C$451,$A65,Programme!$AE$3:$AE$451,"&gt;="&amp;"01/07/2018",Programme!$AE$3:$AE$451,"&lt;="&amp;"31/07/2018")</f>
        <v>0</v>
      </c>
      <c r="C65" s="52">
        <f>SUMIFS(Programme!$AD$3:$AD$451,Programme!$C$3:$C$451,$A65,Programme!$AE$3:$AE$451,"&gt;="&amp;"01/08/2018",Programme!$AE$3:$AE$451,"&lt;="&amp;"31/08/2018")</f>
        <v>0.85000000000000142</v>
      </c>
      <c r="D65" s="52">
        <f>SUMIFS(Programme!$AD$3:$AD$451,Programme!$C$3:$C$451,$A65,Programme!$AE$3:$AE$451,"&gt;="&amp;"01/09/2018",Programme!$AE$3:$AE$451,"&lt;="&amp;"30/09/2018")</f>
        <v>0.35000000000000009</v>
      </c>
      <c r="E65" s="52">
        <f>SUMIFS(Programme!$AD$3:$AD$451,Programme!$C$3:$C$451,$A65,Programme!$AE$3:$AE$451,"&gt;="&amp;"01/10/2018",Programme!$AE$3:$AE$451,"&lt;="&amp;"31/10/2018")</f>
        <v>0</v>
      </c>
      <c r="F65" s="52">
        <f>SUMIFS(Programme!$AD$3:$AD$451,Programme!$C$3:$C$451,$A65,Programme!$AE$3:$AE$451,"&gt;="&amp;"01/11/2018",Programme!$AE$3:$AE$451,"&lt;="&amp;"30/11/2018")</f>
        <v>0</v>
      </c>
      <c r="G65" s="52">
        <f>SUMIFS(Programme!$AD$3:$AD$451,Programme!$C$3:$C$451,$A65,Programme!$AE$3:$AE$451,"&gt;="&amp;"01/12/2018",Programme!$AE$3:$AE$451,"&lt;="&amp;"31/12/2018")</f>
        <v>0</v>
      </c>
      <c r="H65" s="52">
        <f>SUMIFS(Programme!$AD$3:$AD$451,Programme!$C$3:$C$451,$A65,Programme!$AE$3:$AE$451,"&gt;="&amp;"01/01/2019",Programme!$AE$3:$AE$451,"&lt;="&amp;"31/01/2019")</f>
        <v>0</v>
      </c>
      <c r="I65" s="52">
        <f>SUMIFS(Programme!$AD$3:$AD$451,Programme!$C$3:$C$451,$A65,Programme!$AE$3:$AE$451,"&gt;="&amp;"01/02/2019",Programme!$AE$3:$AE$451,"&lt;="&amp;"28/02/2019")</f>
        <v>0.66000000000000014</v>
      </c>
      <c r="J65" s="52">
        <f>SUMIFS(Programme!$AD$3:$AD$451,Programme!$C$3:$C$451,$A65,Programme!$AE$3:$AE$451,"&gt;="&amp;"01/03/2019",Programme!$AE$3:$AE$451,"&lt;="&amp;"31/03/2019")</f>
        <v>0</v>
      </c>
      <c r="K65" s="52">
        <f>SUMIFS(Programme!$AD$3:$AD$451,Programme!$C$3:$C$451,$A65,Programme!$AE$3:$AE$451,"&gt;="&amp;"01/04/2019",Programme!$AE$3:$AE$451,"&lt;="&amp;"30/04/2019")</f>
        <v>0.67999999999999972</v>
      </c>
      <c r="L65" s="52">
        <f>SUMIFS(Programme!$AD$3:$AD$451,Programme!$C$3:$C$451,$A65,Programme!$AE$3:$AE$451,"&gt;="&amp;"01/05/2019",Programme!$AE$3:$AE$451,"&lt;="&amp;"31/05/2019")</f>
        <v>0</v>
      </c>
      <c r="M65" s="52">
        <f>SUMIFS(Programme!$AD$3:$AD$451,Programme!$C$3:$C$451,$A65,Programme!$AE$3:$AE$451,"&gt;="&amp;"01/06/2019",Programme!$AE$3:$AE$451,"&lt;="&amp;"30/06/2019")</f>
        <v>0.58999999999999986</v>
      </c>
      <c r="N65" s="52">
        <f t="shared" ref="N65:N78" si="12">SUM(B65:M65)</f>
        <v>3.1300000000000012</v>
      </c>
      <c r="O65" s="231">
        <f t="shared" ref="O65:O78" si="13">N65/$N$79</f>
        <v>0.27015363369583978</v>
      </c>
    </row>
    <row r="66" spans="1:16" x14ac:dyDescent="0.2">
      <c r="A66" s="137" t="str">
        <f>List!A4</f>
        <v>Ferny Grove Line</v>
      </c>
      <c r="B66" s="52">
        <f>SUMIFS(Programme!$AD$3:$AD$451,Programme!$C$3:$C$451,$A66,Programme!$AE$3:$AE$451,"&gt;="&amp;"01/07/2018",Programme!$AE$3:$AE$451,"&lt;="&amp;"31/07/2018")</f>
        <v>0</v>
      </c>
      <c r="C66" s="52">
        <f>SUMIFS(Programme!$AD$3:$AD$451,Programme!$C$3:$C$451,$A66,Programme!$AE$3:$AE$451,"&gt;="&amp;"01/08/2018",Programme!$AE$3:$AE$451,"&lt;="&amp;"31/08/2018")</f>
        <v>0</v>
      </c>
      <c r="D66" s="52">
        <f>SUMIFS(Programme!$AD$3:$AD$451,Programme!$C$3:$C$451,$A66,Programme!$AE$3:$AE$451,"&gt;="&amp;"01/09/2018",Programme!$AE$3:$AE$451,"&lt;="&amp;"30/09/2018")</f>
        <v>0</v>
      </c>
      <c r="E66" s="52">
        <f>SUMIFS(Programme!$AD$3:$AD$451,Programme!$C$3:$C$451,$A66,Programme!$AE$3:$AE$451,"&gt;="&amp;"01/10/2018",Programme!$AE$3:$AE$451,"&lt;="&amp;"31/10/2018")</f>
        <v>0.42499999999999982</v>
      </c>
      <c r="F66" s="52">
        <f>SUMIFS(Programme!$AD$3:$AD$451,Programme!$C$3:$C$451,$A66,Programme!$AE$3:$AE$451,"&gt;="&amp;"01/11/2018",Programme!$AE$3:$AE$451,"&lt;="&amp;"30/11/2018")</f>
        <v>0</v>
      </c>
      <c r="G66" s="52">
        <f>SUMIFS(Programme!$AD$3:$AD$451,Programme!$C$3:$C$451,$A66,Programme!$AE$3:$AE$451,"&gt;="&amp;"01/12/2018",Programme!$AE$3:$AE$451,"&lt;="&amp;"31/12/2018")</f>
        <v>0</v>
      </c>
      <c r="H66" s="52">
        <f>SUMIFS(Programme!$AD$3:$AD$451,Programme!$C$3:$C$451,$A66,Programme!$AE$3:$AE$451,"&gt;="&amp;"01/01/2019",Programme!$AE$3:$AE$451,"&lt;="&amp;"31/01/2019")</f>
        <v>0</v>
      </c>
      <c r="I66" s="52">
        <f>SUMIFS(Programme!$AD$3:$AD$451,Programme!$C$3:$C$451,$A66,Programme!$AE$3:$AE$451,"&gt;="&amp;"01/02/2019",Programme!$AE$3:$AE$451,"&lt;="&amp;"28/02/2019")</f>
        <v>0</v>
      </c>
      <c r="J66" s="52">
        <f>SUMIFS(Programme!$AD$3:$AD$451,Programme!$C$3:$C$451,$A66,Programme!$AE$3:$AE$451,"&gt;="&amp;"01/03/2019",Programme!$AE$3:$AE$451,"&lt;="&amp;"31/03/2019")</f>
        <v>0</v>
      </c>
      <c r="K66" s="52">
        <f>SUMIFS(Programme!$AD$3:$AD$451,Programme!$C$3:$C$451,$A66,Programme!$AE$3:$AE$451,"&gt;="&amp;"01/04/2019",Programme!$AE$3:$AE$451,"&lt;="&amp;"30/04/2019")</f>
        <v>0.4399999999999995</v>
      </c>
      <c r="L66" s="52">
        <f>SUMIFS(Programme!$AD$3:$AD$451,Programme!$C$3:$C$451,$A66,Programme!$AE$3:$AE$451,"&gt;="&amp;"01/05/2019",Programme!$AE$3:$AE$451,"&lt;="&amp;"31/05/2019")</f>
        <v>0</v>
      </c>
      <c r="M66" s="52">
        <f>SUMIFS(Programme!$AD$3:$AD$451,Programme!$C$3:$C$451,$A66,Programme!$AE$3:$AE$451,"&gt;="&amp;"01/06/2019",Programme!$AE$3:$AE$451,"&lt;="&amp;"30/06/2019")</f>
        <v>0</v>
      </c>
      <c r="N66" s="52">
        <f t="shared" si="12"/>
        <v>0.86499999999999932</v>
      </c>
      <c r="O66" s="231">
        <f t="shared" si="13"/>
        <v>7.4659071292939666E-2</v>
      </c>
    </row>
    <row r="67" spans="1:16" x14ac:dyDescent="0.2">
      <c r="A67" s="137" t="str">
        <f>List!A5</f>
        <v>Inner City Line (via Central)</v>
      </c>
      <c r="B67" s="52">
        <f>SUMIFS(Programme!$AD$3:$AD$451,Programme!$C$3:$C$451,$A67,Programme!$AE$3:$AE$451,"&gt;="&amp;"01/07/2018",Programme!$AE$3:$AE$451,"&lt;="&amp;"31/07/2018")</f>
        <v>0</v>
      </c>
      <c r="C67" s="52">
        <f>SUMIFS(Programme!$AD$3:$AD$451,Programme!$C$3:$C$451,$A67,Programme!$AE$3:$AE$451,"&gt;="&amp;"01/08/2018",Programme!$AE$3:$AE$451,"&lt;="&amp;"31/08/2018")</f>
        <v>0</v>
      </c>
      <c r="D67" s="52">
        <f>SUMIFS(Programme!$AD$3:$AD$451,Programme!$C$3:$C$451,$A67,Programme!$AE$3:$AE$451,"&gt;="&amp;"01/09/2018",Programme!$AE$3:$AE$451,"&lt;="&amp;"30/09/2018")</f>
        <v>0</v>
      </c>
      <c r="E67" s="52">
        <f>SUMIFS(Programme!$AD$3:$AD$451,Programme!$C$3:$C$451,$A67,Programme!$AE$3:$AE$451,"&gt;="&amp;"01/10/2018",Programme!$AE$3:$AE$451,"&lt;="&amp;"31/10/2018")</f>
        <v>0</v>
      </c>
      <c r="F67" s="52">
        <f>SUMIFS(Programme!$AD$3:$AD$451,Programme!$C$3:$C$451,$A67,Programme!$AE$3:$AE$451,"&gt;="&amp;"01/11/2018",Programme!$AE$3:$AE$451,"&lt;="&amp;"30/11/2018")</f>
        <v>0</v>
      </c>
      <c r="G67" s="52">
        <f>SUMIFS(Programme!$AD$3:$AD$451,Programme!$C$3:$C$451,$A67,Programme!$AE$3:$AE$451,"&gt;="&amp;"01/12/2018",Programme!$AE$3:$AE$451,"&lt;="&amp;"31/12/2018")</f>
        <v>0</v>
      </c>
      <c r="H67" s="52">
        <f>SUMIFS(Programme!$AD$3:$AD$451,Programme!$C$3:$C$451,$A67,Programme!$AE$3:$AE$451,"&gt;="&amp;"01/01/2019",Programme!$AE$3:$AE$451,"&lt;="&amp;"31/01/2019")</f>
        <v>0</v>
      </c>
      <c r="I67" s="52">
        <f>SUMIFS(Programme!$AD$3:$AD$451,Programme!$C$3:$C$451,$A67,Programme!$AE$3:$AE$451,"&gt;="&amp;"01/02/2019",Programme!$AE$3:$AE$451,"&lt;="&amp;"28/02/2019")</f>
        <v>0</v>
      </c>
      <c r="J67" s="52">
        <f>SUMIFS(Programme!$AD$3:$AD$451,Programme!$C$3:$C$451,$A67,Programme!$AE$3:$AE$451,"&gt;="&amp;"01/03/2019",Programme!$AE$3:$AE$451,"&lt;="&amp;"31/03/2019")</f>
        <v>0</v>
      </c>
      <c r="K67" s="52">
        <f>SUMIFS(Programme!$AD$3:$AD$451,Programme!$C$3:$C$451,$A67,Programme!$AE$3:$AE$451,"&gt;="&amp;"01/04/2019",Programme!$AE$3:$AE$451,"&lt;="&amp;"30/04/2019")</f>
        <v>0</v>
      </c>
      <c r="L67" s="52">
        <f>SUMIFS(Programme!$AD$3:$AD$451,Programme!$C$3:$C$451,$A67,Programme!$AE$3:$AE$451,"&gt;="&amp;"01/05/2019",Programme!$AE$3:$AE$451,"&lt;="&amp;"31/05/2019")</f>
        <v>0</v>
      </c>
      <c r="M67" s="52">
        <f>SUMIFS(Programme!$AD$3:$AD$451,Programme!$C$3:$C$451,$A67,Programme!$AE$3:$AE$451,"&gt;="&amp;"01/06/2019",Programme!$AE$3:$AE$451,"&lt;="&amp;"30/06/2019")</f>
        <v>0</v>
      </c>
      <c r="N67" s="52">
        <f t="shared" si="12"/>
        <v>0</v>
      </c>
      <c r="O67" s="231">
        <f t="shared" si="13"/>
        <v>0</v>
      </c>
    </row>
    <row r="68" spans="1:16" x14ac:dyDescent="0.2">
      <c r="A68" s="137" t="str">
        <f>List!A6</f>
        <v>Gold Coast / Beenleigh Line</v>
      </c>
      <c r="B68" s="52">
        <f>SUMIFS(Programme!$AD$3:$AD$451,Programme!$C$3:$C$451,$A68,Programme!$AE$3:$AE$451,"&gt;="&amp;"01/07/2018",Programme!$AE$3:$AE$451,"&lt;="&amp;"31/07/2018")</f>
        <v>0</v>
      </c>
      <c r="C68" s="52">
        <f>SUMIFS(Programme!$AD$3:$AD$451,Programme!$C$3:$C$451,$A68,Programme!$AE$3:$AE$451,"&gt;="&amp;"01/08/2018",Programme!$AE$3:$AE$451,"&lt;="&amp;"31/08/2018")</f>
        <v>0</v>
      </c>
      <c r="D68" s="52">
        <f>SUMIFS(Programme!$AD$3:$AD$451,Programme!$C$3:$C$451,$A68,Programme!$AE$3:$AE$451,"&gt;="&amp;"01/09/2018",Programme!$AE$3:$AE$451,"&lt;="&amp;"30/09/2018")</f>
        <v>0</v>
      </c>
      <c r="E68" s="52">
        <f>SUMIFS(Programme!$AD$3:$AD$451,Programme!$C$3:$C$451,$A68,Programme!$AE$3:$AE$451,"&gt;="&amp;"01/10/2018",Programme!$AE$3:$AE$451,"&lt;="&amp;"31/10/2018")</f>
        <v>0</v>
      </c>
      <c r="F68" s="52">
        <f>SUMIFS(Programme!$AD$3:$AD$451,Programme!$C$3:$C$451,$A68,Programme!$AE$3:$AE$451,"&gt;="&amp;"01/11/2018",Programme!$AE$3:$AE$451,"&lt;="&amp;"30/11/2018")</f>
        <v>0</v>
      </c>
      <c r="G68" s="52">
        <f>SUMIFS(Programme!$AD$3:$AD$451,Programme!$C$3:$C$451,$A68,Programme!$AE$3:$AE$451,"&gt;="&amp;"01/12/2018",Programme!$AE$3:$AE$451,"&lt;="&amp;"31/12/2018")</f>
        <v>0</v>
      </c>
      <c r="H68" s="52">
        <f>SUMIFS(Programme!$AD$3:$AD$451,Programme!$C$3:$C$451,$A68,Programme!$AE$3:$AE$451,"&gt;="&amp;"01/01/2019",Programme!$AE$3:$AE$451,"&lt;="&amp;"31/01/2019")</f>
        <v>0</v>
      </c>
      <c r="I68" s="52">
        <f>SUMIFS(Programme!$AD$3:$AD$451,Programme!$C$3:$C$451,$A68,Programme!$AE$3:$AE$451,"&gt;="&amp;"01/02/2019",Programme!$AE$3:$AE$451,"&lt;="&amp;"28/02/2019")</f>
        <v>0</v>
      </c>
      <c r="J68" s="52">
        <f>SUMIFS(Programme!$AD$3:$AD$451,Programme!$C$3:$C$451,$A68,Programme!$AE$3:$AE$451,"&gt;="&amp;"01/03/2019",Programme!$AE$3:$AE$451,"&lt;="&amp;"31/03/2019")</f>
        <v>0.53000000000000114</v>
      </c>
      <c r="K68" s="52">
        <f>SUMIFS(Programme!$AD$3:$AD$451,Programme!$C$3:$C$451,$A68,Programme!$AE$3:$AE$451,"&gt;="&amp;"01/04/2019",Programme!$AE$3:$AE$451,"&lt;="&amp;"30/04/2019")</f>
        <v>0</v>
      </c>
      <c r="L68" s="52">
        <f>SUMIFS(Programme!$AD$3:$AD$451,Programme!$C$3:$C$451,$A68,Programme!$AE$3:$AE$451,"&gt;="&amp;"01/05/2019",Programme!$AE$3:$AE$451,"&lt;="&amp;"31/05/2019")</f>
        <v>0</v>
      </c>
      <c r="M68" s="52">
        <f>SUMIFS(Programme!$AD$3:$AD$451,Programme!$C$3:$C$451,$A68,Programme!$AE$3:$AE$451,"&gt;="&amp;"01/06/2019",Programme!$AE$3:$AE$451,"&lt;="&amp;"30/06/2019")</f>
        <v>0.10000000000000142</v>
      </c>
      <c r="N68" s="52">
        <f t="shared" si="12"/>
        <v>0.63000000000000256</v>
      </c>
      <c r="O68" s="231">
        <f t="shared" si="13"/>
        <v>5.4375970999482326E-2</v>
      </c>
    </row>
    <row r="69" spans="1:16" x14ac:dyDescent="0.2">
      <c r="A69" s="137" t="str">
        <f>List!A7</f>
        <v>Shorncliffe Line</v>
      </c>
      <c r="B69" s="52">
        <f>SUMIFS(Programme!$AD$3:$AD$451,Programme!$C$3:$C$451,$A69,Programme!$AE$3:$AE$451,"&gt;="&amp;"01/07/2018",Programme!$AE$3:$AE$451,"&lt;="&amp;"31/07/2018")</f>
        <v>0.76000000000000068</v>
      </c>
      <c r="C69" s="52">
        <f>SUMIFS(Programme!$AD$3:$AD$451,Programme!$C$3:$C$451,$A69,Programme!$AE$3:$AE$451,"&gt;="&amp;"01/08/2018",Programme!$AE$3:$AE$451,"&lt;="&amp;"31/08/2018")</f>
        <v>0</v>
      </c>
      <c r="D69" s="52">
        <f>SUMIFS(Programme!$AD$3:$AD$451,Programme!$C$3:$C$451,$A69,Programme!$AE$3:$AE$451,"&gt;="&amp;"01/09/2018",Programme!$AE$3:$AE$451,"&lt;="&amp;"30/09/2018")</f>
        <v>0</v>
      </c>
      <c r="E69" s="52">
        <f>SUMIFS(Programme!$AD$3:$AD$451,Programme!$C$3:$C$451,$A69,Programme!$AE$3:$AE$451,"&gt;="&amp;"01/10/2018",Programme!$AE$3:$AE$451,"&lt;="&amp;"31/10/2018")</f>
        <v>0</v>
      </c>
      <c r="F69" s="52">
        <f>SUMIFS(Programme!$AD$3:$AD$451,Programme!$C$3:$C$451,$A69,Programme!$AE$3:$AE$451,"&gt;="&amp;"01/11/2018",Programme!$AE$3:$AE$451,"&lt;="&amp;"30/11/2018")</f>
        <v>0</v>
      </c>
      <c r="G69" s="52">
        <f>SUMIFS(Programme!$AD$3:$AD$451,Programme!$C$3:$C$451,$A69,Programme!$AE$3:$AE$451,"&gt;="&amp;"01/12/2018",Programme!$AE$3:$AE$451,"&lt;="&amp;"31/12/2018")</f>
        <v>0</v>
      </c>
      <c r="H69" s="52">
        <f>SUMIFS(Programme!$AD$3:$AD$451,Programme!$C$3:$C$451,$A69,Programme!$AE$3:$AE$451,"&gt;="&amp;"01/01/2019",Programme!$AE$3:$AE$451,"&lt;="&amp;"31/01/2019")</f>
        <v>0</v>
      </c>
      <c r="I69" s="52">
        <f>SUMIFS(Programme!$AD$3:$AD$451,Programme!$C$3:$C$451,$A69,Programme!$AE$3:$AE$451,"&gt;="&amp;"01/02/2019",Programme!$AE$3:$AE$451,"&lt;="&amp;"28/02/2019")</f>
        <v>0</v>
      </c>
      <c r="J69" s="52">
        <f>SUMIFS(Programme!$AD$3:$AD$451,Programme!$C$3:$C$451,$A69,Programme!$AE$3:$AE$451,"&gt;="&amp;"01/03/2019",Programme!$AE$3:$AE$451,"&lt;="&amp;"31/03/2019")</f>
        <v>0</v>
      </c>
      <c r="K69" s="52">
        <f>SUMIFS(Programme!$AD$3:$AD$451,Programme!$C$3:$C$451,$A69,Programme!$AE$3:$AE$451,"&gt;="&amp;"01/04/2019",Programme!$AE$3:$AE$451,"&lt;="&amp;"30/04/2019")</f>
        <v>0</v>
      </c>
      <c r="L69" s="52">
        <f>SUMIFS(Programme!$AD$3:$AD$451,Programme!$C$3:$C$451,$A69,Programme!$AE$3:$AE$451,"&gt;="&amp;"01/05/2019",Programme!$AE$3:$AE$451,"&lt;="&amp;"31/05/2019")</f>
        <v>0</v>
      </c>
      <c r="M69" s="52">
        <f>SUMIFS(Programme!$AD$3:$AD$451,Programme!$C$3:$C$451,$A69,Programme!$AE$3:$AE$451,"&gt;="&amp;"01/06/2019",Programme!$AE$3:$AE$451,"&lt;="&amp;"30/06/2019")</f>
        <v>0</v>
      </c>
      <c r="N69" s="52">
        <f t="shared" si="12"/>
        <v>0.76000000000000068</v>
      </c>
      <c r="O69" s="231">
        <f t="shared" si="13"/>
        <v>6.5596409459692764E-2</v>
      </c>
    </row>
    <row r="70" spans="1:16" x14ac:dyDescent="0.2">
      <c r="A70" s="137" t="str">
        <f>List!A8</f>
        <v>Springfield Line</v>
      </c>
      <c r="B70" s="52">
        <f>SUMIFS(Programme!$AD$3:$AD$451,Programme!$C$3:$C$451,$A70,Programme!$AE$3:$AE$451,"&gt;="&amp;"01/07/2018",Programme!$AE$3:$AE$451,"&lt;="&amp;"31/07/2018")</f>
        <v>0</v>
      </c>
      <c r="C70" s="52">
        <f>SUMIFS(Programme!$AD$3:$AD$451,Programme!$C$3:$C$451,$A70,Programme!$AE$3:$AE$451,"&gt;="&amp;"01/08/2018",Programme!$AE$3:$AE$451,"&lt;="&amp;"31/08/2018")</f>
        <v>0</v>
      </c>
      <c r="D70" s="52">
        <f>SUMIFS(Programme!$AD$3:$AD$451,Programme!$C$3:$C$451,$A70,Programme!$AE$3:$AE$451,"&gt;="&amp;"01/09/2018",Programme!$AE$3:$AE$451,"&lt;="&amp;"30/09/2018")</f>
        <v>0</v>
      </c>
      <c r="E70" s="52">
        <f>SUMIFS(Programme!$AD$3:$AD$451,Programme!$C$3:$C$451,$A70,Programme!$AE$3:$AE$451,"&gt;="&amp;"01/10/2018",Programme!$AE$3:$AE$451,"&lt;="&amp;"31/10/2018")</f>
        <v>0</v>
      </c>
      <c r="F70" s="52">
        <f>SUMIFS(Programme!$AD$3:$AD$451,Programme!$C$3:$C$451,$A70,Programme!$AE$3:$AE$451,"&gt;="&amp;"01/11/2018",Programme!$AE$3:$AE$451,"&lt;="&amp;"30/11/2018")</f>
        <v>0</v>
      </c>
      <c r="G70" s="52">
        <f>SUMIFS(Programme!$AD$3:$AD$451,Programme!$C$3:$C$451,$A70,Programme!$AE$3:$AE$451,"&gt;="&amp;"01/12/2018",Programme!$AE$3:$AE$451,"&lt;="&amp;"31/12/2018")</f>
        <v>0</v>
      </c>
      <c r="H70" s="52">
        <f>SUMIFS(Programme!$AD$3:$AD$451,Programme!$C$3:$C$451,$A70,Programme!$AE$3:$AE$451,"&gt;="&amp;"01/01/2019",Programme!$AE$3:$AE$451,"&lt;="&amp;"31/01/2019")</f>
        <v>0</v>
      </c>
      <c r="I70" s="52">
        <f>SUMIFS(Programme!$AD$3:$AD$451,Programme!$C$3:$C$451,$A70,Programme!$AE$3:$AE$451,"&gt;="&amp;"01/02/2019",Programme!$AE$3:$AE$451,"&lt;="&amp;"28/02/2019")</f>
        <v>0</v>
      </c>
      <c r="J70" s="52">
        <f>SUMIFS(Programme!$AD$3:$AD$451,Programme!$C$3:$C$451,$A70,Programme!$AE$3:$AE$451,"&gt;="&amp;"01/03/2019",Programme!$AE$3:$AE$451,"&lt;="&amp;"31/03/2019")</f>
        <v>0</v>
      </c>
      <c r="K70" s="52">
        <f>SUMIFS(Programme!$AD$3:$AD$451,Programme!$C$3:$C$451,$A70,Programme!$AE$3:$AE$451,"&gt;="&amp;"01/04/2019",Programme!$AE$3:$AE$451,"&lt;="&amp;"30/04/2019")</f>
        <v>0</v>
      </c>
      <c r="L70" s="52">
        <f>SUMIFS(Programme!$AD$3:$AD$451,Programme!$C$3:$C$451,$A70,Programme!$AE$3:$AE$451,"&gt;="&amp;"01/05/2019",Programme!$AE$3:$AE$451,"&lt;="&amp;"31/05/2019")</f>
        <v>0</v>
      </c>
      <c r="M70" s="52">
        <f>SUMIFS(Programme!$AD$3:$AD$451,Programme!$C$3:$C$451,$A70,Programme!$AE$3:$AE$451,"&gt;="&amp;"01/06/2019",Programme!$AE$3:$AE$451,"&lt;="&amp;"30/06/2019")</f>
        <v>0</v>
      </c>
      <c r="N70" s="52">
        <f t="shared" si="12"/>
        <v>0</v>
      </c>
      <c r="O70" s="231">
        <f t="shared" si="13"/>
        <v>0</v>
      </c>
    </row>
    <row r="71" spans="1:16" x14ac:dyDescent="0.2">
      <c r="A71" s="137" t="str">
        <f>List!A9</f>
        <v>Cleveland Line</v>
      </c>
      <c r="B71" s="52">
        <f>SUMIFS(Programme!$AD$3:$AD$451,Programme!$C$3:$C$451,$A71,Programme!$AE$3:$AE$451,"&gt;="&amp;"01/07/2018",Programme!$AE$3:$AE$451,"&lt;="&amp;"31/07/2018")</f>
        <v>0</v>
      </c>
      <c r="C71" s="52">
        <f>SUMIFS(Programme!$AD$3:$AD$451,Programme!$C$3:$C$451,$A71,Programme!$AE$3:$AE$451,"&gt;="&amp;"01/08/2018",Programme!$AE$3:$AE$451,"&lt;="&amp;"31/08/2018")</f>
        <v>0</v>
      </c>
      <c r="D71" s="52">
        <f>SUMIFS(Programme!$AD$3:$AD$451,Programme!$C$3:$C$451,$A71,Programme!$AE$3:$AE$451,"&gt;="&amp;"01/09/2018",Programme!$AE$3:$AE$451,"&lt;="&amp;"30/09/2018")</f>
        <v>1.3000000000001677E-2</v>
      </c>
      <c r="E71" s="52">
        <f>SUMIFS(Programme!$AD$3:$AD$451,Programme!$C$3:$C$451,$A71,Programme!$AE$3:$AE$451,"&gt;="&amp;"01/10/2018",Programme!$AE$3:$AE$451,"&lt;="&amp;"31/10/2018")</f>
        <v>0</v>
      </c>
      <c r="F71" s="52">
        <f>SUMIFS(Programme!$AD$3:$AD$451,Programme!$C$3:$C$451,$A71,Programme!$AE$3:$AE$451,"&gt;="&amp;"01/11/2018",Programme!$AE$3:$AE$451,"&lt;="&amp;"30/11/2018")</f>
        <v>2.9999999999999361E-2</v>
      </c>
      <c r="G71" s="52">
        <f>SUMIFS(Programme!$AD$3:$AD$451,Programme!$C$3:$C$451,$A71,Programme!$AE$3:$AE$451,"&gt;="&amp;"01/12/2018",Programme!$AE$3:$AE$451,"&lt;="&amp;"31/12/2018")</f>
        <v>1.7999999999998906E-2</v>
      </c>
      <c r="H71" s="52">
        <f>SUMIFS(Programme!$AD$3:$AD$451,Programme!$C$3:$C$451,$A71,Programme!$AE$3:$AE$451,"&gt;="&amp;"01/01/2019",Programme!$AE$3:$AE$451,"&lt;="&amp;"31/01/2019")</f>
        <v>0.90000000000000036</v>
      </c>
      <c r="I71" s="52">
        <f>SUMIFS(Programme!$AD$3:$AD$451,Programme!$C$3:$C$451,$A71,Programme!$AE$3:$AE$451,"&gt;="&amp;"01/02/2019",Programme!$AE$3:$AE$451,"&lt;="&amp;"28/02/2019")</f>
        <v>0.60000000000000053</v>
      </c>
      <c r="J71" s="52">
        <f>SUMIFS(Programme!$AD$3:$AD$451,Programme!$C$3:$C$451,$A71,Programme!$AE$3:$AE$451,"&gt;="&amp;"01/03/2019",Programme!$AE$3:$AE$451,"&lt;="&amp;"31/03/2019")</f>
        <v>0</v>
      </c>
      <c r="K71" s="52">
        <f>SUMIFS(Programme!$AD$3:$AD$451,Programme!$C$3:$C$451,$A71,Programme!$AE$3:$AE$451,"&gt;="&amp;"01/04/2019",Programme!$AE$3:$AE$451,"&lt;="&amp;"30/04/2019")</f>
        <v>0</v>
      </c>
      <c r="L71" s="52">
        <f>SUMIFS(Programme!$AD$3:$AD$451,Programme!$C$3:$C$451,$A71,Programme!$AE$3:$AE$451,"&gt;="&amp;"01/05/2019",Programme!$AE$3:$AE$451,"&lt;="&amp;"31/05/2019")</f>
        <v>0</v>
      </c>
      <c r="M71" s="52">
        <f>SUMIFS(Programme!$AD$3:$AD$451,Programme!$C$3:$C$451,$A71,Programme!$AE$3:$AE$451,"&gt;="&amp;"01/06/2019",Programme!$AE$3:$AE$451,"&lt;="&amp;"30/06/2019")</f>
        <v>0.88000000000000078</v>
      </c>
      <c r="N71" s="52">
        <f t="shared" si="12"/>
        <v>2.4410000000000016</v>
      </c>
      <c r="O71" s="231">
        <f t="shared" si="13"/>
        <v>0.21068530985672368</v>
      </c>
    </row>
    <row r="72" spans="1:16" x14ac:dyDescent="0.2">
      <c r="A72" s="137" t="str">
        <f>List!A10</f>
        <v>Redcliffe Line</v>
      </c>
      <c r="B72" s="52">
        <f>SUMIFS(Programme!$AD$3:$AD$451,Programme!$C$3:$C$451,$A72,Programme!$AE$3:$AE$451,"&gt;="&amp;"01/07/2018",Programme!$AE$3:$AE$451,"&lt;="&amp;"31/07/2018")</f>
        <v>0</v>
      </c>
      <c r="C72" s="52">
        <f>SUMIFS(Programme!$AD$3:$AD$451,Programme!$C$3:$C$451,$A72,Programme!$AE$3:$AE$451,"&gt;="&amp;"01/08/2018",Programme!$AE$3:$AE$451,"&lt;="&amp;"31/08/2018")</f>
        <v>0</v>
      </c>
      <c r="D72" s="52">
        <f>SUMIFS(Programme!$AD$3:$AD$451,Programme!$C$3:$C$451,$A72,Programme!$AE$3:$AE$451,"&gt;="&amp;"01/09/2018",Programme!$AE$3:$AE$451,"&lt;="&amp;"30/09/2018")</f>
        <v>0</v>
      </c>
      <c r="E72" s="52">
        <f>SUMIFS(Programme!$AD$3:$AD$451,Programme!$C$3:$C$451,$A72,Programme!$AE$3:$AE$451,"&gt;="&amp;"01/10/2018",Programme!$AE$3:$AE$451,"&lt;="&amp;"31/10/2018")</f>
        <v>0</v>
      </c>
      <c r="F72" s="52">
        <f>SUMIFS(Programme!$AD$3:$AD$451,Programme!$C$3:$C$451,$A72,Programme!$AE$3:$AE$451,"&gt;="&amp;"01/11/2018",Programme!$AE$3:$AE$451,"&lt;="&amp;"30/11/2018")</f>
        <v>0</v>
      </c>
      <c r="G72" s="52">
        <f>SUMIFS(Programme!$AD$3:$AD$451,Programme!$C$3:$C$451,$A72,Programme!$AE$3:$AE$451,"&gt;="&amp;"01/12/2018",Programme!$AE$3:$AE$451,"&lt;="&amp;"31/12/2018")</f>
        <v>0</v>
      </c>
      <c r="H72" s="52">
        <f>SUMIFS(Programme!$AD$3:$AD$451,Programme!$C$3:$C$451,$A72,Programme!$AE$3:$AE$451,"&gt;="&amp;"01/01/2019",Programme!$AE$3:$AE$451,"&lt;="&amp;"31/01/2019")</f>
        <v>0</v>
      </c>
      <c r="I72" s="52">
        <f>SUMIFS(Programme!$AD$3:$AD$451,Programme!$C$3:$C$451,$A72,Programme!$AE$3:$AE$451,"&gt;="&amp;"01/02/2019",Programme!$AE$3:$AE$451,"&lt;="&amp;"28/02/2019")</f>
        <v>0</v>
      </c>
      <c r="J72" s="52">
        <f>SUMIFS(Programme!$AD$3:$AD$451,Programme!$C$3:$C$451,$A72,Programme!$AE$3:$AE$451,"&gt;="&amp;"01/03/2019",Programme!$AE$3:$AE$451,"&lt;="&amp;"31/03/2019")</f>
        <v>0</v>
      </c>
      <c r="K72" s="52">
        <f>SUMIFS(Programme!$AD$3:$AD$451,Programme!$C$3:$C$451,$A72,Programme!$AE$3:$AE$451,"&gt;="&amp;"01/04/2019",Programme!$AE$3:$AE$451,"&lt;="&amp;"30/04/2019")</f>
        <v>0</v>
      </c>
      <c r="L72" s="52">
        <f>SUMIFS(Programme!$AD$3:$AD$451,Programme!$C$3:$C$451,$A72,Programme!$AE$3:$AE$451,"&gt;="&amp;"01/05/2019",Programme!$AE$3:$AE$451,"&lt;="&amp;"31/05/2019")</f>
        <v>0</v>
      </c>
      <c r="M72" s="52">
        <f>SUMIFS(Programme!$AD$3:$AD$451,Programme!$C$3:$C$451,$A72,Programme!$AE$3:$AE$451,"&gt;="&amp;"01/06/2019",Programme!$AE$3:$AE$451,"&lt;="&amp;"30/06/2019")</f>
        <v>0</v>
      </c>
      <c r="N72" s="52">
        <f t="shared" si="12"/>
        <v>0</v>
      </c>
      <c r="O72" s="231">
        <f t="shared" si="13"/>
        <v>0</v>
      </c>
    </row>
    <row r="73" spans="1:16" x14ac:dyDescent="0.2">
      <c r="A73" s="137" t="str">
        <f>List!A11</f>
        <v>Doomben Line</v>
      </c>
      <c r="B73" s="52">
        <f>SUMIFS(Programme!$AD$3:$AD$451,Programme!$C$3:$C$451,$A73,Programme!$AE$3:$AE$451,"&gt;="&amp;"01/07/2018",Programme!$AE$3:$AE$451,"&lt;="&amp;"31/07/2018")</f>
        <v>0</v>
      </c>
      <c r="C73" s="52">
        <f>SUMIFS(Programme!$AD$3:$AD$451,Programme!$C$3:$C$451,$A73,Programme!$AE$3:$AE$451,"&gt;="&amp;"01/08/2018",Programme!$AE$3:$AE$451,"&lt;="&amp;"31/08/2018")</f>
        <v>0</v>
      </c>
      <c r="D73" s="52">
        <f>SUMIFS(Programme!$AD$3:$AD$451,Programme!$C$3:$C$451,$A73,Programme!$AE$3:$AE$451,"&gt;="&amp;"01/09/2018",Programme!$AE$3:$AE$451,"&lt;="&amp;"30/09/2018")</f>
        <v>0</v>
      </c>
      <c r="E73" s="52">
        <f>SUMIFS(Programme!$AD$3:$AD$451,Programme!$C$3:$C$451,$A73,Programme!$AE$3:$AE$451,"&gt;="&amp;"01/10/2018",Programme!$AE$3:$AE$451,"&lt;="&amp;"31/10/2018")</f>
        <v>0</v>
      </c>
      <c r="F73" s="52">
        <f>SUMIFS(Programme!$AD$3:$AD$451,Programme!$C$3:$C$451,$A73,Programme!$AE$3:$AE$451,"&gt;="&amp;"01/11/2018",Programme!$AE$3:$AE$451,"&lt;="&amp;"30/11/2018")</f>
        <v>0</v>
      </c>
      <c r="G73" s="52">
        <f>SUMIFS(Programme!$AD$3:$AD$451,Programme!$C$3:$C$451,$A73,Programme!$AE$3:$AE$451,"&gt;="&amp;"01/12/2018",Programme!$AE$3:$AE$451,"&lt;="&amp;"31/12/2018")</f>
        <v>0</v>
      </c>
      <c r="H73" s="52">
        <f>SUMIFS(Programme!$AD$3:$AD$451,Programme!$C$3:$C$451,$A73,Programme!$AE$3:$AE$451,"&gt;="&amp;"01/01/2019",Programme!$AE$3:$AE$451,"&lt;="&amp;"31/01/2019")</f>
        <v>0</v>
      </c>
      <c r="I73" s="52">
        <f>SUMIFS(Programme!$AD$3:$AD$451,Programme!$C$3:$C$451,$A73,Programme!$AE$3:$AE$451,"&gt;="&amp;"01/02/2019",Programme!$AE$3:$AE$451,"&lt;="&amp;"28/02/2019")</f>
        <v>0</v>
      </c>
      <c r="J73" s="52">
        <f>SUMIFS(Programme!$AD$3:$AD$451,Programme!$C$3:$C$451,$A73,Programme!$AE$3:$AE$451,"&gt;="&amp;"01/03/2019",Programme!$AE$3:$AE$451,"&lt;="&amp;"31/03/2019")</f>
        <v>0</v>
      </c>
      <c r="K73" s="52">
        <f>SUMIFS(Programme!$AD$3:$AD$451,Programme!$C$3:$C$451,$A73,Programme!$AE$3:$AE$451,"&gt;="&amp;"01/04/2019",Programme!$AE$3:$AE$451,"&lt;="&amp;"30/04/2019")</f>
        <v>0</v>
      </c>
      <c r="L73" s="52">
        <f>SUMIFS(Programme!$AD$3:$AD$451,Programme!$C$3:$C$451,$A73,Programme!$AE$3:$AE$451,"&gt;="&amp;"01/05/2019",Programme!$AE$3:$AE$451,"&lt;="&amp;"31/05/2019")</f>
        <v>0</v>
      </c>
      <c r="M73" s="52">
        <f>SUMIFS(Programme!$AD$3:$AD$451,Programme!$C$3:$C$451,$A73,Programme!$AE$3:$AE$451,"&gt;="&amp;"01/06/2019",Programme!$AE$3:$AE$451,"&lt;="&amp;"30/06/2019")</f>
        <v>0</v>
      </c>
      <c r="N73" s="52">
        <f t="shared" si="12"/>
        <v>0</v>
      </c>
      <c r="O73" s="231">
        <f t="shared" si="13"/>
        <v>0</v>
      </c>
    </row>
    <row r="74" spans="1:16" x14ac:dyDescent="0.2">
      <c r="A74" s="137" t="str">
        <f>List!A12</f>
        <v>DG Dutton Park - Fisherman Is</v>
      </c>
      <c r="B74" s="52">
        <f>SUMIFS(Programme!$AD$3:$AD$451,Programme!$C$3:$C$451,$A74,Programme!$AE$3:$AE$451,"&gt;="&amp;"01/07/2018",Programme!$AE$3:$AE$451,"&lt;="&amp;"31/07/2018")</f>
        <v>0</v>
      </c>
      <c r="C74" s="52">
        <f>SUMIFS(Programme!$AD$3:$AD$451,Programme!$C$3:$C$451,$A74,Programme!$AE$3:$AE$451,"&gt;="&amp;"01/08/2018",Programme!$AE$3:$AE$451,"&lt;="&amp;"31/08/2018")</f>
        <v>0</v>
      </c>
      <c r="D74" s="52">
        <f>SUMIFS(Programme!$AD$3:$AD$451,Programme!$C$3:$C$451,$A74,Programme!$AE$3:$AE$451,"&gt;="&amp;"01/09/2018",Programme!$AE$3:$AE$451,"&lt;="&amp;"30/09/2018")</f>
        <v>0</v>
      </c>
      <c r="E74" s="52">
        <f>SUMIFS(Programme!$AD$3:$AD$451,Programme!$C$3:$C$451,$A74,Programme!$AE$3:$AE$451,"&gt;="&amp;"01/10/2018",Programme!$AE$3:$AE$451,"&lt;="&amp;"31/10/2018")</f>
        <v>0</v>
      </c>
      <c r="F74" s="52">
        <f>SUMIFS(Programme!$AD$3:$AD$451,Programme!$C$3:$C$451,$A74,Programme!$AE$3:$AE$451,"&gt;="&amp;"01/11/2018",Programme!$AE$3:$AE$451,"&lt;="&amp;"30/11/2018")</f>
        <v>0.51999999999999957</v>
      </c>
      <c r="G74" s="52">
        <f>SUMIFS(Programme!$AD$3:$AD$451,Programme!$C$3:$C$451,$A74,Programme!$AE$3:$AE$451,"&gt;="&amp;"01/12/2018",Programme!$AE$3:$AE$451,"&lt;="&amp;"31/12/2018")</f>
        <v>0.25</v>
      </c>
      <c r="H74" s="52">
        <f>SUMIFS(Programme!$AD$3:$AD$451,Programme!$C$3:$C$451,$A74,Programme!$AE$3:$AE$451,"&gt;="&amp;"01/01/2019",Programme!$AE$3:$AE$451,"&lt;="&amp;"31/01/2019")</f>
        <v>0</v>
      </c>
      <c r="I74" s="52">
        <f>SUMIFS(Programme!$AD$3:$AD$451,Programme!$C$3:$C$451,$A74,Programme!$AE$3:$AE$451,"&gt;="&amp;"01/02/2019",Programme!$AE$3:$AE$451,"&lt;="&amp;"28/02/2019")</f>
        <v>0</v>
      </c>
      <c r="J74" s="52">
        <f>SUMIFS(Programme!$AD$3:$AD$451,Programme!$C$3:$C$451,$A74,Programme!$AE$3:$AE$451,"&gt;="&amp;"01/03/2019",Programme!$AE$3:$AE$451,"&lt;="&amp;"31/03/2019")</f>
        <v>0</v>
      </c>
      <c r="K74" s="52">
        <f>SUMIFS(Programme!$AD$3:$AD$451,Programme!$C$3:$C$451,$A74,Programme!$AE$3:$AE$451,"&gt;="&amp;"01/04/2019",Programme!$AE$3:$AE$451,"&lt;="&amp;"30/04/2019")</f>
        <v>0</v>
      </c>
      <c r="L74" s="52">
        <f>SUMIFS(Programme!$AD$3:$AD$451,Programme!$C$3:$C$451,$A74,Programme!$AE$3:$AE$451,"&gt;="&amp;"01/05/2019",Programme!$AE$3:$AE$451,"&lt;="&amp;"31/05/2019")</f>
        <v>0</v>
      </c>
      <c r="M74" s="52">
        <f>SUMIFS(Programme!$AD$3:$AD$451,Programme!$C$3:$C$451,$A74,Programme!$AE$3:$AE$451,"&gt;="&amp;"01/06/2019",Programme!$AE$3:$AE$451,"&lt;="&amp;"30/06/2019")</f>
        <v>0</v>
      </c>
      <c r="N74" s="52">
        <f t="shared" si="12"/>
        <v>0.76999999999999957</v>
      </c>
      <c r="O74" s="231">
        <f t="shared" si="13"/>
        <v>6.6459520110478093E-2</v>
      </c>
    </row>
    <row r="75" spans="1:16" x14ac:dyDescent="0.2">
      <c r="A75" s="137" t="str">
        <f>List!A13</f>
        <v>DG Dutton Park - ARTC Int</v>
      </c>
      <c r="B75" s="52">
        <f>SUMIFS(Programme!$AD$3:$AD$451,Programme!$C$3:$C$451,$A75,Programme!$AE$3:$AE$451,"&gt;="&amp;"01/07/2018",Programme!$AE$3:$AE$451,"&lt;="&amp;"31/07/2018")</f>
        <v>0</v>
      </c>
      <c r="C75" s="52">
        <f>SUMIFS(Programme!$AD$3:$AD$451,Programme!$C$3:$C$451,$A75,Programme!$AE$3:$AE$451,"&gt;="&amp;"01/08/2018",Programme!$AE$3:$AE$451,"&lt;="&amp;"31/08/2018")</f>
        <v>0</v>
      </c>
      <c r="D75" s="52">
        <f>SUMIFS(Programme!$AD$3:$AD$451,Programme!$C$3:$C$451,$A75,Programme!$AE$3:$AE$451,"&gt;="&amp;"01/09/2018",Programme!$AE$3:$AE$451,"&lt;="&amp;"30/09/2018")</f>
        <v>0</v>
      </c>
      <c r="E75" s="52">
        <f>SUMIFS(Programme!$AD$3:$AD$451,Programme!$C$3:$C$451,$A75,Programme!$AE$3:$AE$451,"&gt;="&amp;"01/10/2018",Programme!$AE$3:$AE$451,"&lt;="&amp;"31/10/2018")</f>
        <v>0</v>
      </c>
      <c r="F75" s="52">
        <f>SUMIFS(Programme!$AD$3:$AD$451,Programme!$C$3:$C$451,$A75,Programme!$AE$3:$AE$451,"&gt;="&amp;"01/11/2018",Programme!$AE$3:$AE$451,"&lt;="&amp;"30/11/2018")</f>
        <v>0</v>
      </c>
      <c r="G75" s="52">
        <f>SUMIFS(Programme!$AD$3:$AD$451,Programme!$C$3:$C$451,$A75,Programme!$AE$3:$AE$451,"&gt;="&amp;"01/12/2018",Programme!$AE$3:$AE$451,"&lt;="&amp;"31/12/2018")</f>
        <v>0</v>
      </c>
      <c r="H75" s="52">
        <f>SUMIFS(Programme!$AD$3:$AD$451,Programme!$C$3:$C$451,$A75,Programme!$AE$3:$AE$451,"&gt;="&amp;"01/01/2019",Programme!$AE$3:$AE$451,"&lt;="&amp;"31/01/2019")</f>
        <v>0</v>
      </c>
      <c r="I75" s="52">
        <f>SUMIFS(Programme!$AD$3:$AD$451,Programme!$C$3:$C$451,$A75,Programme!$AE$3:$AE$451,"&gt;="&amp;"01/02/2019",Programme!$AE$3:$AE$451,"&lt;="&amp;"28/02/2019")</f>
        <v>0</v>
      </c>
      <c r="J75" s="52">
        <f>SUMIFS(Programme!$AD$3:$AD$451,Programme!$C$3:$C$451,$A75,Programme!$AE$3:$AE$451,"&gt;="&amp;"01/03/2019",Programme!$AE$3:$AE$451,"&lt;="&amp;"31/03/2019")</f>
        <v>0</v>
      </c>
      <c r="K75" s="52">
        <f>SUMIFS(Programme!$AD$3:$AD$451,Programme!$C$3:$C$451,$A75,Programme!$AE$3:$AE$451,"&gt;="&amp;"01/04/2019",Programme!$AE$3:$AE$451,"&lt;="&amp;"30/04/2019")</f>
        <v>0</v>
      </c>
      <c r="L75" s="52">
        <f>SUMIFS(Programme!$AD$3:$AD$451,Programme!$C$3:$C$451,$A75,Programme!$AE$3:$AE$451,"&gt;="&amp;"01/05/2019",Programme!$AE$3:$AE$451,"&lt;="&amp;"31/05/2019")</f>
        <v>0</v>
      </c>
      <c r="M75" s="52">
        <f>SUMIFS(Programme!$AD$3:$AD$451,Programme!$C$3:$C$451,$A75,Programme!$AE$3:$AE$451,"&gt;="&amp;"01/06/2019",Programme!$AE$3:$AE$451,"&lt;="&amp;"30/06/2019")</f>
        <v>0</v>
      </c>
      <c r="N75" s="52">
        <f t="shared" si="12"/>
        <v>0</v>
      </c>
      <c r="O75" s="231">
        <f t="shared" si="13"/>
        <v>0</v>
      </c>
    </row>
    <row r="76" spans="1:16" x14ac:dyDescent="0.2">
      <c r="A76" s="137" t="str">
        <f>List!A14</f>
        <v>Tennyson Line</v>
      </c>
      <c r="B76" s="52">
        <f>SUMIFS(Programme!$AD$3:$AD$451,Programme!$C$3:$C$451,$A76,Programme!$AE$3:$AE$451,"&gt;="&amp;"01/07/2018",Programme!$AE$3:$AE$451,"&lt;="&amp;"31/07/2018")</f>
        <v>0</v>
      </c>
      <c r="C76" s="52">
        <f>SUMIFS(Programme!$AD$3:$AD$451,Programme!$C$3:$C$451,$A76,Programme!$AE$3:$AE$451,"&gt;="&amp;"01/08/2018",Programme!$AE$3:$AE$451,"&lt;="&amp;"31/08/2018")</f>
        <v>0</v>
      </c>
      <c r="D76" s="52">
        <f>SUMIFS(Programme!$AD$3:$AD$451,Programme!$C$3:$C$451,$A76,Programme!$AE$3:$AE$451,"&gt;="&amp;"01/09/2018",Programme!$AE$3:$AE$451,"&lt;="&amp;"30/09/2018")</f>
        <v>0</v>
      </c>
      <c r="E76" s="52">
        <f>SUMIFS(Programme!$AD$3:$AD$451,Programme!$C$3:$C$451,$A76,Programme!$AE$3:$AE$451,"&gt;="&amp;"01/10/2018",Programme!$AE$3:$AE$451,"&lt;="&amp;"31/10/2018")</f>
        <v>0</v>
      </c>
      <c r="F76" s="52">
        <f>SUMIFS(Programme!$AD$3:$AD$451,Programme!$C$3:$C$451,$A76,Programme!$AE$3:$AE$451,"&gt;="&amp;"01/11/2018",Programme!$AE$3:$AE$451,"&lt;="&amp;"30/11/2018")</f>
        <v>0</v>
      </c>
      <c r="G76" s="52">
        <f>SUMIFS(Programme!$AD$3:$AD$451,Programme!$C$3:$C$451,$A76,Programme!$AE$3:$AE$451,"&gt;="&amp;"01/12/2018",Programme!$AE$3:$AE$451,"&lt;="&amp;"31/12/2018")</f>
        <v>0</v>
      </c>
      <c r="H76" s="52">
        <f>SUMIFS(Programme!$AD$3:$AD$451,Programme!$C$3:$C$451,$A76,Programme!$AE$3:$AE$451,"&gt;="&amp;"01/01/2019",Programme!$AE$3:$AE$451,"&lt;="&amp;"31/01/2019")</f>
        <v>0</v>
      </c>
      <c r="I76" s="52">
        <f>SUMIFS(Programme!$AD$3:$AD$451,Programme!$C$3:$C$451,$A76,Programme!$AE$3:$AE$451,"&gt;="&amp;"01/02/2019",Programme!$AE$3:$AE$451,"&lt;="&amp;"28/02/2019")</f>
        <v>0</v>
      </c>
      <c r="J76" s="52">
        <f>SUMIFS(Programme!$AD$3:$AD$451,Programme!$C$3:$C$451,$A76,Programme!$AE$3:$AE$451,"&gt;="&amp;"01/03/2019",Programme!$AE$3:$AE$451,"&lt;="&amp;"31/03/2019")</f>
        <v>0</v>
      </c>
      <c r="K76" s="52">
        <f>SUMIFS(Programme!$AD$3:$AD$451,Programme!$C$3:$C$451,$A76,Programme!$AE$3:$AE$451,"&gt;="&amp;"01/04/2019",Programme!$AE$3:$AE$451,"&lt;="&amp;"30/04/2019")</f>
        <v>0</v>
      </c>
      <c r="L76" s="52">
        <f>SUMIFS(Programme!$AD$3:$AD$451,Programme!$C$3:$C$451,$A76,Programme!$AE$3:$AE$451,"&gt;="&amp;"01/05/2019",Programme!$AE$3:$AE$451,"&lt;="&amp;"31/05/2019")</f>
        <v>0</v>
      </c>
      <c r="M76" s="52">
        <f>SUMIFS(Programme!$AD$3:$AD$451,Programme!$C$3:$C$451,$A76,Programme!$AE$3:$AE$451,"&gt;="&amp;"01/06/2019",Programme!$AE$3:$AE$451,"&lt;="&amp;"30/06/2019")</f>
        <v>0</v>
      </c>
      <c r="N76" s="52">
        <f t="shared" si="12"/>
        <v>0</v>
      </c>
      <c r="O76" s="231">
        <f t="shared" si="13"/>
        <v>0</v>
      </c>
    </row>
    <row r="77" spans="1:16" x14ac:dyDescent="0.2">
      <c r="A77" s="137" t="str">
        <f>List!A15</f>
        <v>QR SPUR</v>
      </c>
      <c r="B77" s="52">
        <f>SUMIFS(Programme!$AD$3:$AD$451,Programme!$C$3:$C$451,$A77,Programme!$AE$3:$AE$451,"&gt;="&amp;"01/07/2018",Programme!$AE$3:$AE$451,"&lt;="&amp;"31/07/2018")</f>
        <v>0</v>
      </c>
      <c r="C77" s="52">
        <f>SUMIFS(Programme!$AD$3:$AD$451,Programme!$C$3:$C$451,$A77,Programme!$AE$3:$AE$451,"&gt;="&amp;"01/08/2018",Programme!$AE$3:$AE$451,"&lt;="&amp;"31/08/2018")</f>
        <v>0</v>
      </c>
      <c r="D77" s="52">
        <f>SUMIFS(Programme!$AD$3:$AD$451,Programme!$C$3:$C$451,$A77,Programme!$AE$3:$AE$451,"&gt;="&amp;"01/09/2018",Programme!$AE$3:$AE$451,"&lt;="&amp;"30/09/2018")</f>
        <v>0</v>
      </c>
      <c r="E77" s="52">
        <f>SUMIFS(Programme!$AD$3:$AD$451,Programme!$C$3:$C$451,$A77,Programme!$AE$3:$AE$451,"&gt;="&amp;"01/10/2018",Programme!$AE$3:$AE$451,"&lt;="&amp;"31/10/2018")</f>
        <v>0</v>
      </c>
      <c r="F77" s="52">
        <f>SUMIFS(Programme!$AD$3:$AD$451,Programme!$C$3:$C$451,$A77,Programme!$AE$3:$AE$451,"&gt;="&amp;"01/11/2018",Programme!$AE$3:$AE$451,"&lt;="&amp;"30/11/2018")</f>
        <v>0</v>
      </c>
      <c r="G77" s="52">
        <f>SUMIFS(Programme!$AD$3:$AD$451,Programme!$C$3:$C$451,$A77,Programme!$AE$3:$AE$451,"&gt;="&amp;"01/12/2018",Programme!$AE$3:$AE$451,"&lt;="&amp;"31/12/2018")</f>
        <v>0</v>
      </c>
      <c r="H77" s="52">
        <f>SUMIFS(Programme!$AD$3:$AD$451,Programme!$C$3:$C$451,$A77,Programme!$AE$3:$AE$451,"&gt;="&amp;"01/01/2019",Programme!$AE$3:$AE$451,"&lt;="&amp;"31/01/2019")</f>
        <v>0</v>
      </c>
      <c r="I77" s="52">
        <f>SUMIFS(Programme!$AD$3:$AD$451,Programme!$C$3:$C$451,$A77,Programme!$AE$3:$AE$451,"&gt;="&amp;"01/02/2019",Programme!$AE$3:$AE$451,"&lt;="&amp;"28/02/2019")</f>
        <v>0</v>
      </c>
      <c r="J77" s="52">
        <f>SUMIFS(Programme!$AD$3:$AD$451,Programme!$C$3:$C$451,$A77,Programme!$AE$3:$AE$451,"&gt;="&amp;"01/03/2019",Programme!$AE$3:$AE$451,"&lt;="&amp;"31/03/2019")</f>
        <v>0</v>
      </c>
      <c r="K77" s="52">
        <f>SUMIFS(Programme!$AD$3:$AD$451,Programme!$C$3:$C$451,$A77,Programme!$AE$3:$AE$451,"&gt;="&amp;"01/04/2019",Programme!$AE$3:$AE$451,"&lt;="&amp;"30/04/2019")</f>
        <v>0</v>
      </c>
      <c r="L77" s="52">
        <f>SUMIFS(Programme!$AD$3:$AD$451,Programme!$C$3:$C$451,$A77,Programme!$AE$3:$AE$451,"&gt;="&amp;"01/05/2019",Programme!$AE$3:$AE$451,"&lt;="&amp;"31/05/2019")</f>
        <v>0</v>
      </c>
      <c r="M77" s="52">
        <f>SUMIFS(Programme!$AD$3:$AD$451,Programme!$C$3:$C$451,$A77,Programme!$AE$3:$AE$451,"&gt;="&amp;"01/06/2019",Programme!$AE$3:$AE$451,"&lt;="&amp;"30/06/2019")</f>
        <v>0</v>
      </c>
      <c r="N77" s="52">
        <f t="shared" si="12"/>
        <v>0</v>
      </c>
      <c r="O77" s="231">
        <f t="shared" si="13"/>
        <v>0</v>
      </c>
    </row>
    <row r="78" spans="1:16" x14ac:dyDescent="0.2">
      <c r="A78" s="137" t="str">
        <f>List!A16</f>
        <v>DG Inner City</v>
      </c>
      <c r="B78" s="52">
        <f>SUMIFS(Programme!$AD$3:$AD$451,Programme!$C$3:$C$451,$A78,Programme!$AE$3:$AE$451,"&gt;="&amp;"01/07/2018",Programme!$AE$3:$AE$451,"&lt;="&amp;"31/07/2018")</f>
        <v>0</v>
      </c>
      <c r="C78" s="52">
        <f>SUMIFS(Programme!$AD$3:$AD$451,Programme!$C$3:$C$451,$A78,Programme!$AE$3:$AE$451,"&gt;="&amp;"01/08/2018",Programme!$AE$3:$AE$451,"&lt;="&amp;"31/08/2018")</f>
        <v>0</v>
      </c>
      <c r="D78" s="52">
        <f>SUMIFS(Programme!$AD$3:$AD$451,Programme!$C$3:$C$451,$A78,Programme!$AE$3:$AE$451,"&gt;="&amp;"01/09/2018",Programme!$AE$3:$AE$451,"&lt;="&amp;"30/09/2018")</f>
        <v>0</v>
      </c>
      <c r="E78" s="52">
        <f>SUMIFS(Programme!$AD$3:$AD$451,Programme!$C$3:$C$451,$A78,Programme!$AE$3:$AE$451,"&gt;="&amp;"01/10/2018",Programme!$AE$3:$AE$451,"&lt;="&amp;"31/10/2018")</f>
        <v>0</v>
      </c>
      <c r="F78" s="52">
        <f>SUMIFS(Programme!$AD$3:$AD$451,Programme!$C$3:$C$451,$A78,Programme!$AE$3:$AE$451,"&gt;="&amp;"01/11/2018",Programme!$AE$3:$AE$451,"&lt;="&amp;"30/11/2018")</f>
        <v>0</v>
      </c>
      <c r="G78" s="52">
        <f>SUMIFS(Programme!$AD$3:$AD$451,Programme!$C$3:$C$451,$A78,Programme!$AE$3:$AE$451,"&gt;="&amp;"01/12/2018",Programme!$AE$3:$AE$451,"&lt;="&amp;"31/12/2018")</f>
        <v>0</v>
      </c>
      <c r="H78" s="52">
        <f>SUMIFS(Programme!$AD$3:$AD$451,Programme!$C$3:$C$451,$A78,Programme!$AE$3:$AE$451,"&gt;="&amp;"01/01/2019",Programme!$AE$3:$AE$451,"&lt;="&amp;"31/01/2019")</f>
        <v>0</v>
      </c>
      <c r="I78" s="52">
        <f>SUMIFS(Programme!$AD$3:$AD$451,Programme!$C$3:$C$451,$A78,Programme!$AE$3:$AE$451,"&gt;="&amp;"01/02/2019",Programme!$AE$3:$AE$451,"&lt;="&amp;"28/02/2019")</f>
        <v>0</v>
      </c>
      <c r="J78" s="52">
        <f>SUMIFS(Programme!$AD$3:$AD$451,Programme!$C$3:$C$451,$A78,Programme!$AE$3:$AE$451,"&gt;="&amp;"01/03/2019",Programme!$AE$3:$AE$451,"&lt;="&amp;"31/03/2019")</f>
        <v>0</v>
      </c>
      <c r="K78" s="52">
        <f>SUMIFS(Programme!$AD$3:$AD$451,Programme!$C$3:$C$451,$A78,Programme!$AE$3:$AE$451,"&gt;="&amp;"01/04/2019",Programme!$AE$3:$AE$451,"&lt;="&amp;"30/04/2019")</f>
        <v>0</v>
      </c>
      <c r="L78" s="52">
        <f>SUMIFS(Programme!$AD$3:$AD$451,Programme!$C$3:$C$451,$A78,Programme!$AE$3:$AE$451,"&gt;="&amp;"01/05/2019",Programme!$AE$3:$AE$451,"&lt;="&amp;"31/05/2019")</f>
        <v>0</v>
      </c>
      <c r="M78" s="52">
        <f>SUMIFS(Programme!$AD$3:$AD$451,Programme!$C$3:$C$451,$A78,Programme!$AE$3:$AE$451,"&gt;="&amp;"01/06/2019",Programme!$AE$3:$AE$451,"&lt;="&amp;"30/06/2019")</f>
        <v>0</v>
      </c>
      <c r="N78" s="52">
        <f t="shared" si="12"/>
        <v>0</v>
      </c>
      <c r="O78" s="231">
        <f t="shared" si="13"/>
        <v>0</v>
      </c>
    </row>
    <row r="79" spans="1:16" x14ac:dyDescent="0.2">
      <c r="A79" s="204" t="s">
        <v>511</v>
      </c>
      <c r="B79">
        <f>SUM(B64:B78)</f>
        <v>1.3600000000000003</v>
      </c>
      <c r="C79" s="52">
        <f t="shared" ref="C79:N79" si="14">SUM(C64:C78)</f>
        <v>1.7800000000000011</v>
      </c>
      <c r="D79" s="52">
        <f t="shared" si="14"/>
        <v>0.36300000000000177</v>
      </c>
      <c r="E79" s="52">
        <f t="shared" si="14"/>
        <v>0.42499999999999982</v>
      </c>
      <c r="F79" s="52">
        <f t="shared" si="14"/>
        <v>0.84999999999999898</v>
      </c>
      <c r="G79" s="52">
        <f t="shared" si="14"/>
        <v>0.26799999999999891</v>
      </c>
      <c r="H79" s="52">
        <f t="shared" si="14"/>
        <v>0.90000000000000036</v>
      </c>
      <c r="I79" s="52">
        <f t="shared" si="14"/>
        <v>1.2600000000000007</v>
      </c>
      <c r="J79" s="52">
        <f t="shared" si="14"/>
        <v>1.4500000000000028</v>
      </c>
      <c r="K79" s="52">
        <f t="shared" si="14"/>
        <v>1.1199999999999992</v>
      </c>
      <c r="L79" s="52">
        <f t="shared" si="14"/>
        <v>0.24000000000000021</v>
      </c>
      <c r="M79" s="52">
        <f t="shared" si="14"/>
        <v>1.5700000000000021</v>
      </c>
      <c r="N79" s="52">
        <f t="shared" si="14"/>
        <v>11.586000000000006</v>
      </c>
      <c r="O79" s="231"/>
      <c r="P79">
        <f>N79/N60</f>
        <v>1.125947521865889</v>
      </c>
    </row>
    <row r="80" spans="1:16" s="52" customFormat="1" x14ac:dyDescent="0.2"/>
    <row r="81" spans="1:13" ht="13.5" thickBot="1" x14ac:dyDescent="0.25">
      <c r="A81" s="496" t="s">
        <v>514</v>
      </c>
      <c r="B81" s="496"/>
      <c r="C81" s="496"/>
      <c r="D81" s="496"/>
      <c r="E81" s="496"/>
      <c r="F81" s="496"/>
      <c r="G81" s="496"/>
      <c r="H81" s="496"/>
      <c r="I81" s="496"/>
      <c r="J81" s="496"/>
      <c r="K81" s="496"/>
      <c r="L81" s="496"/>
      <c r="M81" s="496"/>
    </row>
    <row r="82" spans="1:13" ht="13.5" thickBot="1" x14ac:dyDescent="0.25">
      <c r="A82" s="224" t="s">
        <v>163</v>
      </c>
      <c r="B82" s="223" t="s">
        <v>496</v>
      </c>
      <c r="C82" s="223" t="s">
        <v>497</v>
      </c>
      <c r="D82" s="223" t="s">
        <v>498</v>
      </c>
      <c r="E82" s="223" t="s">
        <v>499</v>
      </c>
      <c r="F82" s="223" t="s">
        <v>500</v>
      </c>
      <c r="G82" s="223" t="s">
        <v>501</v>
      </c>
      <c r="H82" s="223" t="s">
        <v>502</v>
      </c>
      <c r="I82" s="223" t="s">
        <v>503</v>
      </c>
      <c r="J82" s="223" t="s">
        <v>504</v>
      </c>
      <c r="K82" s="223" t="s">
        <v>505</v>
      </c>
      <c r="L82" s="223" t="s">
        <v>506</v>
      </c>
      <c r="M82" s="223" t="s">
        <v>495</v>
      </c>
    </row>
    <row r="83" spans="1:13" x14ac:dyDescent="0.2">
      <c r="A83" s="137" t="str">
        <f>List!A2</f>
        <v>Main Line</v>
      </c>
      <c r="B83" s="52">
        <f>SUMIFS(Programme!$AD$3:$AD$451,Programme!$C$3:$C$451,$A83,Programme!$AE$3:$AE$451,"&gt;="&amp;"01/07/2018",Programme!$AE$3:$AE$451,"&lt;="&amp;"31/07/2018")</f>
        <v>0.59999999999999964</v>
      </c>
      <c r="C83" s="52">
        <f>SUMIFS(Programme!$AD$3:$AD$451,Programme!$C$3:$C$451,$A83,Programme!$AE$3:$AE$451,"&gt;="&amp;"01/08/2018",Programme!$AE$3:$AE$451,"&lt;="&amp;"31/08/2018")</f>
        <v>0.92999999999999972</v>
      </c>
      <c r="D83" s="52">
        <f>SUMIFS(Programme!$AD$3:$AD$451,Programme!$C$3:$C$451,$A83,Programme!$AE$3:$AE$451,"&gt;="&amp;"01/09/2018",Programme!$AE$3:$AE$451,"&lt;="&amp;"30/09/2018")</f>
        <v>0</v>
      </c>
      <c r="E83" s="52">
        <f>SUMIFS(Programme!$AD$3:$AD$451,Programme!$C$3:$C$451,$A83,Programme!$AE$3:$AE$451,"&gt;="&amp;"01/10/2018",Programme!$AE$3:$AE$451,"&lt;="&amp;"31/10/2018")</f>
        <v>0</v>
      </c>
      <c r="F83" s="52">
        <f>SUMIFS(Programme!$AD$3:$AD$451,Programme!$C$3:$C$451,$A83,Programme!$AE$3:$AE$451,"&gt;="&amp;"01/11/2018",Programme!$AE$3:$AE$451,"&lt;="&amp;"30/11/2018")</f>
        <v>0.30000000000000004</v>
      </c>
      <c r="G83" s="52">
        <f>SUMIFS(Programme!$AD$3:$AD$451,Programme!$C$3:$C$451,$A83,Programme!$AE$3:$AE$451,"&gt;="&amp;"01/12/2018",Programme!$AE$3:$AE$451,"&lt;="&amp;"31/12/2018")</f>
        <v>0</v>
      </c>
      <c r="H83" s="52">
        <f>SUMIFS(Programme!$AD$3:$AD$451,Programme!$C$3:$C$451,$A83,Programme!$AE$3:$AE$451,"&gt;="&amp;"01/01/2019",Programme!$AE$3:$AE$451,"&lt;="&amp;"31/01/2019")</f>
        <v>0</v>
      </c>
      <c r="I83" s="52">
        <f>SUMIFS(Programme!$AD$3:$AD$451,Programme!$C$3:$C$451,$A83,Programme!$AE$3:$AE$451,"&gt;="&amp;"01/02/2019",Programme!$AE$3:$AE$451,"&lt;="&amp;"28/02/2019")</f>
        <v>0</v>
      </c>
      <c r="J83" s="52">
        <f>SUMIFS(Programme!$AD$3:$AD$451,Programme!$C$3:$C$451,$A83,Programme!$AE$3:$AE$451,"&gt;="&amp;"01/03/2019",Programme!$AE$3:$AE$451,"&lt;="&amp;"31/03/2019")</f>
        <v>0.92000000000000171</v>
      </c>
      <c r="K83" s="52">
        <f>SUMIFS(Programme!$AD$3:$AD$451,Programme!$C$3:$C$451,$A83,Programme!$AE$3:$AE$451,"&gt;="&amp;"01/04/2019",Programme!$AE$3:$AE$451,"&lt;="&amp;"30/04/2019")</f>
        <v>0</v>
      </c>
      <c r="L83" s="52">
        <f>SUMIFS(Programme!$AD$3:$AD$451,Programme!$C$3:$C$451,$A83,Programme!$AE$3:$AE$451,"&gt;="&amp;"01/05/2019",Programme!$AE$3:$AE$451,"&lt;="&amp;"31/05/2019")</f>
        <v>0.24000000000000021</v>
      </c>
      <c r="M83" s="52">
        <f>SUMIFS(Programme!$AD$3:$AD$451,Programme!$C$3:$C$451,$A83,Programme!$AE$3:$AE$451,"&gt;="&amp;"01/06/2019",Programme!$AE$3:$AE$451,"&lt;="&amp;"30/06/2019")</f>
        <v>0</v>
      </c>
    </row>
    <row r="84" spans="1:13" x14ac:dyDescent="0.2">
      <c r="A84" s="137" t="str">
        <f>List!A3</f>
        <v>North Coast Line</v>
      </c>
      <c r="B84" s="52">
        <f>SUMIFS(Programme!$AD$3:$AD$451,Programme!$C$3:$C$451,$A84,Programme!$AE$3:$AE$451,"&gt;="&amp;"01/07/2018",Programme!$AE$3:$AE$451,"&lt;="&amp;"31/07/2018")</f>
        <v>0</v>
      </c>
      <c r="C84" s="52">
        <f>SUMIFS(Programme!$AD$3:$AD$451,Programme!$C$3:$C$451,$A84,Programme!$AE$3:$AE$451,"&gt;="&amp;"01/08/2018",Programme!$AE$3:$AE$451,"&lt;="&amp;"31/08/2018")</f>
        <v>0.85000000000000142</v>
      </c>
      <c r="D84" s="52">
        <f>SUMIFS(Programme!$AD$3:$AD$451,Programme!$C$3:$C$451,$A84,Programme!$AE$3:$AE$451,"&gt;="&amp;"01/09/2018",Programme!$AE$3:$AE$451,"&lt;="&amp;"30/09/2018")</f>
        <v>0.35000000000000009</v>
      </c>
      <c r="E84" s="52">
        <f>SUMIFS(Programme!$AD$3:$AD$451,Programme!$C$3:$C$451,$A84,Programme!$AE$3:$AE$451,"&gt;="&amp;"01/10/2018",Programme!$AE$3:$AE$451,"&lt;="&amp;"31/10/2018")</f>
        <v>0</v>
      </c>
      <c r="F84" s="52">
        <f>SUMIFS(Programme!$AD$3:$AD$451,Programme!$C$3:$C$451,$A84,Programme!$AE$3:$AE$451,"&gt;="&amp;"01/11/2018",Programme!$AE$3:$AE$451,"&lt;="&amp;"30/11/2018")</f>
        <v>0</v>
      </c>
      <c r="G84" s="52">
        <f>SUMIFS(Programme!$AD$3:$AD$451,Programme!$C$3:$C$451,$A84,Programme!$AE$3:$AE$451,"&gt;="&amp;"01/12/2018",Programme!$AE$3:$AE$451,"&lt;="&amp;"31/12/2018")</f>
        <v>0</v>
      </c>
      <c r="H84" s="52">
        <f>SUMIFS(Programme!$AD$3:$AD$451,Programme!$C$3:$C$451,$A84,Programme!$AE$3:$AE$451,"&gt;="&amp;"01/01/2019",Programme!$AE$3:$AE$451,"&lt;="&amp;"31/01/2019")</f>
        <v>0</v>
      </c>
      <c r="I84" s="52">
        <f>SUMIFS(Programme!$AD$3:$AD$451,Programme!$C$3:$C$451,$A84,Programme!$AE$3:$AE$451,"&gt;="&amp;"01/02/2019",Programme!$AE$3:$AE$451,"&lt;="&amp;"28/02/2019")</f>
        <v>0.66000000000000014</v>
      </c>
      <c r="J84" s="52">
        <f>SUMIFS(Programme!$AD$3:$AD$451,Programme!$C$3:$C$451,$A84,Programme!$AE$3:$AE$451,"&gt;="&amp;"01/03/2019",Programme!$AE$3:$AE$451,"&lt;="&amp;"31/03/2019")</f>
        <v>0</v>
      </c>
      <c r="K84" s="52">
        <f>SUMIFS(Programme!$AD$3:$AD$451,Programme!$C$3:$C$451,$A84,Programme!$AE$3:$AE$451,"&gt;="&amp;"01/04/2019",Programme!$AE$3:$AE$451,"&lt;="&amp;"30/04/2019")</f>
        <v>0.67999999999999972</v>
      </c>
      <c r="L84" s="52">
        <f>SUMIFS(Programme!$AD$3:$AD$451,Programme!$C$3:$C$451,$A84,Programme!$AE$3:$AE$451,"&gt;="&amp;"01/05/2019",Programme!$AE$3:$AE$451,"&lt;="&amp;"31/05/2019")</f>
        <v>0</v>
      </c>
      <c r="M84" s="52">
        <f>SUMIFS(Programme!$AD$3:$AD$451,Programme!$C$3:$C$451,$A84,Programme!$AE$3:$AE$451,"&gt;="&amp;"01/06/2019",Programme!$AE$3:$AE$451,"&lt;="&amp;"30/06/2019")</f>
        <v>0.58999999999999986</v>
      </c>
    </row>
    <row r="85" spans="1:13" x14ac:dyDescent="0.2">
      <c r="A85" s="137" t="str">
        <f>List!A4</f>
        <v>Ferny Grove Line</v>
      </c>
      <c r="B85" s="52">
        <f>SUMIFS(Programme!$AD$3:$AD$451,Programme!$C$3:$C$451,$A85,Programme!$AE$3:$AE$451,"&gt;="&amp;"01/07/2018",Programme!$AE$3:$AE$451,"&lt;="&amp;"31/07/2018")</f>
        <v>0</v>
      </c>
      <c r="C85" s="52">
        <f>SUMIFS(Programme!$AD$3:$AD$451,Programme!$C$3:$C$451,$A85,Programme!$AE$3:$AE$451,"&gt;="&amp;"01/08/2018",Programme!$AE$3:$AE$451,"&lt;="&amp;"31/08/2018")</f>
        <v>0</v>
      </c>
      <c r="D85" s="52">
        <f>SUMIFS(Programme!$AD$3:$AD$451,Programme!$C$3:$C$451,$A85,Programme!$AE$3:$AE$451,"&gt;="&amp;"01/09/2018",Programme!$AE$3:$AE$451,"&lt;="&amp;"30/09/2018")</f>
        <v>0</v>
      </c>
      <c r="E85" s="52">
        <f>SUMIFS(Programme!$AD$3:$AD$451,Programme!$C$3:$C$451,$A85,Programme!$AE$3:$AE$451,"&gt;="&amp;"01/10/2018",Programme!$AE$3:$AE$451,"&lt;="&amp;"31/10/2018")</f>
        <v>0.42499999999999982</v>
      </c>
      <c r="F85" s="52">
        <f>SUMIFS(Programme!$AD$3:$AD$451,Programme!$C$3:$C$451,$A85,Programme!$AE$3:$AE$451,"&gt;="&amp;"01/11/2018",Programme!$AE$3:$AE$451,"&lt;="&amp;"30/11/2018")</f>
        <v>0</v>
      </c>
      <c r="G85" s="52">
        <f>SUMIFS(Programme!$AD$3:$AD$451,Programme!$C$3:$C$451,$A85,Programme!$AE$3:$AE$451,"&gt;="&amp;"01/12/2018",Programme!$AE$3:$AE$451,"&lt;="&amp;"31/12/2018")</f>
        <v>0</v>
      </c>
      <c r="H85" s="52">
        <f>SUMIFS(Programme!$AD$3:$AD$451,Programme!$C$3:$C$451,$A85,Programme!$AE$3:$AE$451,"&gt;="&amp;"01/01/2019",Programme!$AE$3:$AE$451,"&lt;="&amp;"31/01/2019")</f>
        <v>0</v>
      </c>
      <c r="I85" s="52">
        <f>SUMIFS(Programme!$AD$3:$AD$451,Programme!$C$3:$C$451,$A85,Programme!$AE$3:$AE$451,"&gt;="&amp;"01/02/2019",Programme!$AE$3:$AE$451,"&lt;="&amp;"28/02/2019")</f>
        <v>0</v>
      </c>
      <c r="J85" s="52">
        <f>SUMIFS(Programme!$AD$3:$AD$451,Programme!$C$3:$C$451,$A85,Programme!$AE$3:$AE$451,"&gt;="&amp;"01/03/2019",Programme!$AE$3:$AE$451,"&lt;="&amp;"31/03/2019")</f>
        <v>0</v>
      </c>
      <c r="K85" s="52">
        <f>SUMIFS(Programme!$AD$3:$AD$451,Programme!$C$3:$C$451,$A85,Programme!$AE$3:$AE$451,"&gt;="&amp;"01/04/2019",Programme!$AE$3:$AE$451,"&lt;="&amp;"30/04/2019")</f>
        <v>0.4399999999999995</v>
      </c>
      <c r="L85" s="52">
        <f>SUMIFS(Programme!$AD$3:$AD$451,Programme!$C$3:$C$451,$A85,Programme!$AE$3:$AE$451,"&gt;="&amp;"01/05/2019",Programme!$AE$3:$AE$451,"&lt;="&amp;"31/05/2019")</f>
        <v>0</v>
      </c>
      <c r="M85" s="52">
        <f>SUMIFS(Programme!$AD$3:$AD$451,Programme!$C$3:$C$451,$A85,Programme!$AE$3:$AE$451,"&gt;="&amp;"01/06/2019",Programme!$AE$3:$AE$451,"&lt;="&amp;"30/06/2019")</f>
        <v>0</v>
      </c>
    </row>
    <row r="86" spans="1:13" x14ac:dyDescent="0.2">
      <c r="A86" s="137" t="str">
        <f>List!A5</f>
        <v>Inner City Line (via Central)</v>
      </c>
      <c r="B86" s="52">
        <f>SUMIFS(Programme!$AD$3:$AD$451,Programme!$C$3:$C$451,$A86,Programme!$AE$3:$AE$451,"&gt;="&amp;"01/07/2018",Programme!$AE$3:$AE$451,"&lt;="&amp;"31/07/2018")</f>
        <v>0</v>
      </c>
      <c r="C86" s="52">
        <f>SUMIFS(Programme!$AD$3:$AD$451,Programme!$C$3:$C$451,$A86,Programme!$AE$3:$AE$451,"&gt;="&amp;"01/08/2018",Programme!$AE$3:$AE$451,"&lt;="&amp;"31/08/2018")</f>
        <v>0</v>
      </c>
      <c r="D86" s="52">
        <f>SUMIFS(Programme!$AD$3:$AD$451,Programme!$C$3:$C$451,$A86,Programme!$AE$3:$AE$451,"&gt;="&amp;"01/09/2018",Programme!$AE$3:$AE$451,"&lt;="&amp;"30/09/2018")</f>
        <v>0</v>
      </c>
      <c r="E86" s="52">
        <f>SUMIFS(Programme!$AD$3:$AD$451,Programme!$C$3:$C$451,$A86,Programme!$AE$3:$AE$451,"&gt;="&amp;"01/10/2018",Programme!$AE$3:$AE$451,"&lt;="&amp;"31/10/2018")</f>
        <v>0</v>
      </c>
      <c r="F86" s="52">
        <f>SUMIFS(Programme!$AD$3:$AD$451,Programme!$C$3:$C$451,$A86,Programme!$AE$3:$AE$451,"&gt;="&amp;"01/11/2018",Programme!$AE$3:$AE$451,"&lt;="&amp;"30/11/2018")</f>
        <v>0</v>
      </c>
      <c r="G86" s="52">
        <f>SUMIFS(Programme!$AD$3:$AD$451,Programme!$C$3:$C$451,$A86,Programme!$AE$3:$AE$451,"&gt;="&amp;"01/12/2018",Programme!$AE$3:$AE$451,"&lt;="&amp;"31/12/2018")</f>
        <v>0</v>
      </c>
      <c r="H86" s="52">
        <f>SUMIFS(Programme!$AD$3:$AD$451,Programme!$C$3:$C$451,$A86,Programme!$AE$3:$AE$451,"&gt;="&amp;"01/01/2019",Programme!$AE$3:$AE$451,"&lt;="&amp;"31/01/2019")</f>
        <v>0</v>
      </c>
      <c r="I86" s="52">
        <f>SUMIFS(Programme!$AD$3:$AD$451,Programme!$C$3:$C$451,$A86,Programme!$AE$3:$AE$451,"&gt;="&amp;"01/02/2019",Programme!$AE$3:$AE$451,"&lt;="&amp;"28/02/2019")</f>
        <v>0</v>
      </c>
      <c r="J86" s="52">
        <f>SUMIFS(Programme!$AD$3:$AD$451,Programme!$C$3:$C$451,$A86,Programme!$AE$3:$AE$451,"&gt;="&amp;"01/03/2019",Programme!$AE$3:$AE$451,"&lt;="&amp;"31/03/2019")</f>
        <v>0</v>
      </c>
      <c r="K86" s="52">
        <f>SUMIFS(Programme!$AD$3:$AD$451,Programme!$C$3:$C$451,$A86,Programme!$AE$3:$AE$451,"&gt;="&amp;"01/04/2019",Programme!$AE$3:$AE$451,"&lt;="&amp;"30/04/2019")</f>
        <v>0</v>
      </c>
      <c r="L86" s="52">
        <f>SUMIFS(Programme!$AD$3:$AD$451,Programme!$C$3:$C$451,$A86,Programme!$AE$3:$AE$451,"&gt;="&amp;"01/05/2019",Programme!$AE$3:$AE$451,"&lt;="&amp;"31/05/2019")</f>
        <v>0</v>
      </c>
      <c r="M86" s="52">
        <f>SUMIFS(Programme!$AD$3:$AD$451,Programme!$C$3:$C$451,$A86,Programme!$AE$3:$AE$451,"&gt;="&amp;"01/06/2019",Programme!$AE$3:$AE$451,"&lt;="&amp;"30/06/2019")</f>
        <v>0</v>
      </c>
    </row>
    <row r="87" spans="1:13" x14ac:dyDescent="0.2">
      <c r="A87" s="137" t="str">
        <f>List!A6</f>
        <v>Gold Coast / Beenleigh Line</v>
      </c>
      <c r="B87" s="52">
        <f>SUMIFS(Programme!$AD$3:$AD$451,Programme!$C$3:$C$451,$A87,Programme!$AE$3:$AE$451,"&gt;="&amp;"01/07/2018",Programme!$AE$3:$AE$451,"&lt;="&amp;"31/07/2018")</f>
        <v>0</v>
      </c>
      <c r="C87" s="52">
        <f>SUMIFS(Programme!$AD$3:$AD$451,Programme!$C$3:$C$451,$A87,Programme!$AE$3:$AE$451,"&gt;="&amp;"01/08/2018",Programme!$AE$3:$AE$451,"&lt;="&amp;"31/08/2018")</f>
        <v>0</v>
      </c>
      <c r="D87" s="52">
        <f>SUMIFS(Programme!$AD$3:$AD$451,Programme!$C$3:$C$451,$A87,Programme!$AE$3:$AE$451,"&gt;="&amp;"01/09/2018",Programme!$AE$3:$AE$451,"&lt;="&amp;"30/09/2018")</f>
        <v>0</v>
      </c>
      <c r="E87" s="52">
        <f>SUMIFS(Programme!$AD$3:$AD$451,Programme!$C$3:$C$451,$A87,Programme!$AE$3:$AE$451,"&gt;="&amp;"01/10/2018",Programme!$AE$3:$AE$451,"&lt;="&amp;"31/10/2018")</f>
        <v>0</v>
      </c>
      <c r="F87" s="52">
        <f>SUMIFS(Programme!$AD$3:$AD$451,Programme!$C$3:$C$451,$A87,Programme!$AE$3:$AE$451,"&gt;="&amp;"01/11/2018",Programme!$AE$3:$AE$451,"&lt;="&amp;"30/11/2018")</f>
        <v>0</v>
      </c>
      <c r="G87" s="52">
        <f>SUMIFS(Programme!$AD$3:$AD$451,Programme!$C$3:$C$451,$A87,Programme!$AE$3:$AE$451,"&gt;="&amp;"01/12/2018",Programme!$AE$3:$AE$451,"&lt;="&amp;"31/12/2018")</f>
        <v>0</v>
      </c>
      <c r="H87" s="52">
        <f>SUMIFS(Programme!$AD$3:$AD$451,Programme!$C$3:$C$451,$A87,Programme!$AE$3:$AE$451,"&gt;="&amp;"01/01/2019",Programme!$AE$3:$AE$451,"&lt;="&amp;"31/01/2019")</f>
        <v>0</v>
      </c>
      <c r="I87" s="52">
        <f>SUMIFS(Programme!$AD$3:$AD$451,Programme!$C$3:$C$451,$A87,Programme!$AE$3:$AE$451,"&gt;="&amp;"01/02/2019",Programme!$AE$3:$AE$451,"&lt;="&amp;"28/02/2019")</f>
        <v>0</v>
      </c>
      <c r="J87" s="52">
        <f>SUMIFS(Programme!$AD$3:$AD$451,Programme!$C$3:$C$451,$A87,Programme!$AE$3:$AE$451,"&gt;="&amp;"01/03/2019",Programme!$AE$3:$AE$451,"&lt;="&amp;"31/03/2019")</f>
        <v>0.53000000000000114</v>
      </c>
      <c r="K87" s="52">
        <f>SUMIFS(Programme!$AD$3:$AD$451,Programme!$C$3:$C$451,$A87,Programme!$AE$3:$AE$451,"&gt;="&amp;"01/04/2019",Programme!$AE$3:$AE$451,"&lt;="&amp;"30/04/2019")</f>
        <v>0</v>
      </c>
      <c r="L87" s="52">
        <f>SUMIFS(Programme!$AD$3:$AD$451,Programme!$C$3:$C$451,$A87,Programme!$AE$3:$AE$451,"&gt;="&amp;"01/05/2019",Programme!$AE$3:$AE$451,"&lt;="&amp;"31/05/2019")</f>
        <v>0</v>
      </c>
      <c r="M87" s="52">
        <f>SUMIFS(Programme!$AD$3:$AD$451,Programme!$C$3:$C$451,$A87,Programme!$AE$3:$AE$451,"&gt;="&amp;"01/06/2019",Programme!$AE$3:$AE$451,"&lt;="&amp;"30/06/2019")</f>
        <v>0.10000000000000142</v>
      </c>
    </row>
    <row r="88" spans="1:13" x14ac:dyDescent="0.2">
      <c r="A88" s="137" t="str">
        <f>List!A7</f>
        <v>Shorncliffe Line</v>
      </c>
      <c r="B88" s="52">
        <f>SUMIFS(Programme!$AD$3:$AD$451,Programme!$C$3:$C$451,$A88,Programme!$AE$3:$AE$451,"&gt;="&amp;"01/07/2018",Programme!$AE$3:$AE$451,"&lt;="&amp;"31/07/2018")</f>
        <v>0.76000000000000068</v>
      </c>
      <c r="C88" s="52">
        <f>SUMIFS(Programme!$AD$3:$AD$451,Programme!$C$3:$C$451,$A88,Programme!$AE$3:$AE$451,"&gt;="&amp;"01/08/2018",Programme!$AE$3:$AE$451,"&lt;="&amp;"31/08/2018")</f>
        <v>0</v>
      </c>
      <c r="D88" s="52">
        <f>SUMIFS(Programme!$AD$3:$AD$451,Programme!$C$3:$C$451,$A88,Programme!$AE$3:$AE$451,"&gt;="&amp;"01/09/2018",Programme!$AE$3:$AE$451,"&lt;="&amp;"30/09/2018")</f>
        <v>0</v>
      </c>
      <c r="E88" s="52">
        <f>SUMIFS(Programme!$AD$3:$AD$451,Programme!$C$3:$C$451,$A88,Programme!$AE$3:$AE$451,"&gt;="&amp;"01/10/2018",Programme!$AE$3:$AE$451,"&lt;="&amp;"31/10/2018")</f>
        <v>0</v>
      </c>
      <c r="F88" s="52">
        <f>SUMIFS(Programme!$AD$3:$AD$451,Programme!$C$3:$C$451,$A88,Programme!$AE$3:$AE$451,"&gt;="&amp;"01/11/2018",Programme!$AE$3:$AE$451,"&lt;="&amp;"30/11/2018")</f>
        <v>0</v>
      </c>
      <c r="G88" s="52">
        <f>SUMIFS(Programme!$AD$3:$AD$451,Programme!$C$3:$C$451,$A88,Programme!$AE$3:$AE$451,"&gt;="&amp;"01/12/2018",Programme!$AE$3:$AE$451,"&lt;="&amp;"31/12/2018")</f>
        <v>0</v>
      </c>
      <c r="H88" s="52">
        <f>SUMIFS(Programme!$AD$3:$AD$451,Programme!$C$3:$C$451,$A88,Programme!$AE$3:$AE$451,"&gt;="&amp;"01/01/2019",Programme!$AE$3:$AE$451,"&lt;="&amp;"31/01/2019")</f>
        <v>0</v>
      </c>
      <c r="I88" s="52">
        <f>SUMIFS(Programme!$AD$3:$AD$451,Programme!$C$3:$C$451,$A88,Programme!$AE$3:$AE$451,"&gt;="&amp;"01/02/2019",Programme!$AE$3:$AE$451,"&lt;="&amp;"28/02/2019")</f>
        <v>0</v>
      </c>
      <c r="J88" s="52">
        <f>SUMIFS(Programme!$AD$3:$AD$451,Programme!$C$3:$C$451,$A88,Programme!$AE$3:$AE$451,"&gt;="&amp;"01/03/2019",Programme!$AE$3:$AE$451,"&lt;="&amp;"31/03/2019")</f>
        <v>0</v>
      </c>
      <c r="K88" s="52">
        <f>SUMIFS(Programme!$AD$3:$AD$451,Programme!$C$3:$C$451,$A88,Programme!$AE$3:$AE$451,"&gt;="&amp;"01/04/2019",Programme!$AE$3:$AE$451,"&lt;="&amp;"30/04/2019")</f>
        <v>0</v>
      </c>
      <c r="L88" s="52">
        <f>SUMIFS(Programme!$AD$3:$AD$451,Programme!$C$3:$C$451,$A88,Programme!$AE$3:$AE$451,"&gt;="&amp;"01/05/2019",Programme!$AE$3:$AE$451,"&lt;="&amp;"31/05/2019")</f>
        <v>0</v>
      </c>
      <c r="M88" s="52">
        <f>SUMIFS(Programme!$AD$3:$AD$451,Programme!$C$3:$C$451,$A88,Programme!$AE$3:$AE$451,"&gt;="&amp;"01/06/2019",Programme!$AE$3:$AE$451,"&lt;="&amp;"30/06/2019")</f>
        <v>0</v>
      </c>
    </row>
    <row r="89" spans="1:13" x14ac:dyDescent="0.2">
      <c r="A89" s="137" t="str">
        <f>List!A8</f>
        <v>Springfield Line</v>
      </c>
      <c r="B89" s="52">
        <f>SUMIFS(Programme!$AD$3:$AD$451,Programme!$C$3:$C$451,$A89,Programme!$AE$3:$AE$451,"&gt;="&amp;"01/07/2018",Programme!$AE$3:$AE$451,"&lt;="&amp;"31/07/2018")</f>
        <v>0</v>
      </c>
      <c r="C89" s="52">
        <f>SUMIFS(Programme!$AD$3:$AD$451,Programme!$C$3:$C$451,$A89,Programme!$AE$3:$AE$451,"&gt;="&amp;"01/08/2018",Programme!$AE$3:$AE$451,"&lt;="&amp;"31/08/2018")</f>
        <v>0</v>
      </c>
      <c r="D89" s="52">
        <f>SUMIFS(Programme!$AD$3:$AD$451,Programme!$C$3:$C$451,$A89,Programme!$AE$3:$AE$451,"&gt;="&amp;"01/09/2018",Programme!$AE$3:$AE$451,"&lt;="&amp;"30/09/2018")</f>
        <v>0</v>
      </c>
      <c r="E89" s="52">
        <f>SUMIFS(Programme!$AD$3:$AD$451,Programme!$C$3:$C$451,$A89,Programme!$AE$3:$AE$451,"&gt;="&amp;"01/10/2018",Programme!$AE$3:$AE$451,"&lt;="&amp;"31/10/2018")</f>
        <v>0</v>
      </c>
      <c r="F89" s="52">
        <f>SUMIFS(Programme!$AD$3:$AD$451,Programme!$C$3:$C$451,$A89,Programme!$AE$3:$AE$451,"&gt;="&amp;"01/11/2018",Programme!$AE$3:$AE$451,"&lt;="&amp;"30/11/2018")</f>
        <v>0</v>
      </c>
      <c r="G89" s="52">
        <f>SUMIFS(Programme!$AD$3:$AD$451,Programme!$C$3:$C$451,$A89,Programme!$AE$3:$AE$451,"&gt;="&amp;"01/12/2018",Programme!$AE$3:$AE$451,"&lt;="&amp;"31/12/2018")</f>
        <v>0</v>
      </c>
      <c r="H89" s="52">
        <f>SUMIFS(Programme!$AD$3:$AD$451,Programme!$C$3:$C$451,$A89,Programme!$AE$3:$AE$451,"&gt;="&amp;"01/01/2019",Programme!$AE$3:$AE$451,"&lt;="&amp;"31/01/2019")</f>
        <v>0</v>
      </c>
      <c r="I89" s="52">
        <f>SUMIFS(Programme!$AD$3:$AD$451,Programme!$C$3:$C$451,$A89,Programme!$AE$3:$AE$451,"&gt;="&amp;"01/02/2019",Programme!$AE$3:$AE$451,"&lt;="&amp;"28/02/2019")</f>
        <v>0</v>
      </c>
      <c r="J89" s="52">
        <f>SUMIFS(Programme!$AD$3:$AD$451,Programme!$C$3:$C$451,$A89,Programme!$AE$3:$AE$451,"&gt;="&amp;"01/03/2019",Programme!$AE$3:$AE$451,"&lt;="&amp;"31/03/2019")</f>
        <v>0</v>
      </c>
      <c r="K89" s="52">
        <f>SUMIFS(Programme!$AD$3:$AD$451,Programme!$C$3:$C$451,$A89,Programme!$AE$3:$AE$451,"&gt;="&amp;"01/04/2019",Programme!$AE$3:$AE$451,"&lt;="&amp;"30/04/2019")</f>
        <v>0</v>
      </c>
      <c r="L89" s="52">
        <f>SUMIFS(Programme!$AD$3:$AD$451,Programme!$C$3:$C$451,$A89,Programme!$AE$3:$AE$451,"&gt;="&amp;"01/05/2019",Programme!$AE$3:$AE$451,"&lt;="&amp;"31/05/2019")</f>
        <v>0</v>
      </c>
      <c r="M89" s="52">
        <f>SUMIFS(Programme!$AD$3:$AD$451,Programme!$C$3:$C$451,$A89,Programme!$AE$3:$AE$451,"&gt;="&amp;"01/06/2019",Programme!$AE$3:$AE$451,"&lt;="&amp;"30/06/2019")</f>
        <v>0</v>
      </c>
    </row>
    <row r="90" spans="1:13" x14ac:dyDescent="0.2">
      <c r="A90" s="137" t="str">
        <f>List!A9</f>
        <v>Cleveland Line</v>
      </c>
      <c r="B90" s="52">
        <f>SUMIFS(Programme!$AD$3:$AD$451,Programme!$C$3:$C$451,$A90,Programme!$AE$3:$AE$451,"&gt;="&amp;"01/07/2018",Programme!$AE$3:$AE$451,"&lt;="&amp;"31/07/2018")</f>
        <v>0</v>
      </c>
      <c r="C90" s="52">
        <f>SUMIFS(Programme!$AD$3:$AD$451,Programme!$C$3:$C$451,$A90,Programme!$AE$3:$AE$451,"&gt;="&amp;"01/08/2018",Programme!$AE$3:$AE$451,"&lt;="&amp;"31/08/2018")</f>
        <v>0</v>
      </c>
      <c r="D90" s="52">
        <f>SUMIFS(Programme!$AD$3:$AD$451,Programme!$C$3:$C$451,$A90,Programme!$AE$3:$AE$451,"&gt;="&amp;"01/09/2018",Programme!$AE$3:$AE$451,"&lt;="&amp;"30/09/2018")</f>
        <v>1.3000000000001677E-2</v>
      </c>
      <c r="E90" s="52">
        <f>SUMIFS(Programme!$AD$3:$AD$451,Programme!$C$3:$C$451,$A90,Programme!$AE$3:$AE$451,"&gt;="&amp;"01/10/2018",Programme!$AE$3:$AE$451,"&lt;="&amp;"31/10/2018")</f>
        <v>0</v>
      </c>
      <c r="F90" s="52">
        <f>SUMIFS(Programme!$AD$3:$AD$451,Programme!$C$3:$C$451,$A90,Programme!$AE$3:$AE$451,"&gt;="&amp;"01/11/2018",Programme!$AE$3:$AE$451,"&lt;="&amp;"30/11/2018")</f>
        <v>2.9999999999999361E-2</v>
      </c>
      <c r="G90" s="52">
        <f>SUMIFS(Programme!$AD$3:$AD$451,Programme!$C$3:$C$451,$A90,Programme!$AE$3:$AE$451,"&gt;="&amp;"01/12/2018",Programme!$AE$3:$AE$451,"&lt;="&amp;"31/12/2018")</f>
        <v>1.7999999999998906E-2</v>
      </c>
      <c r="H90" s="52">
        <f>SUMIFS(Programme!$AD$3:$AD$451,Programme!$C$3:$C$451,$A90,Programme!$AE$3:$AE$451,"&gt;="&amp;"01/01/2019",Programme!$AE$3:$AE$451,"&lt;="&amp;"31/01/2019")</f>
        <v>0.90000000000000036</v>
      </c>
      <c r="I90" s="52">
        <f>SUMIFS(Programme!$AD$3:$AD$451,Programme!$C$3:$C$451,$A90,Programme!$AE$3:$AE$451,"&gt;="&amp;"01/02/2019",Programme!$AE$3:$AE$451,"&lt;="&amp;"28/02/2019")</f>
        <v>0.60000000000000053</v>
      </c>
      <c r="J90" s="52">
        <f>SUMIFS(Programme!$AD$3:$AD$451,Programme!$C$3:$C$451,$A90,Programme!$AE$3:$AE$451,"&gt;="&amp;"01/03/2019",Programme!$AE$3:$AE$451,"&lt;="&amp;"31/03/2019")</f>
        <v>0</v>
      </c>
      <c r="K90" s="52">
        <f>SUMIFS(Programme!$AD$3:$AD$451,Programme!$C$3:$C$451,$A90,Programme!$AE$3:$AE$451,"&gt;="&amp;"01/04/2019",Programme!$AE$3:$AE$451,"&lt;="&amp;"30/04/2019")</f>
        <v>0</v>
      </c>
      <c r="L90" s="52">
        <f>SUMIFS(Programme!$AD$3:$AD$451,Programme!$C$3:$C$451,$A90,Programme!$AE$3:$AE$451,"&gt;="&amp;"01/05/2019",Programme!$AE$3:$AE$451,"&lt;="&amp;"31/05/2019")</f>
        <v>0</v>
      </c>
      <c r="M90" s="52">
        <f>SUMIFS(Programme!$AD$3:$AD$451,Programme!$C$3:$C$451,$A90,Programme!$AE$3:$AE$451,"&gt;="&amp;"01/06/2019",Programme!$AE$3:$AE$451,"&lt;="&amp;"30/06/2019")</f>
        <v>0.88000000000000078</v>
      </c>
    </row>
    <row r="91" spans="1:13" x14ac:dyDescent="0.2">
      <c r="A91" s="137" t="str">
        <f>List!A10</f>
        <v>Redcliffe Line</v>
      </c>
      <c r="B91" s="52">
        <f>SUMIFS(Programme!$AD$3:$AD$451,Programme!$C$3:$C$451,$A91,Programme!$AE$3:$AE$451,"&gt;="&amp;"01/07/2018",Programme!$AE$3:$AE$451,"&lt;="&amp;"31/07/2018")</f>
        <v>0</v>
      </c>
      <c r="C91" s="52">
        <f>SUMIFS(Programme!$AD$3:$AD$451,Programme!$C$3:$C$451,$A91,Programme!$AE$3:$AE$451,"&gt;="&amp;"01/08/2018",Programme!$AE$3:$AE$451,"&lt;="&amp;"31/08/2018")</f>
        <v>0</v>
      </c>
      <c r="D91" s="52">
        <f>SUMIFS(Programme!$AD$3:$AD$451,Programme!$C$3:$C$451,$A91,Programme!$AE$3:$AE$451,"&gt;="&amp;"01/09/2018",Programme!$AE$3:$AE$451,"&lt;="&amp;"30/09/2018")</f>
        <v>0</v>
      </c>
      <c r="E91" s="52">
        <f>SUMIFS(Programme!$AD$3:$AD$451,Programme!$C$3:$C$451,$A91,Programme!$AE$3:$AE$451,"&gt;="&amp;"01/10/2018",Programme!$AE$3:$AE$451,"&lt;="&amp;"31/10/2018")</f>
        <v>0</v>
      </c>
      <c r="F91" s="52">
        <f>SUMIFS(Programme!$AD$3:$AD$451,Programme!$C$3:$C$451,$A91,Programme!$AE$3:$AE$451,"&gt;="&amp;"01/11/2018",Programme!$AE$3:$AE$451,"&lt;="&amp;"30/11/2018")</f>
        <v>0</v>
      </c>
      <c r="G91" s="52">
        <f>SUMIFS(Programme!$AD$3:$AD$451,Programme!$C$3:$C$451,$A91,Programme!$AE$3:$AE$451,"&gt;="&amp;"01/12/2018",Programme!$AE$3:$AE$451,"&lt;="&amp;"31/12/2018")</f>
        <v>0</v>
      </c>
      <c r="H91" s="52">
        <f>SUMIFS(Programme!$AD$3:$AD$451,Programme!$C$3:$C$451,$A91,Programme!$AE$3:$AE$451,"&gt;="&amp;"01/01/2019",Programme!$AE$3:$AE$451,"&lt;="&amp;"31/01/2019")</f>
        <v>0</v>
      </c>
      <c r="I91" s="52">
        <f>SUMIFS(Programme!$AD$3:$AD$451,Programme!$C$3:$C$451,$A91,Programme!$AE$3:$AE$451,"&gt;="&amp;"01/02/2019",Programme!$AE$3:$AE$451,"&lt;="&amp;"28/02/2019")</f>
        <v>0</v>
      </c>
      <c r="J91" s="52">
        <f>SUMIFS(Programme!$AD$3:$AD$451,Programme!$C$3:$C$451,$A91,Programme!$AE$3:$AE$451,"&gt;="&amp;"01/03/2019",Programme!$AE$3:$AE$451,"&lt;="&amp;"31/03/2019")</f>
        <v>0</v>
      </c>
      <c r="K91" s="52">
        <f>SUMIFS(Programme!$AD$3:$AD$451,Programme!$C$3:$C$451,$A91,Programme!$AE$3:$AE$451,"&gt;="&amp;"01/04/2019",Programme!$AE$3:$AE$451,"&lt;="&amp;"30/04/2019")</f>
        <v>0</v>
      </c>
      <c r="L91" s="52">
        <f>SUMIFS(Programme!$AD$3:$AD$451,Programme!$C$3:$C$451,$A91,Programme!$AE$3:$AE$451,"&gt;="&amp;"01/05/2019",Programme!$AE$3:$AE$451,"&lt;="&amp;"31/05/2019")</f>
        <v>0</v>
      </c>
      <c r="M91" s="52">
        <f>SUMIFS(Programme!$AD$3:$AD$451,Programme!$C$3:$C$451,$A91,Programme!$AE$3:$AE$451,"&gt;="&amp;"01/06/2019",Programme!$AE$3:$AE$451,"&lt;="&amp;"30/06/2019")</f>
        <v>0</v>
      </c>
    </row>
    <row r="92" spans="1:13" x14ac:dyDescent="0.2">
      <c r="A92" s="137" t="str">
        <f>List!A11</f>
        <v>Doomben Line</v>
      </c>
      <c r="B92" s="52">
        <f>SUMIFS(Programme!$AD$3:$AD$451,Programme!$C$3:$C$451,$A92,Programme!$AE$3:$AE$451,"&gt;="&amp;"01/07/2018",Programme!$AE$3:$AE$451,"&lt;="&amp;"31/07/2018")</f>
        <v>0</v>
      </c>
      <c r="C92" s="52">
        <f>SUMIFS(Programme!$AD$3:$AD$451,Programme!$C$3:$C$451,$A92,Programme!$AE$3:$AE$451,"&gt;="&amp;"01/08/2018",Programme!$AE$3:$AE$451,"&lt;="&amp;"31/08/2018")</f>
        <v>0</v>
      </c>
      <c r="D92" s="52">
        <f>SUMIFS(Programme!$AD$3:$AD$451,Programme!$C$3:$C$451,$A92,Programme!$AE$3:$AE$451,"&gt;="&amp;"01/09/2018",Programme!$AE$3:$AE$451,"&lt;="&amp;"30/09/2018")</f>
        <v>0</v>
      </c>
      <c r="E92" s="52">
        <f>SUMIFS(Programme!$AD$3:$AD$451,Programme!$C$3:$C$451,$A92,Programme!$AE$3:$AE$451,"&gt;="&amp;"01/10/2018",Programme!$AE$3:$AE$451,"&lt;="&amp;"31/10/2018")</f>
        <v>0</v>
      </c>
      <c r="F92" s="52">
        <f>SUMIFS(Programme!$AD$3:$AD$451,Programme!$C$3:$C$451,$A92,Programme!$AE$3:$AE$451,"&gt;="&amp;"01/11/2018",Programme!$AE$3:$AE$451,"&lt;="&amp;"30/11/2018")</f>
        <v>0</v>
      </c>
      <c r="G92" s="52">
        <f>SUMIFS(Programme!$AD$3:$AD$451,Programme!$C$3:$C$451,$A92,Programme!$AE$3:$AE$451,"&gt;="&amp;"01/12/2018",Programme!$AE$3:$AE$451,"&lt;="&amp;"31/12/2018")</f>
        <v>0</v>
      </c>
      <c r="H92" s="52">
        <f>SUMIFS(Programme!$AD$3:$AD$451,Programme!$C$3:$C$451,$A92,Programme!$AE$3:$AE$451,"&gt;="&amp;"01/01/2019",Programme!$AE$3:$AE$451,"&lt;="&amp;"31/01/2019")</f>
        <v>0</v>
      </c>
      <c r="I92" s="52">
        <f>SUMIFS(Programme!$AD$3:$AD$451,Programme!$C$3:$C$451,$A92,Programme!$AE$3:$AE$451,"&gt;="&amp;"01/02/2019",Programme!$AE$3:$AE$451,"&lt;="&amp;"28/02/2019")</f>
        <v>0</v>
      </c>
      <c r="J92" s="52">
        <f>SUMIFS(Programme!$AD$3:$AD$451,Programme!$C$3:$C$451,$A92,Programme!$AE$3:$AE$451,"&gt;="&amp;"01/03/2019",Programme!$AE$3:$AE$451,"&lt;="&amp;"31/03/2019")</f>
        <v>0</v>
      </c>
      <c r="K92" s="52">
        <f>SUMIFS(Programme!$AD$3:$AD$451,Programme!$C$3:$C$451,$A92,Programme!$AE$3:$AE$451,"&gt;="&amp;"01/04/2019",Programme!$AE$3:$AE$451,"&lt;="&amp;"30/04/2019")</f>
        <v>0</v>
      </c>
      <c r="L92" s="52">
        <f>SUMIFS(Programme!$AD$3:$AD$451,Programme!$C$3:$C$451,$A92,Programme!$AE$3:$AE$451,"&gt;="&amp;"01/05/2019",Programme!$AE$3:$AE$451,"&lt;="&amp;"31/05/2019")</f>
        <v>0</v>
      </c>
      <c r="M92" s="52">
        <f>SUMIFS(Programme!$AD$3:$AD$451,Programme!$C$3:$C$451,$A92,Programme!$AE$3:$AE$451,"&gt;="&amp;"01/06/2019",Programme!$AE$3:$AE$451,"&lt;="&amp;"30/06/2019")</f>
        <v>0</v>
      </c>
    </row>
    <row r="93" spans="1:13" x14ac:dyDescent="0.2">
      <c r="A93" s="137" t="str">
        <f>List!A12</f>
        <v>DG Dutton Park - Fisherman Is</v>
      </c>
      <c r="B93" s="52">
        <f>SUMIFS(Programme!$AD$3:$AD$451,Programme!$C$3:$C$451,$A93,Programme!$AE$3:$AE$451,"&gt;="&amp;"01/07/2018",Programme!$AE$3:$AE$451,"&lt;="&amp;"31/07/2018")</f>
        <v>0</v>
      </c>
      <c r="C93" s="52">
        <f>SUMIFS(Programme!$AD$3:$AD$451,Programme!$C$3:$C$451,$A93,Programme!$AE$3:$AE$451,"&gt;="&amp;"01/08/2018",Programme!$AE$3:$AE$451,"&lt;="&amp;"31/08/2018")</f>
        <v>0</v>
      </c>
      <c r="D93" s="52">
        <f>SUMIFS(Programme!$AD$3:$AD$451,Programme!$C$3:$C$451,$A93,Programme!$AE$3:$AE$451,"&gt;="&amp;"01/09/2018",Programme!$AE$3:$AE$451,"&lt;="&amp;"30/09/2018")</f>
        <v>0</v>
      </c>
      <c r="E93" s="52">
        <f>SUMIFS(Programme!$AD$3:$AD$451,Programme!$C$3:$C$451,$A93,Programme!$AE$3:$AE$451,"&gt;="&amp;"01/10/2018",Programme!$AE$3:$AE$451,"&lt;="&amp;"31/10/2018")</f>
        <v>0</v>
      </c>
      <c r="F93" s="52">
        <f>SUMIFS(Programme!$AD$3:$AD$451,Programme!$C$3:$C$451,$A93,Programme!$AE$3:$AE$451,"&gt;="&amp;"01/11/2018",Programme!$AE$3:$AE$451,"&lt;="&amp;"30/11/2018")</f>
        <v>0.51999999999999957</v>
      </c>
      <c r="G93" s="52">
        <f>SUMIFS(Programme!$AD$3:$AD$451,Programme!$C$3:$C$451,$A93,Programme!$AE$3:$AE$451,"&gt;="&amp;"01/12/2018",Programme!$AE$3:$AE$451,"&lt;="&amp;"31/12/2018")</f>
        <v>0.25</v>
      </c>
      <c r="H93" s="52">
        <f>SUMIFS(Programme!$AD$3:$AD$451,Programme!$C$3:$C$451,$A93,Programme!$AE$3:$AE$451,"&gt;="&amp;"01/01/2019",Programme!$AE$3:$AE$451,"&lt;="&amp;"31/01/2019")</f>
        <v>0</v>
      </c>
      <c r="I93" s="52">
        <f>SUMIFS(Programme!$AD$3:$AD$451,Programme!$C$3:$C$451,$A93,Programme!$AE$3:$AE$451,"&gt;="&amp;"01/02/2019",Programme!$AE$3:$AE$451,"&lt;="&amp;"28/02/2019")</f>
        <v>0</v>
      </c>
      <c r="J93" s="52">
        <f>SUMIFS(Programme!$AD$3:$AD$451,Programme!$C$3:$C$451,$A93,Programme!$AE$3:$AE$451,"&gt;="&amp;"01/03/2019",Programme!$AE$3:$AE$451,"&lt;="&amp;"31/03/2019")</f>
        <v>0</v>
      </c>
      <c r="K93" s="52">
        <f>SUMIFS(Programme!$AD$3:$AD$451,Programme!$C$3:$C$451,$A93,Programme!$AE$3:$AE$451,"&gt;="&amp;"01/04/2019",Programme!$AE$3:$AE$451,"&lt;="&amp;"30/04/2019")</f>
        <v>0</v>
      </c>
      <c r="L93" s="52">
        <f>SUMIFS(Programme!$AD$3:$AD$451,Programme!$C$3:$C$451,$A93,Programme!$AE$3:$AE$451,"&gt;="&amp;"01/05/2019",Programme!$AE$3:$AE$451,"&lt;="&amp;"31/05/2019")</f>
        <v>0</v>
      </c>
      <c r="M93" s="52">
        <f>SUMIFS(Programme!$AD$3:$AD$451,Programme!$C$3:$C$451,$A93,Programme!$AE$3:$AE$451,"&gt;="&amp;"01/06/2019",Programme!$AE$3:$AE$451,"&lt;="&amp;"30/06/2019")</f>
        <v>0</v>
      </c>
    </row>
    <row r="94" spans="1:13" x14ac:dyDescent="0.2">
      <c r="A94" s="137" t="str">
        <f>List!A13</f>
        <v>DG Dutton Park - ARTC Int</v>
      </c>
      <c r="B94" s="52">
        <f>SUMIFS(Programme!$AD$3:$AD$451,Programme!$C$3:$C$451,$A94,Programme!$AE$3:$AE$451,"&gt;="&amp;"01/07/2018",Programme!$AE$3:$AE$451,"&lt;="&amp;"31/07/2018")</f>
        <v>0</v>
      </c>
      <c r="C94" s="52">
        <f>SUMIFS(Programme!$AD$3:$AD$451,Programme!$C$3:$C$451,$A94,Programme!$AE$3:$AE$451,"&gt;="&amp;"01/08/2018",Programme!$AE$3:$AE$451,"&lt;="&amp;"31/08/2018")</f>
        <v>0</v>
      </c>
      <c r="D94" s="52">
        <f>SUMIFS(Programme!$AD$3:$AD$451,Programme!$C$3:$C$451,$A94,Programme!$AE$3:$AE$451,"&gt;="&amp;"01/09/2018",Programme!$AE$3:$AE$451,"&lt;="&amp;"30/09/2018")</f>
        <v>0</v>
      </c>
      <c r="E94" s="52">
        <f>SUMIFS(Programme!$AD$3:$AD$451,Programme!$C$3:$C$451,$A94,Programme!$AE$3:$AE$451,"&gt;="&amp;"01/10/2018",Programme!$AE$3:$AE$451,"&lt;="&amp;"31/10/2018")</f>
        <v>0</v>
      </c>
      <c r="F94" s="52">
        <f>SUMIFS(Programme!$AD$3:$AD$451,Programme!$C$3:$C$451,$A94,Programme!$AE$3:$AE$451,"&gt;="&amp;"01/11/2018",Programme!$AE$3:$AE$451,"&lt;="&amp;"30/11/2018")</f>
        <v>0</v>
      </c>
      <c r="G94" s="52">
        <f>SUMIFS(Programme!$AD$3:$AD$451,Programme!$C$3:$C$451,$A94,Programme!$AE$3:$AE$451,"&gt;="&amp;"01/12/2018",Programme!$AE$3:$AE$451,"&lt;="&amp;"31/12/2018")</f>
        <v>0</v>
      </c>
      <c r="H94" s="52">
        <f>SUMIFS(Programme!$AD$3:$AD$451,Programme!$C$3:$C$451,$A94,Programme!$AE$3:$AE$451,"&gt;="&amp;"01/01/2019",Programme!$AE$3:$AE$451,"&lt;="&amp;"31/01/2019")</f>
        <v>0</v>
      </c>
      <c r="I94" s="52">
        <f>SUMIFS(Programme!$AD$3:$AD$451,Programme!$C$3:$C$451,$A94,Programme!$AE$3:$AE$451,"&gt;="&amp;"01/02/2019",Programme!$AE$3:$AE$451,"&lt;="&amp;"28/02/2019")</f>
        <v>0</v>
      </c>
      <c r="J94" s="52">
        <f>SUMIFS(Programme!$AD$3:$AD$451,Programme!$C$3:$C$451,$A94,Programme!$AE$3:$AE$451,"&gt;="&amp;"01/03/2019",Programme!$AE$3:$AE$451,"&lt;="&amp;"31/03/2019")</f>
        <v>0</v>
      </c>
      <c r="K94" s="52">
        <f>SUMIFS(Programme!$AD$3:$AD$451,Programme!$C$3:$C$451,$A94,Programme!$AE$3:$AE$451,"&gt;="&amp;"01/04/2019",Programme!$AE$3:$AE$451,"&lt;="&amp;"30/04/2019")</f>
        <v>0</v>
      </c>
      <c r="L94" s="52">
        <f>SUMIFS(Programme!$AD$3:$AD$451,Programme!$C$3:$C$451,$A94,Programme!$AE$3:$AE$451,"&gt;="&amp;"01/05/2019",Programme!$AE$3:$AE$451,"&lt;="&amp;"31/05/2019")</f>
        <v>0</v>
      </c>
      <c r="M94" s="52">
        <f>SUMIFS(Programme!$AD$3:$AD$451,Programme!$C$3:$C$451,$A94,Programme!$AE$3:$AE$451,"&gt;="&amp;"01/06/2019",Programme!$AE$3:$AE$451,"&lt;="&amp;"30/06/2019")</f>
        <v>0</v>
      </c>
    </row>
    <row r="95" spans="1:13" x14ac:dyDescent="0.2">
      <c r="A95" s="137" t="str">
        <f>List!A14</f>
        <v>Tennyson Line</v>
      </c>
      <c r="B95" s="52">
        <f>SUMIFS(Programme!$AD$3:$AD$451,Programme!$C$3:$C$451,$A95,Programme!$AE$3:$AE$451,"&gt;="&amp;"01/07/2018",Programme!$AE$3:$AE$451,"&lt;="&amp;"31/07/2018")</f>
        <v>0</v>
      </c>
      <c r="C95" s="52">
        <f>SUMIFS(Programme!$AD$3:$AD$451,Programme!$C$3:$C$451,$A95,Programme!$AE$3:$AE$451,"&gt;="&amp;"01/08/2018",Programme!$AE$3:$AE$451,"&lt;="&amp;"31/08/2018")</f>
        <v>0</v>
      </c>
      <c r="D95" s="52">
        <f>SUMIFS(Programme!$AD$3:$AD$451,Programme!$C$3:$C$451,$A95,Programme!$AE$3:$AE$451,"&gt;="&amp;"01/09/2018",Programme!$AE$3:$AE$451,"&lt;="&amp;"30/09/2018")</f>
        <v>0</v>
      </c>
      <c r="E95" s="52">
        <f>SUMIFS(Programme!$AD$3:$AD$451,Programme!$C$3:$C$451,$A95,Programme!$AE$3:$AE$451,"&gt;="&amp;"01/10/2018",Programme!$AE$3:$AE$451,"&lt;="&amp;"31/10/2018")</f>
        <v>0</v>
      </c>
      <c r="F95" s="52">
        <f>SUMIFS(Programme!$AD$3:$AD$451,Programme!$C$3:$C$451,$A95,Programme!$AE$3:$AE$451,"&gt;="&amp;"01/11/2018",Programme!$AE$3:$AE$451,"&lt;="&amp;"30/11/2018")</f>
        <v>0</v>
      </c>
      <c r="G95" s="52">
        <f>SUMIFS(Programme!$AD$3:$AD$451,Programme!$C$3:$C$451,$A95,Programme!$AE$3:$AE$451,"&gt;="&amp;"01/12/2018",Programme!$AE$3:$AE$451,"&lt;="&amp;"31/12/2018")</f>
        <v>0</v>
      </c>
      <c r="H95" s="52">
        <f>SUMIFS(Programme!$AD$3:$AD$451,Programme!$C$3:$C$451,$A95,Programme!$AE$3:$AE$451,"&gt;="&amp;"01/01/2019",Programme!$AE$3:$AE$451,"&lt;="&amp;"31/01/2019")</f>
        <v>0</v>
      </c>
      <c r="I95" s="52">
        <f>SUMIFS(Programme!$AD$3:$AD$451,Programme!$C$3:$C$451,$A95,Programme!$AE$3:$AE$451,"&gt;="&amp;"01/02/2019",Programme!$AE$3:$AE$451,"&lt;="&amp;"28/02/2019")</f>
        <v>0</v>
      </c>
      <c r="J95" s="52">
        <f>SUMIFS(Programme!$AD$3:$AD$451,Programme!$C$3:$C$451,$A95,Programme!$AE$3:$AE$451,"&gt;="&amp;"01/03/2019",Programme!$AE$3:$AE$451,"&lt;="&amp;"31/03/2019")</f>
        <v>0</v>
      </c>
      <c r="K95" s="52">
        <f>SUMIFS(Programme!$AD$3:$AD$451,Programme!$C$3:$C$451,$A95,Programme!$AE$3:$AE$451,"&gt;="&amp;"01/04/2019",Programme!$AE$3:$AE$451,"&lt;="&amp;"30/04/2019")</f>
        <v>0</v>
      </c>
      <c r="L95" s="52">
        <f>SUMIFS(Programme!$AD$3:$AD$451,Programme!$C$3:$C$451,$A95,Programme!$AE$3:$AE$451,"&gt;="&amp;"01/05/2019",Programme!$AE$3:$AE$451,"&lt;="&amp;"31/05/2019")</f>
        <v>0</v>
      </c>
      <c r="M95" s="52">
        <f>SUMIFS(Programme!$AD$3:$AD$451,Programme!$C$3:$C$451,$A95,Programme!$AE$3:$AE$451,"&gt;="&amp;"01/06/2019",Programme!$AE$3:$AE$451,"&lt;="&amp;"30/06/2019")</f>
        <v>0</v>
      </c>
    </row>
    <row r="96" spans="1:13" x14ac:dyDescent="0.2">
      <c r="A96" s="137" t="str">
        <f>List!A15</f>
        <v>QR SPUR</v>
      </c>
      <c r="B96" s="52">
        <f>SUMIFS(Programme!$AD$3:$AD$451,Programme!$C$3:$C$451,$A96,Programme!$AE$3:$AE$451,"&gt;="&amp;"01/07/2018",Programme!$AE$3:$AE$451,"&lt;="&amp;"31/07/2018")</f>
        <v>0</v>
      </c>
      <c r="C96" s="52">
        <f>SUMIFS(Programme!$AD$3:$AD$451,Programme!$C$3:$C$451,$A96,Programme!$AE$3:$AE$451,"&gt;="&amp;"01/08/2018",Programme!$AE$3:$AE$451,"&lt;="&amp;"31/08/2018")</f>
        <v>0</v>
      </c>
      <c r="D96" s="52">
        <f>SUMIFS(Programme!$AD$3:$AD$451,Programme!$C$3:$C$451,$A96,Programme!$AE$3:$AE$451,"&gt;="&amp;"01/09/2018",Programme!$AE$3:$AE$451,"&lt;="&amp;"30/09/2018")</f>
        <v>0</v>
      </c>
      <c r="E96" s="52">
        <f>SUMIFS(Programme!$AD$3:$AD$451,Programme!$C$3:$C$451,$A96,Programme!$AE$3:$AE$451,"&gt;="&amp;"01/10/2018",Programme!$AE$3:$AE$451,"&lt;="&amp;"31/10/2018")</f>
        <v>0</v>
      </c>
      <c r="F96" s="52">
        <f>SUMIFS(Programme!$AD$3:$AD$451,Programme!$C$3:$C$451,$A96,Programme!$AE$3:$AE$451,"&gt;="&amp;"01/11/2018",Programme!$AE$3:$AE$451,"&lt;="&amp;"30/11/2018")</f>
        <v>0</v>
      </c>
      <c r="G96" s="52">
        <f>SUMIFS(Programme!$AD$3:$AD$451,Programme!$C$3:$C$451,$A96,Programme!$AE$3:$AE$451,"&gt;="&amp;"01/12/2018",Programme!$AE$3:$AE$451,"&lt;="&amp;"31/12/2018")</f>
        <v>0</v>
      </c>
      <c r="H96" s="52">
        <f>SUMIFS(Programme!$AD$3:$AD$451,Programme!$C$3:$C$451,$A96,Programme!$AE$3:$AE$451,"&gt;="&amp;"01/01/2019",Programme!$AE$3:$AE$451,"&lt;="&amp;"31/01/2019")</f>
        <v>0</v>
      </c>
      <c r="I96" s="52">
        <f>SUMIFS(Programme!$AD$3:$AD$451,Programme!$C$3:$C$451,$A96,Programme!$AE$3:$AE$451,"&gt;="&amp;"01/02/2019",Programme!$AE$3:$AE$451,"&lt;="&amp;"28/02/2019")</f>
        <v>0</v>
      </c>
      <c r="J96" s="52">
        <f>SUMIFS(Programme!$AD$3:$AD$451,Programme!$C$3:$C$451,$A96,Programme!$AE$3:$AE$451,"&gt;="&amp;"01/03/2019",Programme!$AE$3:$AE$451,"&lt;="&amp;"31/03/2019")</f>
        <v>0</v>
      </c>
      <c r="K96" s="52">
        <f>SUMIFS(Programme!$AD$3:$AD$451,Programme!$C$3:$C$451,$A96,Programme!$AE$3:$AE$451,"&gt;="&amp;"01/04/2019",Programme!$AE$3:$AE$451,"&lt;="&amp;"30/04/2019")</f>
        <v>0</v>
      </c>
      <c r="L96" s="52">
        <f>SUMIFS(Programme!$AD$3:$AD$451,Programme!$C$3:$C$451,$A96,Programme!$AE$3:$AE$451,"&gt;="&amp;"01/05/2019",Programme!$AE$3:$AE$451,"&lt;="&amp;"31/05/2019")</f>
        <v>0</v>
      </c>
      <c r="M96" s="52">
        <f>SUMIFS(Programme!$AD$3:$AD$451,Programme!$C$3:$C$451,$A96,Programme!$AE$3:$AE$451,"&gt;="&amp;"01/06/2019",Programme!$AE$3:$AE$451,"&lt;="&amp;"30/06/2019")</f>
        <v>0</v>
      </c>
    </row>
    <row r="97" spans="1:13" x14ac:dyDescent="0.2">
      <c r="A97" s="137" t="str">
        <f>List!A16</f>
        <v>DG Inner City</v>
      </c>
      <c r="B97" s="52">
        <f>SUMIFS(Programme!$AD$3:$AD$451,Programme!$C$3:$C$451,$A97,Programme!$AE$3:$AE$451,"&gt;="&amp;"01/07/2018",Programme!$AE$3:$AE$451,"&lt;="&amp;"31/07/2018")</f>
        <v>0</v>
      </c>
      <c r="C97" s="52">
        <f>SUMIFS(Programme!$AD$3:$AD$451,Programme!$C$3:$C$451,$A97,Programme!$AE$3:$AE$451,"&gt;="&amp;"01/08/2018",Programme!$AE$3:$AE$451,"&lt;="&amp;"31/08/2018")</f>
        <v>0</v>
      </c>
      <c r="D97" s="52">
        <f>SUMIFS(Programme!$AD$3:$AD$451,Programme!$C$3:$C$451,$A97,Programme!$AE$3:$AE$451,"&gt;="&amp;"01/09/2018",Programme!$AE$3:$AE$451,"&lt;="&amp;"30/09/2018")</f>
        <v>0</v>
      </c>
      <c r="E97" s="52">
        <f>SUMIFS(Programme!$AD$3:$AD$451,Programme!$C$3:$C$451,$A97,Programme!$AE$3:$AE$451,"&gt;="&amp;"01/10/2018",Programme!$AE$3:$AE$451,"&lt;="&amp;"31/10/2018")</f>
        <v>0</v>
      </c>
      <c r="F97" s="52">
        <f>SUMIFS(Programme!$AD$3:$AD$451,Programme!$C$3:$C$451,$A97,Programme!$AE$3:$AE$451,"&gt;="&amp;"01/11/2018",Programme!$AE$3:$AE$451,"&lt;="&amp;"30/11/2018")</f>
        <v>0</v>
      </c>
      <c r="G97" s="52">
        <f>SUMIFS(Programme!$AD$3:$AD$451,Programme!$C$3:$C$451,$A97,Programme!$AE$3:$AE$451,"&gt;="&amp;"01/12/2018",Programme!$AE$3:$AE$451,"&lt;="&amp;"31/12/2018")</f>
        <v>0</v>
      </c>
      <c r="H97" s="52">
        <f>SUMIFS(Programme!$AD$3:$AD$451,Programme!$C$3:$C$451,$A97,Programme!$AE$3:$AE$451,"&gt;="&amp;"01/01/2019",Programme!$AE$3:$AE$451,"&lt;="&amp;"31/01/2019")</f>
        <v>0</v>
      </c>
      <c r="I97" s="52">
        <f>SUMIFS(Programme!$AD$3:$AD$451,Programme!$C$3:$C$451,$A97,Programme!$AE$3:$AE$451,"&gt;="&amp;"01/02/2019",Programme!$AE$3:$AE$451,"&lt;="&amp;"28/02/2019")</f>
        <v>0</v>
      </c>
      <c r="J97" s="52">
        <f>SUMIFS(Programme!$AD$3:$AD$451,Programme!$C$3:$C$451,$A97,Programme!$AE$3:$AE$451,"&gt;="&amp;"01/03/2019",Programme!$AE$3:$AE$451,"&lt;="&amp;"31/03/2019")</f>
        <v>0</v>
      </c>
      <c r="K97" s="52">
        <f>SUMIFS(Programme!$AD$3:$AD$451,Programme!$C$3:$C$451,$A97,Programme!$AE$3:$AE$451,"&gt;="&amp;"01/04/2019",Programme!$AE$3:$AE$451,"&lt;="&amp;"30/04/2019")</f>
        <v>0</v>
      </c>
      <c r="L97" s="52">
        <f>SUMIFS(Programme!$AD$3:$AD$451,Programme!$C$3:$C$451,$A97,Programme!$AE$3:$AE$451,"&gt;="&amp;"01/05/2019",Programme!$AE$3:$AE$451,"&lt;="&amp;"31/05/2019")</f>
        <v>0</v>
      </c>
      <c r="M97" s="52">
        <f>SUMIFS(Programme!$AD$3:$AD$451,Programme!$C$3:$C$451,$A97,Programme!$AE$3:$AE$451,"&gt;="&amp;"01/06/2019",Programme!$AE$3:$AE$451,"&lt;="&amp;"30/06/2019")</f>
        <v>0</v>
      </c>
    </row>
  </sheetData>
  <mergeCells count="5">
    <mergeCell ref="A23:I23"/>
    <mergeCell ref="A81:M81"/>
    <mergeCell ref="A3:G3"/>
    <mergeCell ref="A43:O43"/>
    <mergeCell ref="A62:N62"/>
  </mergeCells>
  <conditionalFormatting sqref="A25:A39">
    <cfRule type="expression" priority="12">
      <formula>#REF!=$F$28</formula>
    </cfRule>
  </conditionalFormatting>
  <conditionalFormatting sqref="A40 A43">
    <cfRule type="expression" priority="13">
      <formula>#REF!=$F$28</formula>
    </cfRule>
  </conditionalFormatting>
  <conditionalFormatting sqref="A45:A59">
    <cfRule type="expression" priority="9">
      <formula>#REF!=$F$28</formula>
    </cfRule>
  </conditionalFormatting>
  <conditionalFormatting sqref="A64:A78">
    <cfRule type="expression" priority="6">
      <formula>#REF!=$F$28</formula>
    </cfRule>
  </conditionalFormatting>
  <conditionalFormatting sqref="A62">
    <cfRule type="expression" priority="5">
      <formula>#REF!=$F$28</formula>
    </cfRule>
  </conditionalFormatting>
  <conditionalFormatting sqref="A83:A97">
    <cfRule type="expression" priority="2">
      <formula>#REF!=$F$28</formula>
    </cfRule>
  </conditionalFormatting>
  <conditionalFormatting sqref="A81">
    <cfRule type="expression" priority="1">
      <formula>#REF!=$F$28</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5" tint="0.39997558519241921"/>
  </sheetPr>
  <dimension ref="A3:N36"/>
  <sheetViews>
    <sheetView workbookViewId="0">
      <selection activeCell="K26" sqref="K26"/>
    </sheetView>
  </sheetViews>
  <sheetFormatPr defaultRowHeight="12.75" x14ac:dyDescent="0.2"/>
  <cols>
    <col min="1" max="1" width="27.140625" customWidth="1"/>
    <col min="2" max="2" width="17" customWidth="1"/>
    <col min="3" max="3" width="8.42578125" customWidth="1"/>
    <col min="4" max="4" width="11.7109375" customWidth="1"/>
    <col min="5" max="5" width="16.85546875" bestFit="1" customWidth="1"/>
    <col min="6" max="6" width="27" bestFit="1" customWidth="1"/>
    <col min="7" max="7" width="26.42578125" bestFit="1" customWidth="1"/>
    <col min="8" max="8" width="10" bestFit="1" customWidth="1"/>
    <col min="9" max="9" width="16.140625" bestFit="1" customWidth="1"/>
    <col min="10" max="10" width="9.42578125" bestFit="1" customWidth="1"/>
    <col min="11" max="11" width="15.5703125" bestFit="1" customWidth="1"/>
    <col min="12" max="12" width="14.42578125" bestFit="1" customWidth="1"/>
    <col min="13" max="13" width="11.7109375" bestFit="1" customWidth="1"/>
  </cols>
  <sheetData>
    <row r="3" spans="1:4" x14ac:dyDescent="0.2">
      <c r="A3" s="122" t="s">
        <v>337</v>
      </c>
      <c r="B3" s="122" t="s">
        <v>344</v>
      </c>
    </row>
    <row r="4" spans="1:4" x14ac:dyDescent="0.2">
      <c r="A4" s="122" t="s">
        <v>335</v>
      </c>
      <c r="B4" s="52" t="s">
        <v>116</v>
      </c>
      <c r="C4" s="52" t="s">
        <v>117</v>
      </c>
      <c r="D4" s="52" t="s">
        <v>336</v>
      </c>
    </row>
    <row r="5" spans="1:4" x14ac:dyDescent="0.2">
      <c r="A5" s="123" t="s">
        <v>9</v>
      </c>
      <c r="B5" s="124">
        <v>2.4300000000000015</v>
      </c>
      <c r="C5" s="124">
        <v>3.260000000000002</v>
      </c>
      <c r="D5" s="124">
        <v>5.6900000000000031</v>
      </c>
    </row>
    <row r="6" spans="1:4" x14ac:dyDescent="0.2">
      <c r="A6" s="123" t="s">
        <v>169</v>
      </c>
      <c r="B6" s="124">
        <v>0.36999999999999922</v>
      </c>
      <c r="C6" s="124">
        <v>0.53000000000000114</v>
      </c>
      <c r="D6" s="124">
        <v>0.90000000000000036</v>
      </c>
    </row>
    <row r="7" spans="1:4" x14ac:dyDescent="0.2">
      <c r="A7" s="123" t="s">
        <v>170</v>
      </c>
      <c r="B7" s="124">
        <v>1.6800000000000004</v>
      </c>
      <c r="C7" s="124">
        <v>0.44999999999999929</v>
      </c>
      <c r="D7" s="124">
        <v>2.13</v>
      </c>
    </row>
    <row r="8" spans="1:4" x14ac:dyDescent="0.2">
      <c r="A8" s="123" t="s">
        <v>6</v>
      </c>
      <c r="B8" s="124">
        <v>1.8099999999999972</v>
      </c>
      <c r="C8" s="124">
        <v>1.9399999999999991</v>
      </c>
      <c r="D8" s="124">
        <v>3.7499999999999964</v>
      </c>
    </row>
    <row r="9" spans="1:4" x14ac:dyDescent="0.2">
      <c r="A9" s="123" t="s">
        <v>166</v>
      </c>
      <c r="B9" s="124">
        <v>2.669999999999995</v>
      </c>
      <c r="C9" s="124">
        <v>1.6800000000000042</v>
      </c>
      <c r="D9" s="124">
        <v>4.3499999999999996</v>
      </c>
    </row>
    <row r="10" spans="1:4" x14ac:dyDescent="0.2">
      <c r="A10" s="123" t="s">
        <v>165</v>
      </c>
      <c r="B10" s="124">
        <v>1.3699999999999999</v>
      </c>
      <c r="C10" s="124">
        <v>0.50700000000000056</v>
      </c>
      <c r="D10" s="124">
        <v>1.8770000000000004</v>
      </c>
    </row>
    <row r="11" spans="1:4" x14ac:dyDescent="0.2">
      <c r="A11" s="123" t="s">
        <v>164</v>
      </c>
      <c r="B11" s="124">
        <v>11.82</v>
      </c>
      <c r="C11" s="124">
        <v>7.339999999999991</v>
      </c>
      <c r="D11" s="124">
        <v>19.159999999999989</v>
      </c>
    </row>
    <row r="12" spans="1:4" x14ac:dyDescent="0.2">
      <c r="A12" s="123" t="s">
        <v>7</v>
      </c>
      <c r="B12" s="124">
        <v>9.5219999999999789</v>
      </c>
      <c r="C12" s="124">
        <v>10.243999999999971</v>
      </c>
      <c r="D12" s="124">
        <v>19.765999999999948</v>
      </c>
    </row>
    <row r="13" spans="1:4" x14ac:dyDescent="0.2">
      <c r="A13" s="123" t="s">
        <v>313</v>
      </c>
      <c r="B13" s="124">
        <v>0.69999999999999929</v>
      </c>
      <c r="C13" s="124"/>
      <c r="D13" s="124">
        <v>0.69999999999999929</v>
      </c>
    </row>
    <row r="14" spans="1:4" x14ac:dyDescent="0.2">
      <c r="A14" s="123" t="s">
        <v>5</v>
      </c>
      <c r="B14" s="124">
        <v>1.7199999999999998</v>
      </c>
      <c r="C14" s="124">
        <v>0.29000000000000004</v>
      </c>
      <c r="D14" s="124">
        <v>2.0099999999999998</v>
      </c>
    </row>
    <row r="15" spans="1:4" x14ac:dyDescent="0.2">
      <c r="A15" s="123" t="s">
        <v>177</v>
      </c>
      <c r="B15" s="124">
        <v>1.4500000000000002</v>
      </c>
      <c r="C15" s="124">
        <v>0.5</v>
      </c>
      <c r="D15" s="124">
        <v>1.9500000000000002</v>
      </c>
    </row>
    <row r="16" spans="1:4" x14ac:dyDescent="0.2">
      <c r="A16" s="123" t="s">
        <v>336</v>
      </c>
      <c r="B16" s="124">
        <v>35.541999999999973</v>
      </c>
      <c r="C16" s="124">
        <v>26.740999999999968</v>
      </c>
      <c r="D16" s="124">
        <v>62.282999999999937</v>
      </c>
    </row>
    <row r="23" spans="11:14" ht="13.5" thickBot="1" x14ac:dyDescent="0.25"/>
    <row r="24" spans="11:14" x14ac:dyDescent="0.2">
      <c r="K24" s="145"/>
      <c r="L24" s="146" t="s">
        <v>116</v>
      </c>
      <c r="M24" s="146" t="s">
        <v>117</v>
      </c>
      <c r="N24" s="147" t="s">
        <v>336</v>
      </c>
    </row>
    <row r="25" spans="11:14" x14ac:dyDescent="0.2">
      <c r="K25" s="148" t="s">
        <v>9</v>
      </c>
      <c r="L25" s="144">
        <v>2.4300000000000015</v>
      </c>
      <c r="M25" s="144">
        <v>3.260000000000002</v>
      </c>
      <c r="N25" s="149">
        <v>5.6900000000000031</v>
      </c>
    </row>
    <row r="26" spans="11:14" x14ac:dyDescent="0.2">
      <c r="K26" s="148" t="s">
        <v>169</v>
      </c>
      <c r="L26" s="144">
        <v>0.36999999999999922</v>
      </c>
      <c r="M26" s="144">
        <v>0.53000000000000114</v>
      </c>
      <c r="N26" s="149">
        <v>0.90000000000000036</v>
      </c>
    </row>
    <row r="27" spans="11:14" x14ac:dyDescent="0.2">
      <c r="K27" s="148" t="s">
        <v>170</v>
      </c>
      <c r="L27" s="144">
        <v>1.6800000000000004</v>
      </c>
      <c r="M27" s="144">
        <v>0.44999999999999929</v>
      </c>
      <c r="N27" s="149">
        <v>2.13</v>
      </c>
    </row>
    <row r="28" spans="11:14" x14ac:dyDescent="0.2">
      <c r="K28" s="148" t="s">
        <v>6</v>
      </c>
      <c r="L28" s="144">
        <v>1.8099999999999972</v>
      </c>
      <c r="M28" s="144">
        <v>1.9399999999999991</v>
      </c>
      <c r="N28" s="149">
        <v>3.7499999999999964</v>
      </c>
    </row>
    <row r="29" spans="11:14" x14ac:dyDescent="0.2">
      <c r="K29" s="148" t="s">
        <v>166</v>
      </c>
      <c r="L29" s="144">
        <v>2.669999999999995</v>
      </c>
      <c r="M29" s="144">
        <v>1.6800000000000042</v>
      </c>
      <c r="N29" s="149">
        <v>4.3499999999999996</v>
      </c>
    </row>
    <row r="30" spans="11:14" x14ac:dyDescent="0.2">
      <c r="K30" s="148" t="s">
        <v>165</v>
      </c>
      <c r="L30" s="144">
        <v>1.3699999999999999</v>
      </c>
      <c r="M30" s="144">
        <v>0.50700000000000056</v>
      </c>
      <c r="N30" s="149">
        <v>1.8770000000000004</v>
      </c>
    </row>
    <row r="31" spans="11:14" x14ac:dyDescent="0.2">
      <c r="K31" s="148" t="s">
        <v>164</v>
      </c>
      <c r="L31" s="144">
        <v>11.82</v>
      </c>
      <c r="M31" s="144">
        <v>7.339999999999991</v>
      </c>
      <c r="N31" s="149">
        <v>19.159999999999989</v>
      </c>
    </row>
    <row r="32" spans="11:14" x14ac:dyDescent="0.2">
      <c r="K32" s="148" t="s">
        <v>7</v>
      </c>
      <c r="L32" s="144">
        <v>9.5219999999999789</v>
      </c>
      <c r="M32" s="144">
        <v>10.243999999999971</v>
      </c>
      <c r="N32" s="149">
        <v>19.765999999999948</v>
      </c>
    </row>
    <row r="33" spans="11:14" x14ac:dyDescent="0.2">
      <c r="K33" s="148" t="s">
        <v>313</v>
      </c>
      <c r="L33" s="144">
        <v>0.69999999999999929</v>
      </c>
      <c r="M33" s="144"/>
      <c r="N33" s="149">
        <v>0.69999999999999929</v>
      </c>
    </row>
    <row r="34" spans="11:14" x14ac:dyDescent="0.2">
      <c r="K34" s="148" t="s">
        <v>5</v>
      </c>
      <c r="L34" s="144">
        <v>1.7199999999999998</v>
      </c>
      <c r="M34" s="144">
        <v>0.29000000000000004</v>
      </c>
      <c r="N34" s="149">
        <v>2.0099999999999998</v>
      </c>
    </row>
    <row r="35" spans="11:14" x14ac:dyDescent="0.2">
      <c r="K35" s="148" t="s">
        <v>177</v>
      </c>
      <c r="L35" s="144">
        <v>1.4500000000000002</v>
      </c>
      <c r="M35" s="144">
        <v>0.5</v>
      </c>
      <c r="N35" s="149">
        <v>1.9500000000000002</v>
      </c>
    </row>
    <row r="36" spans="11:14" ht="13.5" thickBot="1" x14ac:dyDescent="0.25">
      <c r="K36" s="150" t="s">
        <v>336</v>
      </c>
      <c r="L36" s="151">
        <v>35.541999999999973</v>
      </c>
      <c r="M36" s="151">
        <v>26.740999999999968</v>
      </c>
      <c r="N36" s="152">
        <v>62.282999999999937</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O84"/>
  <sheetViews>
    <sheetView workbookViewId="0">
      <selection activeCell="H8" sqref="H8"/>
    </sheetView>
  </sheetViews>
  <sheetFormatPr defaultRowHeight="12.75" x14ac:dyDescent="0.2"/>
  <cols>
    <col min="1" max="1" width="35.28515625" style="26" bestFit="1" customWidth="1"/>
    <col min="2" max="2" width="9.140625" style="26"/>
    <col min="3" max="3" width="13.42578125" bestFit="1" customWidth="1"/>
    <col min="4" max="4" width="16.5703125" bestFit="1" customWidth="1"/>
    <col min="5" max="5" width="11.140625" style="1" bestFit="1" customWidth="1"/>
    <col min="7" max="7" width="17.85546875" bestFit="1" customWidth="1"/>
    <col min="8" max="8" width="27.140625" bestFit="1" customWidth="1"/>
    <col min="9" max="9" width="19.85546875" bestFit="1" customWidth="1"/>
    <col min="10" max="10" width="23.7109375" bestFit="1" customWidth="1"/>
    <col min="11" max="11" width="26.140625" bestFit="1" customWidth="1"/>
    <col min="12" max="12" width="20.5703125" bestFit="1" customWidth="1"/>
    <col min="13" max="13" width="26.140625" bestFit="1" customWidth="1"/>
    <col min="14" max="14" width="28.140625" bestFit="1" customWidth="1"/>
    <col min="15" max="15" width="23.85546875" bestFit="1" customWidth="1"/>
  </cols>
  <sheetData>
    <row r="1" spans="1:15" ht="13.5" thickBot="1" x14ac:dyDescent="0.25">
      <c r="A1" s="23" t="s">
        <v>4</v>
      </c>
      <c r="B1" s="23" t="s">
        <v>92</v>
      </c>
      <c r="D1" s="4" t="s">
        <v>10</v>
      </c>
      <c r="E1" s="4" t="s">
        <v>107</v>
      </c>
      <c r="F1" s="4"/>
      <c r="G1" s="4"/>
      <c r="H1" s="4" t="s">
        <v>125</v>
      </c>
      <c r="I1" s="12" t="s">
        <v>171</v>
      </c>
    </row>
    <row r="2" spans="1:15" x14ac:dyDescent="0.2">
      <c r="A2" s="16" t="s">
        <v>49</v>
      </c>
      <c r="B2" s="17" t="s">
        <v>87</v>
      </c>
      <c r="D2" s="10" t="s">
        <v>93</v>
      </c>
      <c r="E2" s="5" t="s">
        <v>108</v>
      </c>
      <c r="F2" s="5" t="s">
        <v>121</v>
      </c>
      <c r="G2" s="5" t="s">
        <v>116</v>
      </c>
      <c r="H2" s="3" t="s">
        <v>127</v>
      </c>
      <c r="I2" s="6" t="s">
        <v>164</v>
      </c>
      <c r="J2" s="3"/>
      <c r="K2" s="3"/>
      <c r="L2" s="3"/>
      <c r="M2" s="3"/>
      <c r="N2" s="3"/>
      <c r="O2" s="3"/>
    </row>
    <row r="3" spans="1:15" x14ac:dyDescent="0.2">
      <c r="A3" s="16" t="s">
        <v>19</v>
      </c>
      <c r="B3" s="17" t="s">
        <v>51</v>
      </c>
      <c r="D3" s="9" t="s">
        <v>94</v>
      </c>
      <c r="E3" s="5" t="s">
        <v>109</v>
      </c>
      <c r="F3" s="5" t="s">
        <v>122</v>
      </c>
      <c r="G3" s="5" t="s">
        <v>117</v>
      </c>
      <c r="H3" s="3" t="s">
        <v>126</v>
      </c>
      <c r="I3" s="6" t="s">
        <v>7</v>
      </c>
      <c r="J3" s="3"/>
      <c r="K3" s="3"/>
      <c r="L3" s="3"/>
      <c r="M3" s="3"/>
      <c r="N3" s="3"/>
      <c r="O3" s="3"/>
    </row>
    <row r="4" spans="1:15" x14ac:dyDescent="0.2">
      <c r="A4" s="16" t="s">
        <v>16</v>
      </c>
      <c r="B4" s="17" t="s">
        <v>52</v>
      </c>
      <c r="D4" s="9" t="s">
        <v>95</v>
      </c>
      <c r="E4" s="5" t="s">
        <v>110</v>
      </c>
      <c r="F4" s="5" t="s">
        <v>233</v>
      </c>
      <c r="G4" s="6" t="s">
        <v>118</v>
      </c>
      <c r="H4" s="3" t="s">
        <v>128</v>
      </c>
      <c r="I4" s="6" t="s">
        <v>6</v>
      </c>
      <c r="J4" s="3"/>
      <c r="K4" s="3"/>
      <c r="L4" s="3"/>
      <c r="M4" s="3"/>
      <c r="N4" s="3"/>
      <c r="O4" s="3"/>
    </row>
    <row r="5" spans="1:15" x14ac:dyDescent="0.2">
      <c r="A5" s="16" t="s">
        <v>20</v>
      </c>
      <c r="B5" s="17" t="s">
        <v>53</v>
      </c>
      <c r="D5" s="9" t="s">
        <v>96</v>
      </c>
      <c r="E5" s="5" t="s">
        <v>111</v>
      </c>
      <c r="F5" s="6" t="s">
        <v>139</v>
      </c>
      <c r="H5" s="3" t="s">
        <v>129</v>
      </c>
      <c r="I5" s="6" t="s">
        <v>165</v>
      </c>
      <c r="J5" s="3"/>
      <c r="K5" s="3"/>
      <c r="L5" s="3"/>
      <c r="M5" s="3"/>
      <c r="N5" s="3"/>
      <c r="O5" s="3"/>
    </row>
    <row r="6" spans="1:15" x14ac:dyDescent="0.2">
      <c r="A6" s="16" t="s">
        <v>38</v>
      </c>
      <c r="B6" s="17" t="s">
        <v>88</v>
      </c>
      <c r="D6" s="9" t="s">
        <v>97</v>
      </c>
      <c r="E6" s="5" t="s">
        <v>112</v>
      </c>
      <c r="F6" s="6" t="s">
        <v>415</v>
      </c>
      <c r="H6" s="6" t="s">
        <v>175</v>
      </c>
      <c r="I6" s="6" t="s">
        <v>166</v>
      </c>
      <c r="J6" s="3"/>
      <c r="K6" s="3"/>
      <c r="L6" s="3"/>
      <c r="M6" s="3"/>
      <c r="N6" s="3"/>
      <c r="O6" s="3"/>
    </row>
    <row r="7" spans="1:15" x14ac:dyDescent="0.2">
      <c r="A7" s="16" t="s">
        <v>21</v>
      </c>
      <c r="B7" s="17" t="s">
        <v>54</v>
      </c>
      <c r="D7" s="9" t="s">
        <v>98</v>
      </c>
      <c r="E7" s="5" t="s">
        <v>113</v>
      </c>
      <c r="F7" s="6" t="s">
        <v>573</v>
      </c>
      <c r="H7" s="6" t="s">
        <v>554</v>
      </c>
      <c r="I7" s="6" t="s">
        <v>5</v>
      </c>
      <c r="J7" s="3"/>
      <c r="M7" s="3"/>
      <c r="N7" s="3"/>
      <c r="O7" s="3"/>
    </row>
    <row r="8" spans="1:15" x14ac:dyDescent="0.2">
      <c r="A8" s="16" t="s">
        <v>18</v>
      </c>
      <c r="B8" s="17" t="s">
        <v>55</v>
      </c>
      <c r="D8" s="9" t="s">
        <v>99</v>
      </c>
      <c r="E8" s="5" t="s">
        <v>207</v>
      </c>
      <c r="F8" s="6" t="s">
        <v>859</v>
      </c>
      <c r="H8" s="6" t="s">
        <v>859</v>
      </c>
      <c r="I8" s="6" t="s">
        <v>167</v>
      </c>
      <c r="J8" s="3"/>
      <c r="K8" s="3"/>
      <c r="L8" s="3"/>
      <c r="M8" s="3"/>
      <c r="N8" s="3"/>
      <c r="O8" s="3"/>
    </row>
    <row r="9" spans="1:15" x14ac:dyDescent="0.2">
      <c r="A9" s="16" t="s">
        <v>22</v>
      </c>
      <c r="B9" s="17" t="s">
        <v>56</v>
      </c>
      <c r="D9" s="9" t="s">
        <v>100</v>
      </c>
      <c r="E9"/>
      <c r="F9" s="1"/>
      <c r="I9" s="6" t="s">
        <v>9</v>
      </c>
      <c r="J9" s="3"/>
      <c r="K9" s="3"/>
      <c r="L9" s="3"/>
      <c r="M9" s="3"/>
      <c r="N9" s="3"/>
      <c r="O9" s="3"/>
    </row>
    <row r="10" spans="1:15" x14ac:dyDescent="0.2">
      <c r="A10" s="16" t="s">
        <v>23</v>
      </c>
      <c r="B10" s="17" t="s">
        <v>57</v>
      </c>
      <c r="D10" s="9" t="s">
        <v>101</v>
      </c>
      <c r="E10"/>
      <c r="F10" s="1"/>
      <c r="I10" s="6" t="s">
        <v>168</v>
      </c>
      <c r="J10" s="3"/>
      <c r="K10" s="3"/>
      <c r="L10" s="3"/>
      <c r="M10" s="3"/>
      <c r="N10" s="3"/>
      <c r="O10" s="3"/>
    </row>
    <row r="11" spans="1:15" s="3" customFormat="1" x14ac:dyDescent="0.2">
      <c r="A11" s="16" t="s">
        <v>24</v>
      </c>
      <c r="B11" s="17" t="s">
        <v>58</v>
      </c>
      <c r="D11" s="9" t="s">
        <v>102</v>
      </c>
      <c r="F11" s="1"/>
      <c r="I11" s="6" t="s">
        <v>143</v>
      </c>
    </row>
    <row r="12" spans="1:15" ht="13.5" thickBot="1" x14ac:dyDescent="0.25">
      <c r="A12" s="20" t="s">
        <v>262</v>
      </c>
      <c r="B12" s="21" t="s">
        <v>59</v>
      </c>
      <c r="D12" s="9" t="s">
        <v>103</v>
      </c>
      <c r="E12"/>
      <c r="F12" s="1"/>
      <c r="I12" s="6" t="s">
        <v>170</v>
      </c>
      <c r="J12" s="3"/>
      <c r="K12" s="3"/>
      <c r="L12" s="3"/>
      <c r="M12" s="3"/>
      <c r="N12" s="3"/>
      <c r="O12" s="3"/>
    </row>
    <row r="13" spans="1:15" x14ac:dyDescent="0.2">
      <c r="A13" s="16" t="s">
        <v>40</v>
      </c>
      <c r="B13" s="17" t="s">
        <v>91</v>
      </c>
      <c r="D13" s="9" t="s">
        <v>104</v>
      </c>
      <c r="E13" t="s">
        <v>124</v>
      </c>
      <c r="F13" s="5"/>
      <c r="I13" s="6" t="s">
        <v>169</v>
      </c>
      <c r="J13" s="3"/>
      <c r="K13" s="3"/>
      <c r="L13" s="3"/>
      <c r="M13" s="3"/>
      <c r="N13" s="3"/>
      <c r="O13" s="3"/>
    </row>
    <row r="14" spans="1:15" x14ac:dyDescent="0.2">
      <c r="A14" s="16" t="s">
        <v>48</v>
      </c>
      <c r="B14" s="17" t="s">
        <v>61</v>
      </c>
      <c r="D14" s="2" t="s">
        <v>105</v>
      </c>
      <c r="E14"/>
      <c r="F14" s="1"/>
      <c r="I14" s="6" t="s">
        <v>177</v>
      </c>
      <c r="J14" s="3"/>
      <c r="K14" s="3"/>
      <c r="L14" s="3"/>
      <c r="M14" s="3"/>
      <c r="N14" s="3"/>
      <c r="O14" s="3"/>
    </row>
    <row r="15" spans="1:15" x14ac:dyDescent="0.2">
      <c r="A15" s="16" t="s">
        <v>209</v>
      </c>
      <c r="B15" s="17" t="s">
        <v>62</v>
      </c>
      <c r="D15" s="2" t="s">
        <v>106</v>
      </c>
      <c r="E15"/>
      <c r="F15" s="1"/>
      <c r="I15" s="6" t="s">
        <v>313</v>
      </c>
      <c r="J15" s="3"/>
      <c r="K15" s="3"/>
      <c r="L15" s="3"/>
      <c r="M15" s="3"/>
      <c r="N15" s="3"/>
      <c r="O15" s="3"/>
    </row>
    <row r="16" spans="1:15" s="3" customFormat="1" x14ac:dyDescent="0.2">
      <c r="A16" s="26" t="s">
        <v>210</v>
      </c>
      <c r="B16" s="17" t="s">
        <v>62</v>
      </c>
      <c r="D16" s="6"/>
      <c r="F16" s="1"/>
    </row>
    <row r="17" spans="1:15" x14ac:dyDescent="0.2">
      <c r="A17" s="16" t="s">
        <v>47</v>
      </c>
      <c r="B17" s="17" t="s">
        <v>82</v>
      </c>
      <c r="I17" s="3"/>
      <c r="J17" s="3"/>
      <c r="K17" s="3"/>
      <c r="L17" s="3"/>
      <c r="M17" s="3"/>
      <c r="N17" s="3"/>
      <c r="O17" s="3"/>
    </row>
    <row r="18" spans="1:15" x14ac:dyDescent="0.2">
      <c r="A18" s="18" t="s">
        <v>46</v>
      </c>
      <c r="B18" s="19" t="s">
        <v>85</v>
      </c>
      <c r="J18" s="3"/>
      <c r="K18" s="3"/>
      <c r="L18" s="3"/>
      <c r="M18" s="3"/>
      <c r="N18" s="3"/>
      <c r="O18" s="3"/>
    </row>
    <row r="19" spans="1:15" ht="13.5" thickBot="1" x14ac:dyDescent="0.25">
      <c r="A19" s="20" t="s">
        <v>41</v>
      </c>
      <c r="B19" s="21" t="s">
        <v>60</v>
      </c>
      <c r="I19" s="3"/>
      <c r="J19" s="3"/>
      <c r="K19" s="3"/>
      <c r="L19" s="3"/>
      <c r="M19" s="3"/>
      <c r="N19" s="3"/>
      <c r="O19" s="3"/>
    </row>
    <row r="20" spans="1:15" s="3" customFormat="1" x14ac:dyDescent="0.2">
      <c r="A20" s="16" t="s">
        <v>261</v>
      </c>
      <c r="B20" s="17" t="s">
        <v>75</v>
      </c>
      <c r="E20" s="1"/>
    </row>
    <row r="21" spans="1:15" x14ac:dyDescent="0.2">
      <c r="A21" s="16" t="s">
        <v>25</v>
      </c>
      <c r="B21" s="17" t="s">
        <v>63</v>
      </c>
      <c r="H21" s="3"/>
      <c r="I21" s="3"/>
      <c r="J21" s="3"/>
      <c r="K21" s="3"/>
      <c r="L21" s="3"/>
      <c r="M21" s="3"/>
      <c r="N21" s="3"/>
      <c r="O21" s="3"/>
    </row>
    <row r="22" spans="1:15" x14ac:dyDescent="0.2">
      <c r="A22" s="16" t="s">
        <v>17</v>
      </c>
      <c r="B22" s="17" t="s">
        <v>64</v>
      </c>
      <c r="H22" s="3"/>
      <c r="I22" s="3"/>
      <c r="J22" s="3"/>
      <c r="K22" s="3"/>
      <c r="L22" s="3"/>
      <c r="M22" s="3"/>
      <c r="N22" s="3"/>
      <c r="O22" s="3"/>
    </row>
    <row r="23" spans="1:15" x14ac:dyDescent="0.2">
      <c r="A23" s="16" t="s">
        <v>26</v>
      </c>
      <c r="B23" s="17" t="s">
        <v>65</v>
      </c>
      <c r="H23" s="3"/>
      <c r="I23" s="3"/>
      <c r="J23" s="3"/>
      <c r="K23" s="3"/>
      <c r="L23" s="3"/>
      <c r="M23" s="3"/>
      <c r="N23" s="3"/>
      <c r="O23" s="3"/>
    </row>
    <row r="24" spans="1:15" x14ac:dyDescent="0.2">
      <c r="A24" s="16" t="s">
        <v>43</v>
      </c>
      <c r="B24" s="17" t="s">
        <v>74</v>
      </c>
      <c r="H24" s="3"/>
      <c r="I24" s="3"/>
      <c r="J24" s="3"/>
      <c r="K24" s="3"/>
      <c r="L24" s="3"/>
      <c r="M24" s="3"/>
      <c r="N24" s="3"/>
      <c r="O24" s="3"/>
    </row>
    <row r="25" spans="1:15" x14ac:dyDescent="0.2">
      <c r="A25" s="16" t="s">
        <v>27</v>
      </c>
      <c r="B25" s="17" t="s">
        <v>66</v>
      </c>
      <c r="H25" s="3"/>
      <c r="I25" s="3"/>
      <c r="J25" s="3"/>
      <c r="K25" s="3"/>
      <c r="L25" s="3"/>
      <c r="M25" s="3"/>
      <c r="N25" s="3"/>
      <c r="O25" s="3"/>
    </row>
    <row r="26" spans="1:15" s="3" customFormat="1" x14ac:dyDescent="0.2">
      <c r="A26" s="16" t="s">
        <v>28</v>
      </c>
      <c r="B26" s="17" t="s">
        <v>67</v>
      </c>
      <c r="E26" s="1"/>
    </row>
    <row r="27" spans="1:15" s="3" customFormat="1" x14ac:dyDescent="0.2">
      <c r="A27" s="16" t="s">
        <v>144</v>
      </c>
      <c r="B27" s="17" t="s">
        <v>68</v>
      </c>
      <c r="E27" s="1"/>
    </row>
    <row r="28" spans="1:15" s="3" customFormat="1" ht="13.5" thickBot="1" x14ac:dyDescent="0.25">
      <c r="A28" s="20" t="s">
        <v>29</v>
      </c>
      <c r="B28" s="21" t="s">
        <v>69</v>
      </c>
      <c r="E28" s="1"/>
    </row>
    <row r="29" spans="1:15" x14ac:dyDescent="0.2">
      <c r="A29" s="16" t="s">
        <v>142</v>
      </c>
      <c r="B29" s="17" t="s">
        <v>76</v>
      </c>
      <c r="H29" s="3"/>
      <c r="I29" s="3"/>
      <c r="J29" s="3"/>
      <c r="K29" s="3"/>
      <c r="L29" s="3"/>
      <c r="M29" s="3"/>
      <c r="N29" s="3"/>
      <c r="O29" s="3"/>
    </row>
    <row r="30" spans="1:15" x14ac:dyDescent="0.2">
      <c r="A30" s="16" t="s">
        <v>42</v>
      </c>
      <c r="B30" s="17" t="s">
        <v>70</v>
      </c>
      <c r="H30" s="3"/>
      <c r="I30" s="3"/>
      <c r="J30" s="3"/>
      <c r="K30" s="3"/>
      <c r="L30" s="3"/>
      <c r="M30" s="3"/>
      <c r="N30" s="3"/>
      <c r="O30" s="3"/>
    </row>
    <row r="31" spans="1:15" x14ac:dyDescent="0.2">
      <c r="A31" s="16" t="s">
        <v>30</v>
      </c>
      <c r="B31" s="17" t="s">
        <v>71</v>
      </c>
      <c r="H31" s="3"/>
      <c r="I31" s="3"/>
      <c r="J31" s="3"/>
      <c r="K31" s="3"/>
      <c r="L31" s="3"/>
      <c r="M31" s="3"/>
      <c r="N31" s="3"/>
      <c r="O31" s="3"/>
    </row>
    <row r="32" spans="1:15" x14ac:dyDescent="0.2">
      <c r="A32" s="16" t="s">
        <v>31</v>
      </c>
      <c r="B32" s="17" t="s">
        <v>72</v>
      </c>
      <c r="H32" s="3"/>
      <c r="I32" s="3"/>
      <c r="J32" s="3"/>
      <c r="K32" s="3"/>
      <c r="L32" s="3"/>
      <c r="M32" s="3"/>
      <c r="N32" s="3"/>
      <c r="O32" s="3"/>
    </row>
    <row r="33" spans="1:15" x14ac:dyDescent="0.2">
      <c r="A33" s="16" t="s">
        <v>15</v>
      </c>
      <c r="B33" s="17" t="s">
        <v>73</v>
      </c>
      <c r="H33" s="3"/>
      <c r="I33" s="3"/>
      <c r="J33" s="3"/>
      <c r="K33" s="3"/>
      <c r="L33" s="3"/>
      <c r="M33" s="3"/>
      <c r="N33" s="3"/>
      <c r="O33" s="3"/>
    </row>
    <row r="34" spans="1:15" x14ac:dyDescent="0.2">
      <c r="A34" s="16" t="s">
        <v>141</v>
      </c>
      <c r="B34" s="17" t="s">
        <v>76</v>
      </c>
      <c r="H34" s="3"/>
      <c r="I34" s="3"/>
      <c r="J34" s="3"/>
      <c r="K34" s="3"/>
      <c r="L34" s="3"/>
      <c r="M34" s="3"/>
      <c r="N34" s="3"/>
      <c r="O34" s="3"/>
    </row>
    <row r="35" spans="1:15" x14ac:dyDescent="0.2">
      <c r="A35" s="16" t="s">
        <v>39</v>
      </c>
      <c r="B35" s="17" t="s">
        <v>89</v>
      </c>
      <c r="H35" s="3"/>
      <c r="I35" s="3"/>
      <c r="J35" s="3"/>
      <c r="K35" s="3"/>
      <c r="L35" s="3"/>
      <c r="M35" s="3"/>
      <c r="N35" s="3"/>
      <c r="O35" s="3"/>
    </row>
    <row r="36" spans="1:15" x14ac:dyDescent="0.2">
      <c r="A36" s="16" t="s">
        <v>50</v>
      </c>
      <c r="B36" s="17" t="s">
        <v>90</v>
      </c>
      <c r="H36" s="3"/>
      <c r="I36" s="3"/>
      <c r="J36" s="3"/>
      <c r="K36" s="3"/>
      <c r="L36" s="3"/>
      <c r="M36" s="3"/>
      <c r="N36" s="3"/>
      <c r="O36" s="3"/>
    </row>
    <row r="37" spans="1:15" x14ac:dyDescent="0.2">
      <c r="A37" s="16" t="s">
        <v>45</v>
      </c>
      <c r="B37" s="17" t="s">
        <v>83</v>
      </c>
      <c r="H37" s="3"/>
      <c r="I37" s="3"/>
      <c r="J37" s="3"/>
      <c r="K37" s="3"/>
      <c r="L37" s="3"/>
      <c r="M37" s="3"/>
      <c r="N37" s="3"/>
      <c r="O37" s="3"/>
    </row>
    <row r="38" spans="1:15" ht="13.5" thickBot="1" x14ac:dyDescent="0.25">
      <c r="A38" s="20" t="s">
        <v>44</v>
      </c>
      <c r="B38" s="21" t="s">
        <v>77</v>
      </c>
      <c r="D38" s="3"/>
      <c r="E38" s="3"/>
      <c r="F38" s="3"/>
      <c r="H38" s="3"/>
      <c r="I38" s="3"/>
      <c r="J38" s="3"/>
      <c r="K38" s="3"/>
      <c r="L38" s="3"/>
      <c r="M38" s="3"/>
      <c r="N38" s="3"/>
      <c r="O38" s="3"/>
    </row>
    <row r="39" spans="1:15" x14ac:dyDescent="0.2">
      <c r="A39" s="16" t="s">
        <v>32</v>
      </c>
      <c r="B39" s="17" t="s">
        <v>78</v>
      </c>
      <c r="D39" s="3"/>
      <c r="E39" s="3"/>
      <c r="F39" s="3"/>
      <c r="H39" s="3"/>
      <c r="I39" s="3"/>
      <c r="J39" s="3"/>
      <c r="K39" s="3"/>
      <c r="L39" s="3"/>
      <c r="M39" s="3"/>
      <c r="N39" s="3"/>
      <c r="O39" s="3"/>
    </row>
    <row r="40" spans="1:15" s="3" customFormat="1" ht="13.5" thickBot="1" x14ac:dyDescent="0.25">
      <c r="A40" s="20" t="s">
        <v>33</v>
      </c>
      <c r="B40" s="21" t="s">
        <v>79</v>
      </c>
    </row>
    <row r="41" spans="1:15" x14ac:dyDescent="0.2">
      <c r="A41" s="16" t="s">
        <v>34</v>
      </c>
      <c r="B41" s="17" t="s">
        <v>80</v>
      </c>
      <c r="D41" s="3"/>
      <c r="E41" s="3"/>
      <c r="F41" s="3"/>
      <c r="I41" s="3"/>
      <c r="J41" s="3"/>
      <c r="K41" s="3"/>
      <c r="L41" s="3"/>
      <c r="M41" s="3"/>
      <c r="N41" s="3"/>
      <c r="O41" s="3"/>
    </row>
    <row r="42" spans="1:15" x14ac:dyDescent="0.2">
      <c r="A42" s="16" t="s">
        <v>35</v>
      </c>
      <c r="B42" s="17" t="s">
        <v>81</v>
      </c>
      <c r="D42" s="3"/>
      <c r="E42" s="3"/>
      <c r="F42" s="3"/>
      <c r="I42" s="3"/>
      <c r="J42" s="3"/>
      <c r="K42" s="3"/>
      <c r="L42" s="3"/>
      <c r="M42" s="3"/>
      <c r="N42" s="3"/>
      <c r="O42" s="3"/>
    </row>
    <row r="43" spans="1:15" ht="13.5" thickBot="1" x14ac:dyDescent="0.25">
      <c r="A43" s="20" t="s">
        <v>36</v>
      </c>
      <c r="B43" s="21" t="s">
        <v>84</v>
      </c>
      <c r="D43" s="3"/>
      <c r="E43" s="3"/>
      <c r="F43" s="3"/>
      <c r="I43" s="3"/>
      <c r="J43" s="3"/>
      <c r="K43" s="3"/>
      <c r="L43" s="3"/>
      <c r="M43" s="3"/>
      <c r="N43" s="3"/>
      <c r="O43" s="3"/>
    </row>
    <row r="44" spans="1:15" ht="13.5" thickBot="1" x14ac:dyDescent="0.25">
      <c r="A44" s="24" t="s">
        <v>37</v>
      </c>
      <c r="B44" s="22" t="s">
        <v>86</v>
      </c>
      <c r="D44" s="3"/>
      <c r="E44" s="3"/>
      <c r="F44" s="3"/>
      <c r="I44" s="3"/>
      <c r="J44" s="3"/>
      <c r="K44" s="3"/>
      <c r="L44" s="3"/>
      <c r="M44" s="3"/>
      <c r="N44" s="3"/>
      <c r="O44" s="3"/>
    </row>
    <row r="45" spans="1:15" ht="13.5" thickBot="1" x14ac:dyDescent="0.25">
      <c r="A45" s="25" t="s">
        <v>130</v>
      </c>
      <c r="B45" s="22" t="s">
        <v>75</v>
      </c>
      <c r="D45" s="3"/>
      <c r="E45" s="3"/>
      <c r="F45" s="3"/>
      <c r="I45" s="3"/>
      <c r="J45" s="3"/>
      <c r="K45" s="3"/>
      <c r="L45" s="3"/>
      <c r="M45" s="3"/>
      <c r="N45" s="3"/>
      <c r="O45" s="3"/>
    </row>
    <row r="46" spans="1:15" x14ac:dyDescent="0.2">
      <c r="A46" s="26" t="s">
        <v>210</v>
      </c>
      <c r="B46" s="17" t="s">
        <v>62</v>
      </c>
      <c r="D46" s="3"/>
      <c r="E46" s="3"/>
      <c r="F46" s="3"/>
      <c r="I46" s="3"/>
      <c r="J46" s="3"/>
      <c r="K46" s="3"/>
      <c r="L46" s="3"/>
      <c r="M46" s="3"/>
      <c r="N46" s="3"/>
      <c r="O46" s="3"/>
    </row>
    <row r="47" spans="1:15" x14ac:dyDescent="0.2">
      <c r="A47" s="6" t="s">
        <v>313</v>
      </c>
      <c r="B47" s="26" t="s">
        <v>83</v>
      </c>
      <c r="C47" s="1"/>
      <c r="D47" s="3"/>
      <c r="E47" s="3"/>
      <c r="F47" s="3"/>
      <c r="I47" s="3"/>
      <c r="J47" s="3"/>
      <c r="K47" s="3"/>
      <c r="L47" s="3"/>
      <c r="M47" s="3"/>
      <c r="N47" s="3"/>
      <c r="O47" s="3"/>
    </row>
    <row r="48" spans="1:15" x14ac:dyDescent="0.2">
      <c r="C48" s="3"/>
      <c r="D48" s="3"/>
      <c r="E48" s="3"/>
      <c r="F48" s="3"/>
      <c r="I48" s="3"/>
      <c r="J48" s="3"/>
      <c r="K48" s="3"/>
      <c r="L48" s="3"/>
      <c r="M48" s="3"/>
      <c r="N48" s="3"/>
      <c r="O48" s="3"/>
    </row>
    <row r="49" spans="3:15" x14ac:dyDescent="0.2">
      <c r="C49" s="3"/>
      <c r="D49" s="3"/>
      <c r="E49" s="3"/>
      <c r="F49" s="3"/>
      <c r="I49" s="3"/>
      <c r="J49" s="3"/>
      <c r="K49" s="3"/>
      <c r="L49" s="3"/>
      <c r="M49" s="3"/>
      <c r="N49" s="3"/>
      <c r="O49" s="3"/>
    </row>
    <row r="50" spans="3:15" x14ac:dyDescent="0.2">
      <c r="C50" s="3"/>
      <c r="D50" s="3"/>
      <c r="E50" s="3"/>
      <c r="F50" s="3"/>
      <c r="I50" s="3"/>
      <c r="J50" s="3"/>
      <c r="K50" s="3"/>
      <c r="L50" s="3"/>
      <c r="M50" s="3"/>
      <c r="N50" s="3"/>
      <c r="O50" s="3"/>
    </row>
    <row r="51" spans="3:15" x14ac:dyDescent="0.2">
      <c r="C51" s="3"/>
      <c r="D51" s="3"/>
      <c r="E51" s="3"/>
      <c r="F51" s="3"/>
      <c r="I51" s="3"/>
      <c r="J51" s="3"/>
      <c r="K51" s="3"/>
      <c r="L51" s="3"/>
      <c r="M51" s="3"/>
      <c r="N51" s="3"/>
      <c r="O51" s="3"/>
    </row>
    <row r="52" spans="3:15" x14ac:dyDescent="0.2">
      <c r="C52" s="3"/>
      <c r="D52" s="3"/>
      <c r="E52" s="3"/>
      <c r="F52" s="3"/>
      <c r="I52" s="3"/>
      <c r="J52" s="3"/>
      <c r="K52" s="3"/>
      <c r="L52" s="3"/>
      <c r="M52" s="3"/>
      <c r="N52" s="3"/>
      <c r="O52" s="3"/>
    </row>
    <row r="53" spans="3:15" x14ac:dyDescent="0.2">
      <c r="C53" s="3"/>
      <c r="D53" s="3"/>
      <c r="E53" s="3"/>
      <c r="F53" s="3"/>
      <c r="I53" s="3"/>
      <c r="J53" s="3"/>
      <c r="K53" s="3"/>
      <c r="L53" s="3"/>
      <c r="M53" s="3"/>
      <c r="N53" s="3"/>
      <c r="O53" s="3"/>
    </row>
    <row r="54" spans="3:15" x14ac:dyDescent="0.2">
      <c r="C54" s="3"/>
      <c r="D54" s="3"/>
      <c r="E54" s="3"/>
      <c r="F54" s="3"/>
      <c r="I54" s="3"/>
      <c r="J54" s="3"/>
      <c r="K54" s="3"/>
      <c r="L54" s="3"/>
      <c r="M54" s="3"/>
      <c r="N54" s="3"/>
      <c r="O54" s="3"/>
    </row>
    <row r="55" spans="3:15" x14ac:dyDescent="0.2">
      <c r="C55" s="3"/>
      <c r="J55" s="3"/>
      <c r="K55" s="3"/>
      <c r="L55" s="3"/>
      <c r="M55" s="3"/>
      <c r="N55" s="3"/>
      <c r="O55" s="3"/>
    </row>
    <row r="56" spans="3:15" x14ac:dyDescent="0.2">
      <c r="C56" s="3"/>
      <c r="J56" s="3"/>
      <c r="K56" s="3"/>
      <c r="L56" s="3"/>
      <c r="M56" s="3"/>
      <c r="N56" s="3"/>
      <c r="O56" s="3"/>
    </row>
    <row r="57" spans="3:15" x14ac:dyDescent="0.2">
      <c r="C57" s="3"/>
      <c r="J57" s="3"/>
      <c r="K57" s="3"/>
      <c r="L57" s="3"/>
      <c r="M57" s="3"/>
      <c r="N57" s="3"/>
      <c r="O57" s="3"/>
    </row>
    <row r="58" spans="3:15" x14ac:dyDescent="0.2">
      <c r="C58" s="3"/>
      <c r="J58" s="3"/>
      <c r="K58" s="3"/>
      <c r="L58" s="3"/>
      <c r="M58" s="3"/>
      <c r="N58" s="3"/>
      <c r="O58" s="3"/>
    </row>
    <row r="59" spans="3:15" x14ac:dyDescent="0.2">
      <c r="C59" s="3"/>
      <c r="J59" s="3"/>
      <c r="K59" s="3"/>
      <c r="L59" s="3"/>
      <c r="M59" s="3"/>
      <c r="N59" s="3"/>
      <c r="O59" s="3"/>
    </row>
    <row r="60" spans="3:15" x14ac:dyDescent="0.2">
      <c r="C60" s="3"/>
      <c r="J60" s="3"/>
      <c r="K60" s="3"/>
      <c r="L60" s="3"/>
      <c r="M60" s="3"/>
      <c r="N60" s="3"/>
      <c r="O60" s="3"/>
    </row>
    <row r="61" spans="3:15" x14ac:dyDescent="0.2">
      <c r="C61" s="1"/>
      <c r="J61" s="3"/>
      <c r="K61" s="3"/>
      <c r="L61" s="3"/>
      <c r="M61" s="3"/>
      <c r="N61" s="3"/>
      <c r="O61" s="3"/>
    </row>
    <row r="62" spans="3:15" x14ac:dyDescent="0.2">
      <c r="C62" s="1"/>
      <c r="J62" s="3"/>
      <c r="K62" s="3"/>
      <c r="L62" s="3"/>
      <c r="M62" s="3"/>
      <c r="N62" s="3"/>
      <c r="O62" s="3"/>
    </row>
    <row r="63" spans="3:15" x14ac:dyDescent="0.2">
      <c r="C63" s="1"/>
      <c r="J63" s="3"/>
      <c r="K63" s="3"/>
      <c r="L63" s="3"/>
      <c r="M63" s="3"/>
      <c r="N63" s="3"/>
      <c r="O63" s="3"/>
    </row>
    <row r="64" spans="3:15" x14ac:dyDescent="0.2">
      <c r="J64" s="3"/>
      <c r="K64" s="3"/>
      <c r="L64" s="3"/>
      <c r="M64" s="3"/>
      <c r="N64" s="3"/>
      <c r="O64" s="3"/>
    </row>
    <row r="65" spans="4:15" x14ac:dyDescent="0.2">
      <c r="J65" s="3"/>
      <c r="K65" s="3"/>
      <c r="L65" s="3"/>
      <c r="M65" s="3"/>
      <c r="N65" s="3"/>
      <c r="O65" s="3"/>
    </row>
    <row r="66" spans="4:15" x14ac:dyDescent="0.2">
      <c r="J66" s="3"/>
      <c r="K66" s="3"/>
      <c r="L66" s="3"/>
      <c r="M66" s="3"/>
      <c r="N66" s="3"/>
      <c r="O66" s="3"/>
    </row>
    <row r="70" spans="4:15" x14ac:dyDescent="0.2">
      <c r="D70" s="3"/>
      <c r="E70" s="3"/>
      <c r="F70" s="3"/>
    </row>
    <row r="71" spans="4:15" x14ac:dyDescent="0.2">
      <c r="D71" s="3"/>
      <c r="E71" s="3"/>
      <c r="F71" s="3"/>
    </row>
    <row r="72" spans="4:15" x14ac:dyDescent="0.2">
      <c r="D72" s="3"/>
      <c r="E72" s="3"/>
      <c r="F72" s="3"/>
    </row>
    <row r="73" spans="4:15" x14ac:dyDescent="0.2">
      <c r="D73" s="3"/>
      <c r="E73" s="3"/>
      <c r="F73" s="3"/>
    </row>
    <row r="74" spans="4:15" x14ac:dyDescent="0.2">
      <c r="D74" s="3"/>
      <c r="E74" s="3"/>
      <c r="F74" s="3"/>
    </row>
    <row r="75" spans="4:15" x14ac:dyDescent="0.2">
      <c r="D75" s="3"/>
      <c r="E75" s="3"/>
      <c r="F75" s="3"/>
    </row>
    <row r="76" spans="4:15" x14ac:dyDescent="0.2">
      <c r="D76" s="3"/>
      <c r="E76" s="3"/>
      <c r="F76" s="3"/>
    </row>
    <row r="77" spans="4:15" x14ac:dyDescent="0.2">
      <c r="D77" s="3"/>
      <c r="E77" s="3"/>
      <c r="F77" s="3"/>
    </row>
    <row r="78" spans="4:15" x14ac:dyDescent="0.2">
      <c r="D78" s="3"/>
      <c r="E78" s="3"/>
      <c r="F78" s="3"/>
    </row>
    <row r="79" spans="4:15" x14ac:dyDescent="0.2">
      <c r="D79" s="3"/>
      <c r="E79" s="3"/>
      <c r="F79" s="3"/>
    </row>
    <row r="80" spans="4:15" x14ac:dyDescent="0.2">
      <c r="D80" s="3"/>
      <c r="E80" s="3"/>
      <c r="F80" s="3"/>
    </row>
    <row r="81" spans="4:6" x14ac:dyDescent="0.2">
      <c r="D81" s="3"/>
      <c r="E81" s="3"/>
      <c r="F81" s="3"/>
    </row>
    <row r="82" spans="4:6" x14ac:dyDescent="0.2">
      <c r="D82" s="3"/>
      <c r="E82" s="3"/>
      <c r="F82" s="3"/>
    </row>
    <row r="83" spans="4:6" x14ac:dyDescent="0.2">
      <c r="D83" s="3"/>
      <c r="E83" s="3"/>
      <c r="F83" s="3"/>
    </row>
    <row r="84" spans="4:6" x14ac:dyDescent="0.2">
      <c r="D84" s="3"/>
      <c r="E84" s="3"/>
      <c r="F84" s="3"/>
    </row>
  </sheetData>
  <conditionalFormatting sqref="A35">
    <cfRule type="duplicateValues" dxfId="103" priority="22"/>
  </conditionalFormatting>
  <conditionalFormatting sqref="P1:P1048576">
    <cfRule type="expression" priority="21">
      <formula>"$P3=Reference!$E$5"</formula>
    </cfRule>
  </conditionalFormatting>
  <conditionalFormatting sqref="A41:A43">
    <cfRule type="duplicateValues" dxfId="102" priority="16"/>
  </conditionalFormatting>
  <conditionalFormatting sqref="A11">
    <cfRule type="duplicateValues" dxfId="101" priority="11"/>
  </conditionalFormatting>
  <conditionalFormatting sqref="A65:A1048576 A36:A39 A63 A44:A45 A61 A1:A10 A12:A15 A17:A34">
    <cfRule type="duplicateValues" dxfId="100" priority="689"/>
  </conditionalFormatting>
  <conditionalFormatting sqref="A40">
    <cfRule type="duplicateValues" dxfId="99" priority="1037"/>
  </conditionalFormatting>
  <conditionalFormatting sqref="D17 E12:E16">
    <cfRule type="expression" priority="860">
      <formula>#REF!=$F$5</formula>
    </cfRule>
  </conditionalFormatting>
  <conditionalFormatting sqref="D7:E8 D2:I3 D6:I6 A2:B6 D4:D5 J2:S6 F4:I5 D10:E10 D9 C21:G23 E11 C18:D18 D11:D16 M21:S23">
    <cfRule type="expression" priority="882">
      <formula>#REF!=$F$5</formula>
    </cfRule>
  </conditionalFormatting>
  <conditionalFormatting sqref="C19:S20 A12:B12 E17:S18 F12:S12 C24:G27 M24:S27 F14:S16 G13:S13 H21:L37">
    <cfRule type="expression" priority="899">
      <formula>#REF!=$F$5</formula>
    </cfRule>
  </conditionalFormatting>
  <conditionalFormatting sqref="J8:S11 J7 M7:S7 A7:B11 A19:B19 C28:G28 M28:S28 F7:I11">
    <cfRule type="expression" priority="928">
      <formula>#REF!=$F$5</formula>
    </cfRule>
  </conditionalFormatting>
  <conditionalFormatting sqref="B44">
    <cfRule type="expression" priority="1011">
      <formula>#REF!=$F$5</formula>
    </cfRule>
  </conditionalFormatting>
  <conditionalFormatting sqref="A40:B40">
    <cfRule type="expression" priority="1013">
      <formula>#REF!=$F$5</formula>
    </cfRule>
  </conditionalFormatting>
  <conditionalFormatting sqref="A45:B45">
    <cfRule type="expression" priority="1014">
      <formula>#REF!=$F$5</formula>
    </cfRule>
  </conditionalFormatting>
  <conditionalFormatting sqref="A27:B27">
    <cfRule type="expression" priority="1015">
      <formula>#REF!=$F$5</formula>
    </cfRule>
  </conditionalFormatting>
  <conditionalFormatting sqref="A20:B26">
    <cfRule type="expression" priority="1016">
      <formula>#REF!=$F$5</formula>
    </cfRule>
  </conditionalFormatting>
  <conditionalFormatting sqref="C29:G31 M29:S31 A13:B15 H38:L39 A17:B18">
    <cfRule type="expression" priority="1025">
      <formula>#REF!=$F$5</formula>
    </cfRule>
  </conditionalFormatting>
  <conditionalFormatting sqref="A28:B28">
    <cfRule type="expression" priority="1029">
      <formula>#REF!=$F$5</formula>
    </cfRule>
  </conditionalFormatting>
  <conditionalFormatting sqref="C32:G33 M32:S33">
    <cfRule type="expression" priority="1030">
      <formula>#REF!=$F$5</formula>
    </cfRule>
  </conditionalFormatting>
  <conditionalFormatting sqref="F13">
    <cfRule type="expression" priority="7">
      <formula>#REF!=$F$5</formula>
    </cfRule>
  </conditionalFormatting>
  <conditionalFormatting sqref="E5">
    <cfRule type="expression" priority="5">
      <formula>#REF!=$F$5</formula>
    </cfRule>
  </conditionalFormatting>
  <conditionalFormatting sqref="E4">
    <cfRule type="expression" priority="4">
      <formula>#REF!=$F$5</formula>
    </cfRule>
  </conditionalFormatting>
  <conditionalFormatting sqref="B46">
    <cfRule type="expression" priority="3">
      <formula>#REF!=$F$5</formula>
    </cfRule>
  </conditionalFormatting>
  <conditionalFormatting sqref="B16">
    <cfRule type="expression" priority="2">
      <formula>#REF!=$F$5</formula>
    </cfRule>
  </conditionalFormatting>
  <conditionalFormatting sqref="A47">
    <cfRule type="expression" priority="1">
      <formula>#REF!=$F$5</formula>
    </cfRule>
  </conditionalFormatting>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expression" priority="1033" id="{1972CFBC-E181-4250-A9B8-22418DF8D911}">
            <xm:f>Programme!$Z2=$F$4</xm:f>
            <x14:dxf/>
          </x14:cfRule>
          <xm:sqref>R2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fitToPage="1"/>
  </sheetPr>
  <dimension ref="A1:P44"/>
  <sheetViews>
    <sheetView workbookViewId="0">
      <selection activeCell="G33" sqref="G33"/>
    </sheetView>
  </sheetViews>
  <sheetFormatPr defaultRowHeight="12.75" x14ac:dyDescent="0.2"/>
  <cols>
    <col min="1" max="1" width="21.5703125" bestFit="1" customWidth="1"/>
    <col min="2" max="2" width="28.42578125" bestFit="1" customWidth="1"/>
    <col min="3" max="3" width="22.42578125" bestFit="1" customWidth="1"/>
    <col min="7" max="7" width="18.42578125" bestFit="1" customWidth="1"/>
    <col min="8" max="8" width="18.42578125" style="7" customWidth="1"/>
    <col min="9" max="9" width="13.42578125" style="178" bestFit="1" customWidth="1"/>
    <col min="10" max="10" width="15.7109375" bestFit="1" customWidth="1"/>
    <col min="11" max="11" width="13.5703125" bestFit="1" customWidth="1"/>
    <col min="13" max="13" width="12.140625" bestFit="1" customWidth="1"/>
    <col min="14" max="14" width="13.28515625" bestFit="1" customWidth="1"/>
    <col min="15" max="15" width="9.42578125" customWidth="1"/>
    <col min="16" max="16" width="11.140625" bestFit="1" customWidth="1"/>
  </cols>
  <sheetData>
    <row r="1" spans="1:16" x14ac:dyDescent="0.2">
      <c r="A1" s="167" t="s">
        <v>381</v>
      </c>
      <c r="B1" s="168" t="s">
        <v>163</v>
      </c>
      <c r="C1" s="168" t="s">
        <v>382</v>
      </c>
      <c r="D1" s="168" t="s">
        <v>383</v>
      </c>
      <c r="E1" s="168" t="s">
        <v>384</v>
      </c>
      <c r="F1" s="168" t="s">
        <v>385</v>
      </c>
      <c r="G1" s="168" t="s">
        <v>386</v>
      </c>
      <c r="H1" s="196" t="s">
        <v>431</v>
      </c>
      <c r="I1" s="177" t="s">
        <v>366</v>
      </c>
      <c r="J1" s="169" t="s">
        <v>399</v>
      </c>
    </row>
    <row r="2" spans="1:16" x14ac:dyDescent="0.2">
      <c r="A2" s="115" t="s">
        <v>114</v>
      </c>
      <c r="B2" s="2" t="s">
        <v>387</v>
      </c>
      <c r="C2" s="2" t="s">
        <v>93</v>
      </c>
      <c r="D2" s="165">
        <v>0</v>
      </c>
      <c r="E2" s="114">
        <v>0.87</v>
      </c>
      <c r="F2" s="114">
        <f>E2-D2</f>
        <v>0.87</v>
      </c>
      <c r="G2" s="114">
        <f>F2</f>
        <v>0.87</v>
      </c>
      <c r="H2" s="197"/>
      <c r="I2" s="175"/>
      <c r="J2" s="149"/>
    </row>
    <row r="3" spans="1:16" x14ac:dyDescent="0.2">
      <c r="A3" s="115" t="s">
        <v>114</v>
      </c>
      <c r="B3" s="2" t="s">
        <v>387</v>
      </c>
      <c r="C3" s="2" t="s">
        <v>94</v>
      </c>
      <c r="D3" s="165">
        <v>0.05</v>
      </c>
      <c r="E3" s="114">
        <v>0.26</v>
      </c>
      <c r="F3" s="114">
        <f>E3-D3</f>
        <v>0.21000000000000002</v>
      </c>
      <c r="G3" s="114">
        <f>G2+F3</f>
        <v>1.08</v>
      </c>
      <c r="H3" s="197"/>
      <c r="I3" s="175"/>
      <c r="J3" s="149"/>
    </row>
    <row r="4" spans="1:16" x14ac:dyDescent="0.2">
      <c r="A4" s="115" t="s">
        <v>114</v>
      </c>
      <c r="B4" s="2" t="s">
        <v>114</v>
      </c>
      <c r="C4" s="2" t="s">
        <v>99</v>
      </c>
      <c r="D4" s="165">
        <v>13.38</v>
      </c>
      <c r="E4" s="165">
        <v>14.3</v>
      </c>
      <c r="F4" s="114">
        <f t="shared" ref="F4:F13" si="0">E4-D4</f>
        <v>0.91999999999999993</v>
      </c>
      <c r="G4" s="114">
        <f>G3+F4</f>
        <v>2</v>
      </c>
      <c r="H4" s="197" t="s">
        <v>430</v>
      </c>
      <c r="I4" s="175">
        <v>43562</v>
      </c>
      <c r="J4" s="149"/>
    </row>
    <row r="5" spans="1:16" x14ac:dyDescent="0.2">
      <c r="A5" s="115" t="s">
        <v>388</v>
      </c>
      <c r="B5" s="2" t="s">
        <v>26</v>
      </c>
      <c r="C5" s="2" t="s">
        <v>97</v>
      </c>
      <c r="D5" s="165">
        <v>8.0399999999999991</v>
      </c>
      <c r="E5" s="114">
        <v>8.2899999999999991</v>
      </c>
      <c r="F5" s="114">
        <f t="shared" si="0"/>
        <v>0.25</v>
      </c>
      <c r="G5" s="114">
        <f t="shared" ref="G5:G14" si="1">G4+F5</f>
        <v>2.25</v>
      </c>
      <c r="H5" s="197"/>
      <c r="I5" s="175">
        <v>43429</v>
      </c>
      <c r="J5" s="149"/>
      <c r="M5" s="499" t="s">
        <v>333</v>
      </c>
      <c r="N5" s="500"/>
      <c r="O5" s="186"/>
      <c r="P5" s="187"/>
    </row>
    <row r="6" spans="1:16" x14ac:dyDescent="0.2">
      <c r="A6" s="115" t="s">
        <v>388</v>
      </c>
      <c r="B6" s="2" t="s">
        <v>26</v>
      </c>
      <c r="C6" s="2" t="s">
        <v>97</v>
      </c>
      <c r="D6" s="165">
        <v>5.05</v>
      </c>
      <c r="E6" s="114">
        <v>5.78</v>
      </c>
      <c r="F6" s="114">
        <f t="shared" si="0"/>
        <v>0.73000000000000043</v>
      </c>
      <c r="G6" s="114">
        <f t="shared" si="1"/>
        <v>2.9800000000000004</v>
      </c>
      <c r="H6" s="197" t="s">
        <v>430</v>
      </c>
      <c r="I6" s="175">
        <v>43429</v>
      </c>
      <c r="J6" s="149"/>
      <c r="M6" s="188" t="s">
        <v>381</v>
      </c>
      <c r="N6" s="183" t="s">
        <v>397</v>
      </c>
      <c r="O6" s="184" t="s">
        <v>400</v>
      </c>
      <c r="P6" s="189" t="s">
        <v>413</v>
      </c>
    </row>
    <row r="7" spans="1:16" x14ac:dyDescent="0.2">
      <c r="A7" s="115" t="s">
        <v>389</v>
      </c>
      <c r="B7" s="2" t="s">
        <v>390</v>
      </c>
      <c r="C7" s="2" t="s">
        <v>94</v>
      </c>
      <c r="D7" s="165">
        <v>2.44</v>
      </c>
      <c r="E7" s="114">
        <v>2.75</v>
      </c>
      <c r="F7" s="114">
        <f t="shared" si="0"/>
        <v>0.31000000000000005</v>
      </c>
      <c r="G7" s="114">
        <f t="shared" si="1"/>
        <v>3.2900000000000005</v>
      </c>
      <c r="H7" s="197"/>
      <c r="I7" s="175">
        <v>43394</v>
      </c>
      <c r="J7" s="149"/>
      <c r="M7" s="148" t="s">
        <v>114</v>
      </c>
      <c r="N7" s="185">
        <f t="shared" ref="N7:N13" si="2">SUMIF($A$2:$A$30,M7,$F$2:$F$30)</f>
        <v>2</v>
      </c>
      <c r="O7" s="185">
        <f>SUMIFS($F$2:$F$30,$A$2:$A$30,M7,$I$2:$I$30,"&gt;0")</f>
        <v>0.91999999999999993</v>
      </c>
      <c r="P7" s="127">
        <f>O7/N7</f>
        <v>0.45999999999999996</v>
      </c>
    </row>
    <row r="8" spans="1:16" x14ac:dyDescent="0.2">
      <c r="A8" s="115" t="s">
        <v>389</v>
      </c>
      <c r="B8" s="2" t="s">
        <v>390</v>
      </c>
      <c r="C8" s="2" t="s">
        <v>93</v>
      </c>
      <c r="D8" s="165">
        <v>2.4350000000000001</v>
      </c>
      <c r="E8" s="114">
        <v>2.7749999999999999</v>
      </c>
      <c r="F8" s="114">
        <f t="shared" si="0"/>
        <v>0.33999999999999986</v>
      </c>
      <c r="G8" s="114">
        <f t="shared" si="1"/>
        <v>3.6300000000000003</v>
      </c>
      <c r="H8" s="197" t="s">
        <v>430</v>
      </c>
      <c r="I8" s="175">
        <v>43394</v>
      </c>
      <c r="J8" s="149"/>
      <c r="M8" s="148" t="s">
        <v>388</v>
      </c>
      <c r="N8" s="185">
        <f t="shared" si="2"/>
        <v>0.98000000000000043</v>
      </c>
      <c r="O8" s="185">
        <f t="shared" ref="O8:O13" si="3">SUMIFS($F$2:$F$30,$A$2:$A$30,M8,$I$2:$I$30,"&gt;0")</f>
        <v>0.98000000000000043</v>
      </c>
      <c r="P8" s="127">
        <f t="shared" ref="P8:P14" si="4">O8/N8</f>
        <v>1</v>
      </c>
    </row>
    <row r="9" spans="1:16" s="52" customFormat="1" x14ac:dyDescent="0.2">
      <c r="A9" s="115" t="s">
        <v>389</v>
      </c>
      <c r="B9" s="2" t="s">
        <v>390</v>
      </c>
      <c r="C9" s="2" t="s">
        <v>93</v>
      </c>
      <c r="D9" s="165">
        <v>2.2999999999999998</v>
      </c>
      <c r="E9" s="114">
        <v>2.36</v>
      </c>
      <c r="F9" s="114">
        <f t="shared" si="0"/>
        <v>6.0000000000000053E-2</v>
      </c>
      <c r="G9" s="114">
        <f t="shared" si="1"/>
        <v>3.6900000000000004</v>
      </c>
      <c r="H9" s="197"/>
      <c r="I9" s="175">
        <v>43394</v>
      </c>
      <c r="J9" s="149"/>
      <c r="M9" s="148" t="s">
        <v>389</v>
      </c>
      <c r="N9" s="185">
        <f t="shared" si="2"/>
        <v>1.1599999999999993</v>
      </c>
      <c r="O9" s="185">
        <f t="shared" si="3"/>
        <v>0.71</v>
      </c>
      <c r="P9" s="127">
        <f t="shared" si="4"/>
        <v>0.61206896551724177</v>
      </c>
    </row>
    <row r="10" spans="1:16" x14ac:dyDescent="0.2">
      <c r="A10" s="115" t="s">
        <v>392</v>
      </c>
      <c r="B10" s="2" t="s">
        <v>388</v>
      </c>
      <c r="C10" s="2" t="s">
        <v>94</v>
      </c>
      <c r="D10" s="165">
        <v>6.45</v>
      </c>
      <c r="E10" s="114">
        <v>6.61</v>
      </c>
      <c r="F10" s="114">
        <f t="shared" si="0"/>
        <v>0.16000000000000014</v>
      </c>
      <c r="G10" s="114">
        <f t="shared" si="1"/>
        <v>3.8500000000000005</v>
      </c>
      <c r="H10" s="197" t="s">
        <v>432</v>
      </c>
      <c r="I10" s="175">
        <v>43506</v>
      </c>
      <c r="J10" s="149"/>
      <c r="M10" s="148" t="s">
        <v>392</v>
      </c>
      <c r="N10" s="185">
        <f t="shared" si="2"/>
        <v>1.0750000000000015</v>
      </c>
      <c r="O10" s="185">
        <f t="shared" si="3"/>
        <v>0.87500000000000033</v>
      </c>
      <c r="P10" s="127">
        <f t="shared" si="4"/>
        <v>0.81395348837209214</v>
      </c>
    </row>
    <row r="11" spans="1:16" x14ac:dyDescent="0.2">
      <c r="A11" s="115" t="s">
        <v>391</v>
      </c>
      <c r="B11" s="2" t="s">
        <v>391</v>
      </c>
      <c r="C11" s="2" t="s">
        <v>93</v>
      </c>
      <c r="D11" s="60">
        <v>3.77</v>
      </c>
      <c r="E11" s="60">
        <v>3.94</v>
      </c>
      <c r="F11" s="114">
        <f t="shared" si="0"/>
        <v>0.16999999999999993</v>
      </c>
      <c r="G11" s="114">
        <f t="shared" si="1"/>
        <v>4.0200000000000005</v>
      </c>
      <c r="H11" s="197" t="s">
        <v>432</v>
      </c>
      <c r="I11" s="175"/>
      <c r="J11" s="149"/>
      <c r="M11" s="148" t="s">
        <v>391</v>
      </c>
      <c r="N11" s="185">
        <f t="shared" si="2"/>
        <v>1.0300000000000002</v>
      </c>
      <c r="O11" s="185">
        <f t="shared" si="3"/>
        <v>0.54999999999999982</v>
      </c>
      <c r="P11" s="127">
        <f t="shared" si="4"/>
        <v>0.5339805825242715</v>
      </c>
    </row>
    <row r="12" spans="1:16" s="52" customFormat="1" x14ac:dyDescent="0.2">
      <c r="A12" s="115" t="s">
        <v>391</v>
      </c>
      <c r="B12" s="2" t="s">
        <v>391</v>
      </c>
      <c r="C12" s="2" t="s">
        <v>93</v>
      </c>
      <c r="D12" s="60">
        <v>2.76</v>
      </c>
      <c r="E12" s="60">
        <v>3</v>
      </c>
      <c r="F12" s="114">
        <f t="shared" si="0"/>
        <v>0.24000000000000021</v>
      </c>
      <c r="G12" s="114">
        <f t="shared" si="1"/>
        <v>4.2600000000000007</v>
      </c>
      <c r="H12" s="197"/>
      <c r="I12" s="175"/>
      <c r="J12" s="149"/>
      <c r="M12" s="148" t="s">
        <v>387</v>
      </c>
      <c r="N12" s="185">
        <f t="shared" si="2"/>
        <v>1.1500000000000004</v>
      </c>
      <c r="O12" s="185">
        <f t="shared" si="3"/>
        <v>0.48000000000000131</v>
      </c>
      <c r="P12" s="127">
        <f t="shared" si="4"/>
        <v>0.41739130434782712</v>
      </c>
    </row>
    <row r="13" spans="1:16" x14ac:dyDescent="0.2">
      <c r="A13" s="115" t="s">
        <v>391</v>
      </c>
      <c r="B13" s="2" t="s">
        <v>391</v>
      </c>
      <c r="C13" s="2" t="s">
        <v>94</v>
      </c>
      <c r="D13" s="60">
        <v>3.78</v>
      </c>
      <c r="E13" s="60">
        <v>3.85</v>
      </c>
      <c r="F13" s="114">
        <f t="shared" si="0"/>
        <v>7.0000000000000284E-2</v>
      </c>
      <c r="G13" s="114">
        <f t="shared" si="1"/>
        <v>4.330000000000001</v>
      </c>
      <c r="H13" s="197"/>
      <c r="I13" s="175"/>
      <c r="J13" s="149"/>
      <c r="K13" s="163"/>
      <c r="M13" s="190" t="s">
        <v>393</v>
      </c>
      <c r="N13" s="191">
        <f t="shared" si="2"/>
        <v>0.98500000000000121</v>
      </c>
      <c r="O13" s="191">
        <f t="shared" si="3"/>
        <v>0.63500000000000156</v>
      </c>
      <c r="P13" s="192">
        <f t="shared" si="4"/>
        <v>0.64467005076142214</v>
      </c>
    </row>
    <row r="14" spans="1:16" s="52" customFormat="1" ht="13.5" thickBot="1" x14ac:dyDescent="0.25">
      <c r="A14" s="115" t="s">
        <v>391</v>
      </c>
      <c r="B14" s="2" t="s">
        <v>391</v>
      </c>
      <c r="C14" s="2" t="s">
        <v>93</v>
      </c>
      <c r="D14" s="60">
        <v>4.3</v>
      </c>
      <c r="E14" s="60">
        <v>4.8499999999999996</v>
      </c>
      <c r="F14" s="114">
        <f>E14-D14</f>
        <v>0.54999999999999982</v>
      </c>
      <c r="G14" s="114">
        <f t="shared" si="1"/>
        <v>4.8800000000000008</v>
      </c>
      <c r="H14" s="197" t="s">
        <v>430</v>
      </c>
      <c r="I14" s="175">
        <v>43380</v>
      </c>
      <c r="J14" s="149"/>
      <c r="M14" s="117" t="s">
        <v>414</v>
      </c>
      <c r="N14" s="193">
        <f>SUM(N7:N13)</f>
        <v>8.3800000000000026</v>
      </c>
      <c r="O14" s="194">
        <f>SUM(O7:O13)</f>
        <v>5.150000000000003</v>
      </c>
      <c r="P14" s="195">
        <f t="shared" si="4"/>
        <v>0.61455847255369944</v>
      </c>
    </row>
    <row r="15" spans="1:16" s="52" customFormat="1" x14ac:dyDescent="0.2">
      <c r="A15" s="115" t="s">
        <v>392</v>
      </c>
      <c r="B15" s="2" t="s">
        <v>164</v>
      </c>
      <c r="C15" s="2" t="s">
        <v>96</v>
      </c>
      <c r="D15" s="60">
        <v>6.46</v>
      </c>
      <c r="E15" s="60">
        <v>6.7</v>
      </c>
      <c r="F15" s="114">
        <f t="shared" ref="F15:F23" si="5">E15-D15</f>
        <v>0.24000000000000021</v>
      </c>
      <c r="G15" s="114">
        <f t="shared" ref="G15:G23" si="6">G14+F15</f>
        <v>5.120000000000001</v>
      </c>
      <c r="H15" s="197"/>
      <c r="I15" s="175">
        <v>43303</v>
      </c>
      <c r="J15" s="149"/>
    </row>
    <row r="16" spans="1:16" s="52" customFormat="1" x14ac:dyDescent="0.2">
      <c r="A16" s="115" t="s">
        <v>393</v>
      </c>
      <c r="B16" s="2" t="s">
        <v>395</v>
      </c>
      <c r="C16" s="2" t="s">
        <v>94</v>
      </c>
      <c r="D16" s="60">
        <v>24.69</v>
      </c>
      <c r="E16" s="60">
        <v>25.024999999999999</v>
      </c>
      <c r="F16" s="114">
        <f t="shared" si="5"/>
        <v>0.3349999999999973</v>
      </c>
      <c r="G16" s="114">
        <f t="shared" si="6"/>
        <v>5.4549999999999983</v>
      </c>
      <c r="H16" s="197" t="s">
        <v>432</v>
      </c>
      <c r="I16" s="175">
        <v>43541</v>
      </c>
      <c r="J16" s="149"/>
    </row>
    <row r="17" spans="1:10" s="52" customFormat="1" x14ac:dyDescent="0.2">
      <c r="A17" s="115" t="s">
        <v>393</v>
      </c>
      <c r="B17" s="2" t="s">
        <v>395</v>
      </c>
      <c r="C17" s="2" t="s">
        <v>94</v>
      </c>
      <c r="D17" s="60">
        <v>34.9</v>
      </c>
      <c r="E17" s="60">
        <v>35.200000000000003</v>
      </c>
      <c r="F17" s="114">
        <f t="shared" si="5"/>
        <v>0.30000000000000426</v>
      </c>
      <c r="G17" s="114">
        <f t="shared" si="6"/>
        <v>5.7550000000000026</v>
      </c>
      <c r="H17" s="197"/>
      <c r="I17" s="175">
        <v>43646</v>
      </c>
      <c r="J17" s="149"/>
    </row>
    <row r="18" spans="1:10" s="52" customFormat="1" x14ac:dyDescent="0.2">
      <c r="A18" s="115" t="s">
        <v>393</v>
      </c>
      <c r="B18" s="2" t="s">
        <v>395</v>
      </c>
      <c r="C18" s="2" t="s">
        <v>94</v>
      </c>
      <c r="D18" s="60">
        <v>5.15</v>
      </c>
      <c r="E18" s="60">
        <v>5.3</v>
      </c>
      <c r="F18" s="114">
        <f t="shared" si="5"/>
        <v>0.14999999999999947</v>
      </c>
      <c r="G18" s="114">
        <f t="shared" si="6"/>
        <v>5.905000000000002</v>
      </c>
      <c r="H18" s="197"/>
      <c r="I18" s="175"/>
      <c r="J18" s="149"/>
    </row>
    <row r="19" spans="1:10" s="52" customFormat="1" x14ac:dyDescent="0.2">
      <c r="A19" s="115" t="s">
        <v>393</v>
      </c>
      <c r="B19" s="2" t="s">
        <v>395</v>
      </c>
      <c r="C19" s="2" t="s">
        <v>93</v>
      </c>
      <c r="D19" s="60">
        <v>5.0999999999999996</v>
      </c>
      <c r="E19" s="60">
        <v>5.3</v>
      </c>
      <c r="F19" s="114">
        <f t="shared" si="5"/>
        <v>0.20000000000000018</v>
      </c>
      <c r="G19" s="114">
        <f t="shared" si="6"/>
        <v>6.1050000000000022</v>
      </c>
      <c r="H19" s="197"/>
      <c r="I19" s="175"/>
      <c r="J19" s="149"/>
    </row>
    <row r="20" spans="1:10" s="52" customFormat="1" x14ac:dyDescent="0.2">
      <c r="A20" s="115" t="s">
        <v>392</v>
      </c>
      <c r="B20" s="2" t="s">
        <v>164</v>
      </c>
      <c r="C20" s="2" t="s">
        <v>96</v>
      </c>
      <c r="D20" s="60">
        <v>7.9</v>
      </c>
      <c r="E20" s="60">
        <v>8.15</v>
      </c>
      <c r="F20" s="114">
        <f t="shared" si="5"/>
        <v>0.25</v>
      </c>
      <c r="G20" s="114">
        <f t="shared" si="6"/>
        <v>6.3550000000000022</v>
      </c>
      <c r="H20" s="197" t="s">
        <v>430</v>
      </c>
      <c r="I20" s="175">
        <v>43303</v>
      </c>
      <c r="J20" s="149"/>
    </row>
    <row r="21" spans="1:10" s="52" customFormat="1" x14ac:dyDescent="0.2">
      <c r="A21" s="115" t="s">
        <v>392</v>
      </c>
      <c r="B21" s="2" t="s">
        <v>164</v>
      </c>
      <c r="C21" s="2" t="s">
        <v>95</v>
      </c>
      <c r="D21" s="60">
        <v>8.6</v>
      </c>
      <c r="E21" s="60">
        <v>8.8000000000000007</v>
      </c>
      <c r="F21" s="114">
        <f t="shared" si="5"/>
        <v>0.20000000000000107</v>
      </c>
      <c r="G21" s="114">
        <f t="shared" si="6"/>
        <v>6.5550000000000033</v>
      </c>
      <c r="H21" s="197"/>
      <c r="I21" s="175"/>
      <c r="J21" s="149"/>
    </row>
    <row r="22" spans="1:10" s="52" customFormat="1" x14ac:dyDescent="0.2">
      <c r="A22" s="115" t="s">
        <v>392</v>
      </c>
      <c r="B22" s="2" t="s">
        <v>164</v>
      </c>
      <c r="C22" s="2" t="s">
        <v>95</v>
      </c>
      <c r="D22" s="101">
        <v>0.6</v>
      </c>
      <c r="E22" s="60">
        <v>0.82499999999999996</v>
      </c>
      <c r="F22" s="114">
        <f t="shared" si="5"/>
        <v>0.22499999999999998</v>
      </c>
      <c r="G22" s="114">
        <f t="shared" si="6"/>
        <v>6.7800000000000029</v>
      </c>
      <c r="H22" s="197"/>
      <c r="I22" s="175">
        <v>43506</v>
      </c>
      <c r="J22" s="149"/>
    </row>
    <row r="23" spans="1:10" s="52" customFormat="1" x14ac:dyDescent="0.2">
      <c r="A23" s="115" t="s">
        <v>389</v>
      </c>
      <c r="B23" s="2" t="s">
        <v>164</v>
      </c>
      <c r="C23" s="2" t="s">
        <v>94</v>
      </c>
      <c r="D23" s="101">
        <v>15</v>
      </c>
      <c r="E23" s="60">
        <v>15.45</v>
      </c>
      <c r="F23" s="114">
        <f t="shared" si="5"/>
        <v>0.44999999999999929</v>
      </c>
      <c r="G23" s="114">
        <f t="shared" si="6"/>
        <v>7.2300000000000022</v>
      </c>
      <c r="H23" s="197"/>
      <c r="I23" s="175"/>
      <c r="J23" s="149"/>
    </row>
    <row r="24" spans="1:10" s="52" customFormat="1" x14ac:dyDescent="0.2">
      <c r="A24" s="16" t="s">
        <v>387</v>
      </c>
      <c r="B24" s="166" t="s">
        <v>387</v>
      </c>
      <c r="C24" s="2" t="s">
        <v>93</v>
      </c>
      <c r="D24" s="60">
        <v>7.17</v>
      </c>
      <c r="E24" s="60">
        <v>7.27</v>
      </c>
      <c r="F24" s="114">
        <f t="shared" ref="F24:F30" si="7">E24-D24</f>
        <v>9.9999999999999645E-2</v>
      </c>
      <c r="G24" s="114">
        <f t="shared" ref="G24:G30" si="8">G23+F24</f>
        <v>7.3300000000000018</v>
      </c>
      <c r="H24" s="197"/>
      <c r="I24" s="175"/>
      <c r="J24" s="149"/>
    </row>
    <row r="25" spans="1:10" s="52" customFormat="1" x14ac:dyDescent="0.2">
      <c r="A25" s="16" t="s">
        <v>387</v>
      </c>
      <c r="B25" s="166" t="s">
        <v>387</v>
      </c>
      <c r="C25" s="2" t="s">
        <v>93</v>
      </c>
      <c r="D25" s="60">
        <v>8.5</v>
      </c>
      <c r="E25" s="60">
        <v>8.66</v>
      </c>
      <c r="F25" s="114">
        <f t="shared" si="7"/>
        <v>0.16000000000000014</v>
      </c>
      <c r="G25" s="114">
        <f t="shared" si="8"/>
        <v>7.490000000000002</v>
      </c>
      <c r="H25" s="199" t="s">
        <v>430</v>
      </c>
      <c r="I25" s="175">
        <v>43296</v>
      </c>
      <c r="J25" s="149"/>
    </row>
    <row r="26" spans="1:10" s="52" customFormat="1" x14ac:dyDescent="0.2">
      <c r="A26" s="16" t="s">
        <v>387</v>
      </c>
      <c r="B26" s="166" t="s">
        <v>387</v>
      </c>
      <c r="C26" s="2" t="s">
        <v>93</v>
      </c>
      <c r="D26" s="60">
        <v>9.35</v>
      </c>
      <c r="E26" s="60">
        <v>9.42</v>
      </c>
      <c r="F26" s="114">
        <f t="shared" si="7"/>
        <v>7.0000000000000284E-2</v>
      </c>
      <c r="G26" s="114">
        <f t="shared" si="8"/>
        <v>7.5600000000000023</v>
      </c>
      <c r="H26" s="197"/>
      <c r="I26" s="175">
        <v>43296</v>
      </c>
      <c r="J26" s="176"/>
    </row>
    <row r="27" spans="1:10" s="52" customFormat="1" x14ac:dyDescent="0.2">
      <c r="A27" s="16" t="s">
        <v>387</v>
      </c>
      <c r="B27" s="166" t="s">
        <v>387</v>
      </c>
      <c r="C27" s="2" t="s">
        <v>93</v>
      </c>
      <c r="D27" s="60">
        <v>4.03</v>
      </c>
      <c r="E27" s="60">
        <v>4.25</v>
      </c>
      <c r="F27" s="114">
        <f t="shared" si="7"/>
        <v>0.21999999999999975</v>
      </c>
      <c r="G27" s="114">
        <f t="shared" si="8"/>
        <v>7.780000000000002</v>
      </c>
      <c r="H27" s="197"/>
      <c r="I27" s="175"/>
      <c r="J27" s="149"/>
    </row>
    <row r="28" spans="1:10" s="52" customFormat="1" x14ac:dyDescent="0.2">
      <c r="A28" s="16" t="s">
        <v>387</v>
      </c>
      <c r="B28" s="166" t="s">
        <v>387</v>
      </c>
      <c r="C28" s="2" t="s">
        <v>94</v>
      </c>
      <c r="D28" s="60">
        <v>5.6</v>
      </c>
      <c r="E28" s="60">
        <v>5.78</v>
      </c>
      <c r="F28" s="114">
        <f t="shared" si="7"/>
        <v>0.1800000000000006</v>
      </c>
      <c r="G28" s="114">
        <f t="shared" si="8"/>
        <v>7.9600000000000026</v>
      </c>
      <c r="H28" s="197"/>
      <c r="I28" s="175">
        <v>43296</v>
      </c>
      <c r="J28" s="149"/>
    </row>
    <row r="29" spans="1:10" s="52" customFormat="1" x14ac:dyDescent="0.2">
      <c r="A29" s="16" t="s">
        <v>387</v>
      </c>
      <c r="B29" s="166" t="s">
        <v>387</v>
      </c>
      <c r="C29" s="2" t="s">
        <v>94</v>
      </c>
      <c r="D29" s="60">
        <v>9.42</v>
      </c>
      <c r="E29" s="60">
        <v>9.49</v>
      </c>
      <c r="F29" s="114">
        <f t="shared" si="7"/>
        <v>7.0000000000000284E-2</v>
      </c>
      <c r="G29" s="114">
        <f t="shared" si="8"/>
        <v>8.0300000000000029</v>
      </c>
      <c r="H29" s="197"/>
      <c r="I29" s="175">
        <v>43296</v>
      </c>
      <c r="J29" s="149"/>
    </row>
    <row r="30" spans="1:10" s="52" customFormat="1" ht="13.5" thickBot="1" x14ac:dyDescent="0.25">
      <c r="A30" s="20" t="s">
        <v>387</v>
      </c>
      <c r="B30" s="170" t="s">
        <v>387</v>
      </c>
      <c r="C30" s="171" t="s">
        <v>93</v>
      </c>
      <c r="D30" s="164">
        <v>5</v>
      </c>
      <c r="E30" s="164">
        <v>5.35</v>
      </c>
      <c r="F30" s="172">
        <f t="shared" si="7"/>
        <v>0.34999999999999964</v>
      </c>
      <c r="G30" s="172">
        <f t="shared" si="8"/>
        <v>8.3800000000000026</v>
      </c>
      <c r="H30" s="198"/>
      <c r="I30" s="179"/>
      <c r="J30" s="152"/>
    </row>
    <row r="31" spans="1:10" s="52" customFormat="1" x14ac:dyDescent="0.2">
      <c r="A31" s="26"/>
      <c r="B31" s="1"/>
      <c r="C31" s="1"/>
      <c r="D31" s="1"/>
      <c r="H31" s="7"/>
      <c r="I31" s="178"/>
    </row>
    <row r="32" spans="1:10" s="52" customFormat="1" x14ac:dyDescent="0.2">
      <c r="A32" s="26"/>
      <c r="B32" s="1"/>
      <c r="C32" s="1"/>
      <c r="D32" s="1"/>
      <c r="H32" s="7"/>
      <c r="I32" s="178"/>
    </row>
    <row r="33" spans="1:9" s="52" customFormat="1" x14ac:dyDescent="0.2">
      <c r="A33" s="26"/>
      <c r="B33" s="173" t="s">
        <v>402</v>
      </c>
      <c r="C33" s="174" t="s">
        <v>401</v>
      </c>
      <c r="D33" s="1"/>
      <c r="H33" s="7"/>
      <c r="I33" s="178"/>
    </row>
    <row r="34" spans="1:9" s="52" customFormat="1" x14ac:dyDescent="0.2">
      <c r="A34" s="1"/>
      <c r="D34" s="1"/>
      <c r="H34" s="7"/>
      <c r="I34" s="178"/>
    </row>
    <row r="35" spans="1:9" s="52" customFormat="1" x14ac:dyDescent="0.2">
      <c r="A35" s="1"/>
      <c r="B35" s="1"/>
      <c r="C35" s="1"/>
      <c r="D35" s="1"/>
      <c r="H35" s="7"/>
      <c r="I35" s="178"/>
    </row>
    <row r="36" spans="1:9" s="52" customFormat="1" x14ac:dyDescent="0.2">
      <c r="A36" s="1"/>
      <c r="B36" s="1"/>
      <c r="C36" s="1"/>
      <c r="D36" s="1"/>
      <c r="H36" s="7"/>
      <c r="I36" s="178"/>
    </row>
    <row r="37" spans="1:9" s="52" customFormat="1" x14ac:dyDescent="0.2">
      <c r="A37" s="1"/>
      <c r="B37" s="1"/>
      <c r="C37" s="1"/>
      <c r="D37" s="1"/>
      <c r="H37" s="7"/>
      <c r="I37" s="178"/>
    </row>
    <row r="38" spans="1:9" s="52" customFormat="1" x14ac:dyDescent="0.2">
      <c r="H38" s="7"/>
      <c r="I38" s="178"/>
    </row>
    <row r="39" spans="1:9" s="52" customFormat="1" x14ac:dyDescent="0.2">
      <c r="H39" s="7"/>
      <c r="I39" s="178"/>
    </row>
    <row r="40" spans="1:9" s="52" customFormat="1" x14ac:dyDescent="0.2">
      <c r="H40" s="7"/>
      <c r="I40" s="178"/>
    </row>
    <row r="41" spans="1:9" x14ac:dyDescent="0.2">
      <c r="A41" t="s">
        <v>198</v>
      </c>
    </row>
    <row r="42" spans="1:9" x14ac:dyDescent="0.2">
      <c r="A42" t="s">
        <v>341</v>
      </c>
      <c r="B42" t="s">
        <v>199</v>
      </c>
      <c r="C42" t="s">
        <v>200</v>
      </c>
      <c r="D42" t="s">
        <v>201</v>
      </c>
    </row>
    <row r="43" spans="1:9" x14ac:dyDescent="0.2">
      <c r="A43" t="s">
        <v>342</v>
      </c>
      <c r="B43" t="s">
        <v>202</v>
      </c>
      <c r="C43" t="s">
        <v>203</v>
      </c>
      <c r="D43" t="s">
        <v>204</v>
      </c>
    </row>
    <row r="44" spans="1:9" x14ac:dyDescent="0.2">
      <c r="A44" t="s">
        <v>343</v>
      </c>
      <c r="B44" t="s">
        <v>205</v>
      </c>
      <c r="C44" t="s">
        <v>200</v>
      </c>
      <c r="D44" t="s">
        <v>206</v>
      </c>
    </row>
  </sheetData>
  <autoFilter ref="A1:J30" xr:uid="{00000000-0009-0000-0000-000007000000}"/>
  <mergeCells count="1">
    <mergeCell ref="M5:N5"/>
  </mergeCells>
  <conditionalFormatting sqref="A2:J30">
    <cfRule type="expression" dxfId="98" priority="1">
      <formula>$J2&lt;&gt;""</formula>
    </cfRule>
    <cfRule type="expression" dxfId="97" priority="2">
      <formula>$I2&lt;&gt;""</formula>
    </cfRule>
  </conditionalFormatting>
  <pageMargins left="0.7" right="0.7" top="0.75" bottom="0.75" header="0.3" footer="0.3"/>
  <pageSetup paperSize="9" scale="86"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60" id="{62A77C40-F4E9-4880-A873-6DC8D23C04ED}">
            <xm:f>$W11=Reference!$F$2</xm:f>
            <x14:dxf>
              <font>
                <color theme="1"/>
              </font>
              <fill>
                <patternFill>
                  <bgColor rgb="FF92D050"/>
                </patternFill>
              </fill>
            </x14:dxf>
          </x14:cfRule>
          <x14:cfRule type="expression" priority="61" id="{73CB0191-72AF-45F7-98A0-52831FE123F8}">
            <xm:f>$W11=Reference!$F$5</xm:f>
            <x14:dxf>
              <font>
                <color auto="1"/>
              </font>
              <fill>
                <patternFill>
                  <bgColor theme="0" tint="-0.34998626667073579"/>
                </patternFill>
              </fill>
            </x14:dxf>
          </x14:cfRule>
          <x14:cfRule type="expression" priority="62" id="{69591EAD-3688-48FA-AE80-C4007D9AF053}">
            <xm:f>$W11=Reference!$F$4</xm:f>
            <x14:dxf>
              <font>
                <color theme="1"/>
              </font>
              <fill>
                <patternFill>
                  <bgColor theme="6" tint="0.59996337778862885"/>
                </patternFill>
              </fill>
            </x14:dxf>
          </x14:cfRule>
          <xm:sqref>D11:E11</xm:sqref>
        </x14:conditionalFormatting>
        <x14:conditionalFormatting xmlns:xm="http://schemas.microsoft.com/office/excel/2006/main">
          <x14:cfRule type="expression" priority="57" id="{59874D44-8A94-4FD5-9582-F06132931215}">
            <xm:f>$W12=Reference!$F$2</xm:f>
            <x14:dxf>
              <font>
                <color theme="1"/>
              </font>
              <fill>
                <patternFill>
                  <bgColor rgb="FF92D050"/>
                </patternFill>
              </fill>
            </x14:dxf>
          </x14:cfRule>
          <x14:cfRule type="expression" priority="58" id="{169CEFF2-E490-4561-93EE-D18A26DA916C}">
            <xm:f>$W12=Reference!$F$5</xm:f>
            <x14:dxf>
              <font>
                <color auto="1"/>
              </font>
              <fill>
                <patternFill>
                  <bgColor theme="0" tint="-0.34998626667073579"/>
                </patternFill>
              </fill>
            </x14:dxf>
          </x14:cfRule>
          <x14:cfRule type="expression" priority="59" id="{06AE3A6E-D93F-4AB3-9D88-746B9956A19D}">
            <xm:f>$W12=Reference!$F$4</xm:f>
            <x14:dxf>
              <font>
                <color theme="1"/>
              </font>
              <fill>
                <patternFill>
                  <bgColor theme="6" tint="0.59996337778862885"/>
                </patternFill>
              </fill>
            </x14:dxf>
          </x14:cfRule>
          <xm:sqref>D12:E12</xm:sqref>
        </x14:conditionalFormatting>
        <x14:conditionalFormatting xmlns:xm="http://schemas.microsoft.com/office/excel/2006/main">
          <x14:cfRule type="expression" priority="48" id="{008E44A5-CB3C-4BF3-98AB-B8BEECA05D24}">
            <xm:f>$W13=Reference!$F$2</xm:f>
            <x14:dxf>
              <font>
                <color theme="1"/>
              </font>
              <fill>
                <patternFill>
                  <bgColor rgb="FF92D050"/>
                </patternFill>
              </fill>
            </x14:dxf>
          </x14:cfRule>
          <x14:cfRule type="expression" priority="49" id="{FB2B8844-66E4-4C7E-8A54-4BF18FECD564}">
            <xm:f>$W13=Reference!$F$5</xm:f>
            <x14:dxf>
              <font>
                <color auto="1"/>
              </font>
              <fill>
                <patternFill>
                  <bgColor theme="0" tint="-0.34998626667073579"/>
                </patternFill>
              </fill>
            </x14:dxf>
          </x14:cfRule>
          <x14:cfRule type="expression" priority="50" id="{4AC6BAD8-8811-4172-A784-0FB63F3FC6EF}">
            <xm:f>$W13=Reference!$F$4</xm:f>
            <x14:dxf>
              <font>
                <color theme="1"/>
              </font>
              <fill>
                <patternFill>
                  <bgColor theme="6" tint="0.59996337778862885"/>
                </patternFill>
              </fill>
            </x14:dxf>
          </x14:cfRule>
          <xm:sqref>D13:E14</xm:sqref>
        </x14:conditionalFormatting>
        <x14:conditionalFormatting xmlns:xm="http://schemas.microsoft.com/office/excel/2006/main">
          <x14:cfRule type="expression" priority="45" id="{0564092B-AD31-4031-A35C-93FD3B277F01}">
            <xm:f>$W16=Reference!$F$2</xm:f>
            <x14:dxf>
              <font>
                <color theme="1"/>
              </font>
              <fill>
                <patternFill>
                  <bgColor rgb="FF92D050"/>
                </patternFill>
              </fill>
            </x14:dxf>
          </x14:cfRule>
          <x14:cfRule type="expression" priority="46" id="{13BF8268-3A9C-44BB-AC08-419AA183B5DC}">
            <xm:f>$W16=Reference!$F$5</xm:f>
            <x14:dxf>
              <font>
                <color auto="1"/>
              </font>
              <fill>
                <patternFill>
                  <bgColor theme="0" tint="-0.34998626667073579"/>
                </patternFill>
              </fill>
            </x14:dxf>
          </x14:cfRule>
          <x14:cfRule type="expression" priority="47" id="{098505CF-D304-41DC-9B0E-AAD8313BB1B9}">
            <xm:f>$W16=Reference!$F$4</xm:f>
            <x14:dxf>
              <font>
                <color theme="1"/>
              </font>
              <fill>
                <patternFill>
                  <bgColor theme="6" tint="0.59996337778862885"/>
                </patternFill>
              </fill>
            </x14:dxf>
          </x14:cfRule>
          <xm:sqref>D16:E16</xm:sqref>
        </x14:conditionalFormatting>
        <x14:conditionalFormatting xmlns:xm="http://schemas.microsoft.com/office/excel/2006/main">
          <x14:cfRule type="expression" priority="42" id="{4D003DE4-A554-4F62-819F-C4263F90ED81}">
            <xm:f>$W17=Reference!$F$2</xm:f>
            <x14:dxf>
              <font>
                <color theme="1"/>
              </font>
              <fill>
                <patternFill>
                  <bgColor rgb="FF92D050"/>
                </patternFill>
              </fill>
            </x14:dxf>
          </x14:cfRule>
          <x14:cfRule type="expression" priority="43" id="{8FB9ADD3-C1DC-41ED-A303-D646C1F6DBBA}">
            <xm:f>$W17=Reference!$F$5</xm:f>
            <x14:dxf>
              <font>
                <color auto="1"/>
              </font>
              <fill>
                <patternFill>
                  <bgColor theme="0" tint="-0.34998626667073579"/>
                </patternFill>
              </fill>
            </x14:dxf>
          </x14:cfRule>
          <x14:cfRule type="expression" priority="44" id="{17165177-9EB3-4EBD-9A4E-8D50F86548E5}">
            <xm:f>$W17=Reference!$F$4</xm:f>
            <x14:dxf>
              <font>
                <color theme="1"/>
              </font>
              <fill>
                <patternFill>
                  <bgColor theme="6" tint="0.59996337778862885"/>
                </patternFill>
              </fill>
            </x14:dxf>
          </x14:cfRule>
          <xm:sqref>D17:E17</xm:sqref>
        </x14:conditionalFormatting>
        <x14:conditionalFormatting xmlns:xm="http://schemas.microsoft.com/office/excel/2006/main">
          <x14:cfRule type="expression" priority="39" id="{FF29E392-F2DD-48C1-8756-0E44ECF614FC}">
            <xm:f>$W18=Reference!$F$2</xm:f>
            <x14:dxf>
              <font>
                <color theme="1"/>
              </font>
              <fill>
                <patternFill>
                  <bgColor rgb="FF92D050"/>
                </patternFill>
              </fill>
            </x14:dxf>
          </x14:cfRule>
          <x14:cfRule type="expression" priority="40" id="{8D2EFAED-BF66-487F-9E8F-DB2B226FA83E}">
            <xm:f>$W18=Reference!$F$5</xm:f>
            <x14:dxf>
              <font>
                <color auto="1"/>
              </font>
              <fill>
                <patternFill>
                  <bgColor theme="0" tint="-0.34998626667073579"/>
                </patternFill>
              </fill>
            </x14:dxf>
          </x14:cfRule>
          <x14:cfRule type="expression" priority="41" id="{D277D3EA-6B2B-4070-8EEF-A18144F08424}">
            <xm:f>$W18=Reference!$F$4</xm:f>
            <x14:dxf>
              <font>
                <color theme="1"/>
              </font>
              <fill>
                <patternFill>
                  <bgColor theme="6" tint="0.59996337778862885"/>
                </patternFill>
              </fill>
            </x14:dxf>
          </x14:cfRule>
          <xm:sqref>D18:E18</xm:sqref>
        </x14:conditionalFormatting>
        <x14:conditionalFormatting xmlns:xm="http://schemas.microsoft.com/office/excel/2006/main">
          <x14:cfRule type="expression" priority="36" id="{EFB99A99-420C-4A26-B7FC-796E6C6848AC}">
            <xm:f>$W19=Reference!$F$2</xm:f>
            <x14:dxf>
              <font>
                <color theme="1"/>
              </font>
              <fill>
                <patternFill>
                  <bgColor rgb="FF92D050"/>
                </patternFill>
              </fill>
            </x14:dxf>
          </x14:cfRule>
          <x14:cfRule type="expression" priority="37" id="{66AC10F8-0D8F-481E-AE4D-FB1B861D2977}">
            <xm:f>$W19=Reference!$F$5</xm:f>
            <x14:dxf>
              <font>
                <color auto="1"/>
              </font>
              <fill>
                <patternFill>
                  <bgColor theme="0" tint="-0.34998626667073579"/>
                </patternFill>
              </fill>
            </x14:dxf>
          </x14:cfRule>
          <x14:cfRule type="expression" priority="38" id="{9AF0CB42-85D0-43E3-A960-810A8D4130F0}">
            <xm:f>$W19=Reference!$F$4</xm:f>
            <x14:dxf>
              <font>
                <color theme="1"/>
              </font>
              <fill>
                <patternFill>
                  <bgColor theme="6" tint="0.59996337778862885"/>
                </patternFill>
              </fill>
            </x14:dxf>
          </x14:cfRule>
          <xm:sqref>D19:E19</xm:sqref>
        </x14:conditionalFormatting>
        <x14:conditionalFormatting xmlns:xm="http://schemas.microsoft.com/office/excel/2006/main">
          <x14:cfRule type="expression" priority="33" id="{CF89E246-3F46-4491-9F7D-785F1AB24BE2}">
            <xm:f>$W15=Reference!$F$2</xm:f>
            <x14:dxf>
              <font>
                <color theme="1"/>
              </font>
              <fill>
                <patternFill>
                  <bgColor rgb="FF92D050"/>
                </patternFill>
              </fill>
            </x14:dxf>
          </x14:cfRule>
          <x14:cfRule type="expression" priority="34" id="{541612D1-D065-485A-BD66-A162601B9B9A}">
            <xm:f>$W15=Reference!$F$5</xm:f>
            <x14:dxf>
              <font>
                <color auto="1"/>
              </font>
              <fill>
                <patternFill>
                  <bgColor theme="0" tint="-0.34998626667073579"/>
                </patternFill>
              </fill>
            </x14:dxf>
          </x14:cfRule>
          <x14:cfRule type="expression" priority="35" id="{C427864C-243E-4B26-A51F-18BCE3B1BFD8}">
            <xm:f>$W15=Reference!$F$4</xm:f>
            <x14:dxf>
              <font>
                <color theme="1"/>
              </font>
              <fill>
                <patternFill>
                  <bgColor theme="6" tint="0.59996337778862885"/>
                </patternFill>
              </fill>
            </x14:dxf>
          </x14:cfRule>
          <xm:sqref>D15:E15</xm:sqref>
        </x14:conditionalFormatting>
        <x14:conditionalFormatting xmlns:xm="http://schemas.microsoft.com/office/excel/2006/main">
          <x14:cfRule type="expression" priority="30" id="{6AF7B89B-CE4F-43E2-A98E-DE930F498AAC}">
            <xm:f>$W20=Reference!$F$2</xm:f>
            <x14:dxf>
              <font>
                <color theme="1"/>
              </font>
              <fill>
                <patternFill>
                  <bgColor rgb="FF92D050"/>
                </patternFill>
              </fill>
            </x14:dxf>
          </x14:cfRule>
          <x14:cfRule type="expression" priority="31" id="{B554A0B5-DF76-4E24-9F4A-BA5CB2B5665F}">
            <xm:f>$W20=Reference!$F$5</xm:f>
            <x14:dxf>
              <font>
                <color auto="1"/>
              </font>
              <fill>
                <patternFill>
                  <bgColor theme="0" tint="-0.34998626667073579"/>
                </patternFill>
              </fill>
            </x14:dxf>
          </x14:cfRule>
          <x14:cfRule type="expression" priority="32" id="{3389FE80-1646-404E-8AD9-22B0F9A0F93E}">
            <xm:f>$W20=Reference!$F$4</xm:f>
            <x14:dxf>
              <font>
                <color theme="1"/>
              </font>
              <fill>
                <patternFill>
                  <bgColor theme="6" tint="0.59996337778862885"/>
                </patternFill>
              </fill>
            </x14:dxf>
          </x14:cfRule>
          <xm:sqref>D20:E20</xm:sqref>
        </x14:conditionalFormatting>
        <x14:conditionalFormatting xmlns:xm="http://schemas.microsoft.com/office/excel/2006/main">
          <x14:cfRule type="expression" priority="27" id="{39853C6C-4716-4313-8509-3A71036DD96A}">
            <xm:f>$W21=Reference!$F$2</xm:f>
            <x14:dxf>
              <font>
                <color theme="1"/>
              </font>
              <fill>
                <patternFill>
                  <bgColor rgb="FF92D050"/>
                </patternFill>
              </fill>
            </x14:dxf>
          </x14:cfRule>
          <x14:cfRule type="expression" priority="28" id="{E136A580-5F25-4639-B8DB-25A70922AEFF}">
            <xm:f>$W21=Reference!$F$5</xm:f>
            <x14:dxf>
              <font>
                <color auto="1"/>
              </font>
              <fill>
                <patternFill>
                  <bgColor theme="0" tint="-0.34998626667073579"/>
                </patternFill>
              </fill>
            </x14:dxf>
          </x14:cfRule>
          <x14:cfRule type="expression" priority="29" id="{40CCFE22-6843-4208-A796-364179D08A13}">
            <xm:f>$W21=Reference!$F$4</xm:f>
            <x14:dxf>
              <font>
                <color theme="1"/>
              </font>
              <fill>
                <patternFill>
                  <bgColor theme="6" tint="0.59996337778862885"/>
                </patternFill>
              </fill>
            </x14:dxf>
          </x14:cfRule>
          <xm:sqref>D21:E21</xm:sqref>
        </x14:conditionalFormatting>
        <x14:conditionalFormatting xmlns:xm="http://schemas.microsoft.com/office/excel/2006/main">
          <x14:cfRule type="expression" priority="24" id="{7EADD555-2DE3-4CC7-9217-FD66622A5E72}">
            <xm:f>$W22=Reference!$F$2</xm:f>
            <x14:dxf>
              <font>
                <color theme="1"/>
              </font>
              <fill>
                <patternFill>
                  <bgColor rgb="FF92D050"/>
                </patternFill>
              </fill>
            </x14:dxf>
          </x14:cfRule>
          <x14:cfRule type="expression" priority="25" id="{0E34A5C8-1F6D-4876-A128-92A9C82B59AC}">
            <xm:f>$W22=Reference!$F$5</xm:f>
            <x14:dxf>
              <font>
                <color auto="1"/>
              </font>
              <fill>
                <patternFill>
                  <bgColor theme="0" tint="-0.34998626667073579"/>
                </patternFill>
              </fill>
            </x14:dxf>
          </x14:cfRule>
          <x14:cfRule type="expression" priority="26" id="{68558DBE-5E6E-4C80-B4AB-FD11EACD477A}">
            <xm:f>$W22=Reference!$F$4</xm:f>
            <x14:dxf>
              <font>
                <color theme="1"/>
              </font>
              <fill>
                <patternFill>
                  <bgColor theme="6" tint="0.59996337778862885"/>
                </patternFill>
              </fill>
            </x14:dxf>
          </x14:cfRule>
          <xm:sqref>D22:E22</xm:sqref>
        </x14:conditionalFormatting>
        <x14:conditionalFormatting xmlns:xm="http://schemas.microsoft.com/office/excel/2006/main">
          <x14:cfRule type="expression" priority="21" id="{D1EA21BC-3439-4251-B050-A15586372575}">
            <xm:f>$W23=Reference!$F$2</xm:f>
            <x14:dxf>
              <font>
                <color theme="1"/>
              </font>
              <fill>
                <patternFill>
                  <bgColor rgb="FF92D050"/>
                </patternFill>
              </fill>
            </x14:dxf>
          </x14:cfRule>
          <x14:cfRule type="expression" priority="22" id="{7289B5DE-2F9B-45F7-9015-8393968A7D21}">
            <xm:f>$W23=Reference!$F$5</xm:f>
            <x14:dxf>
              <font>
                <color auto="1"/>
              </font>
              <fill>
                <patternFill>
                  <bgColor theme="0" tint="-0.34998626667073579"/>
                </patternFill>
              </fill>
            </x14:dxf>
          </x14:cfRule>
          <x14:cfRule type="expression" priority="23" id="{7E039055-489C-409F-B6F3-839D8EB9C694}">
            <xm:f>$W23=Reference!$F$4</xm:f>
            <x14:dxf>
              <font>
                <color theme="1"/>
              </font>
              <fill>
                <patternFill>
                  <bgColor theme="6" tint="0.59996337778862885"/>
                </patternFill>
              </fill>
            </x14:dxf>
          </x14:cfRule>
          <xm:sqref>D23:E23</xm:sqref>
        </x14:conditionalFormatting>
        <x14:conditionalFormatting xmlns:xm="http://schemas.microsoft.com/office/excel/2006/main">
          <x14:cfRule type="expression" priority="18" id="{40EE7618-7B2C-4E59-BB8E-992A9879C721}">
            <xm:f>$W24=Reference!$F$2</xm:f>
            <x14:dxf>
              <font>
                <color theme="1"/>
              </font>
              <fill>
                <patternFill>
                  <bgColor rgb="FF92D050"/>
                </patternFill>
              </fill>
            </x14:dxf>
          </x14:cfRule>
          <x14:cfRule type="expression" priority="19" id="{F9AB32D2-4272-48D2-9DC1-FEB11EB7AD26}">
            <xm:f>$W24=Reference!$F$5</xm:f>
            <x14:dxf>
              <font>
                <color auto="1"/>
              </font>
              <fill>
                <patternFill>
                  <bgColor theme="0" tint="-0.34998626667073579"/>
                </patternFill>
              </fill>
            </x14:dxf>
          </x14:cfRule>
          <x14:cfRule type="expression" priority="20" id="{DB0F68C2-8326-4CCF-8132-4F4EBE4D0661}">
            <xm:f>$W24=Reference!$F$4</xm:f>
            <x14:dxf>
              <font>
                <color theme="1"/>
              </font>
              <fill>
                <patternFill>
                  <bgColor theme="6" tint="0.59996337778862885"/>
                </patternFill>
              </fill>
            </x14:dxf>
          </x14:cfRule>
          <xm:sqref>D24:E25</xm:sqref>
        </x14:conditionalFormatting>
        <x14:conditionalFormatting xmlns:xm="http://schemas.microsoft.com/office/excel/2006/main">
          <x14:cfRule type="expression" priority="15" id="{3C6B2E67-20C1-4696-A4C7-B10A9234BF3B}">
            <xm:f>$W26=Reference!$F$2</xm:f>
            <x14:dxf>
              <font>
                <color theme="1"/>
              </font>
              <fill>
                <patternFill>
                  <bgColor rgb="FF92D050"/>
                </patternFill>
              </fill>
            </x14:dxf>
          </x14:cfRule>
          <x14:cfRule type="expression" priority="16" id="{155FE403-1908-4A0B-9F36-1B55D1C78BB2}">
            <xm:f>$W26=Reference!$F$5</xm:f>
            <x14:dxf>
              <font>
                <color auto="1"/>
              </font>
              <fill>
                <patternFill>
                  <bgColor theme="0" tint="-0.34998626667073579"/>
                </patternFill>
              </fill>
            </x14:dxf>
          </x14:cfRule>
          <x14:cfRule type="expression" priority="17" id="{FB1796E3-DFBA-4F71-B2F4-553506636F19}">
            <xm:f>$W26=Reference!$F$4</xm:f>
            <x14:dxf>
              <font>
                <color theme="1"/>
              </font>
              <fill>
                <patternFill>
                  <bgColor theme="6" tint="0.59996337778862885"/>
                </patternFill>
              </fill>
            </x14:dxf>
          </x14:cfRule>
          <xm:sqref>D26:E26</xm:sqref>
        </x14:conditionalFormatting>
        <x14:conditionalFormatting xmlns:xm="http://schemas.microsoft.com/office/excel/2006/main">
          <x14:cfRule type="expression" priority="12" id="{C6BC0248-3333-47E4-956D-07AE685A38F6}">
            <xm:f>$W27=Reference!$F$2</xm:f>
            <x14:dxf>
              <font>
                <color theme="1"/>
              </font>
              <fill>
                <patternFill>
                  <bgColor rgb="FF92D050"/>
                </patternFill>
              </fill>
            </x14:dxf>
          </x14:cfRule>
          <x14:cfRule type="expression" priority="13" id="{CD248A07-E727-4F63-87C5-E36C2257A128}">
            <xm:f>$W27=Reference!$F$5</xm:f>
            <x14:dxf>
              <font>
                <color auto="1"/>
              </font>
              <fill>
                <patternFill>
                  <bgColor theme="0" tint="-0.34998626667073579"/>
                </patternFill>
              </fill>
            </x14:dxf>
          </x14:cfRule>
          <x14:cfRule type="expression" priority="14" id="{7A6828D1-2104-4E3F-8EB8-667022D552A1}">
            <xm:f>$W27=Reference!$F$4</xm:f>
            <x14:dxf>
              <font>
                <color theme="1"/>
              </font>
              <fill>
                <patternFill>
                  <bgColor theme="6" tint="0.59996337778862885"/>
                </patternFill>
              </fill>
            </x14:dxf>
          </x14:cfRule>
          <xm:sqref>D27:E27</xm:sqref>
        </x14:conditionalFormatting>
        <x14:conditionalFormatting xmlns:xm="http://schemas.microsoft.com/office/excel/2006/main">
          <x14:cfRule type="expression" priority="9" id="{F0FE1B36-59A6-4B3C-B764-4425560ACD37}">
            <xm:f>$W28=Reference!$F$2</xm:f>
            <x14:dxf>
              <font>
                <color theme="1"/>
              </font>
              <fill>
                <patternFill>
                  <bgColor rgb="FF92D050"/>
                </patternFill>
              </fill>
            </x14:dxf>
          </x14:cfRule>
          <x14:cfRule type="expression" priority="10" id="{E50CC90E-974D-4FD5-9350-914BF4338422}">
            <xm:f>$W28=Reference!$F$5</xm:f>
            <x14:dxf>
              <font>
                <color auto="1"/>
              </font>
              <fill>
                <patternFill>
                  <bgColor theme="0" tint="-0.34998626667073579"/>
                </patternFill>
              </fill>
            </x14:dxf>
          </x14:cfRule>
          <x14:cfRule type="expression" priority="11" id="{67E82A93-3BF8-40D1-BBC1-58FECED48BEE}">
            <xm:f>$W28=Reference!$F$4</xm:f>
            <x14:dxf>
              <font>
                <color theme="1"/>
              </font>
              <fill>
                <patternFill>
                  <bgColor theme="6" tint="0.59996337778862885"/>
                </patternFill>
              </fill>
            </x14:dxf>
          </x14:cfRule>
          <xm:sqref>D28:E28</xm:sqref>
        </x14:conditionalFormatting>
        <x14:conditionalFormatting xmlns:xm="http://schemas.microsoft.com/office/excel/2006/main">
          <x14:cfRule type="expression" priority="6" id="{8C7C389B-A78A-497B-81B4-6E2A3823DF58}">
            <xm:f>$W29=Reference!$F$2</xm:f>
            <x14:dxf>
              <font>
                <color theme="1"/>
              </font>
              <fill>
                <patternFill>
                  <bgColor rgb="FF92D050"/>
                </patternFill>
              </fill>
            </x14:dxf>
          </x14:cfRule>
          <x14:cfRule type="expression" priority="7" id="{C6363701-AE18-416F-837A-05E596EDFB93}">
            <xm:f>$W29=Reference!$F$5</xm:f>
            <x14:dxf>
              <font>
                <color auto="1"/>
              </font>
              <fill>
                <patternFill>
                  <bgColor theme="0" tint="-0.34998626667073579"/>
                </patternFill>
              </fill>
            </x14:dxf>
          </x14:cfRule>
          <x14:cfRule type="expression" priority="8" id="{91231729-544A-4D6B-9640-A19BECFF7EFA}">
            <xm:f>$W29=Reference!$F$4</xm:f>
            <x14:dxf>
              <font>
                <color theme="1"/>
              </font>
              <fill>
                <patternFill>
                  <bgColor theme="6" tint="0.59996337778862885"/>
                </patternFill>
              </fill>
            </x14:dxf>
          </x14:cfRule>
          <xm:sqref>D29:E29</xm:sqref>
        </x14:conditionalFormatting>
        <x14:conditionalFormatting xmlns:xm="http://schemas.microsoft.com/office/excel/2006/main">
          <x14:cfRule type="expression" priority="3" id="{4406F130-5EA4-464D-ABAC-E67558DF14F2}">
            <xm:f>$W30=Reference!$F$2</xm:f>
            <x14:dxf>
              <font>
                <color theme="1"/>
              </font>
              <fill>
                <patternFill>
                  <bgColor rgb="FF92D050"/>
                </patternFill>
              </fill>
            </x14:dxf>
          </x14:cfRule>
          <x14:cfRule type="expression" priority="4" id="{E5FDECAE-626E-44F8-9997-F001F64ACB34}">
            <xm:f>$W30=Reference!$F$5</xm:f>
            <x14:dxf>
              <font>
                <color auto="1"/>
              </font>
              <fill>
                <patternFill>
                  <bgColor theme="0" tint="-0.34998626667073579"/>
                </patternFill>
              </fill>
            </x14:dxf>
          </x14:cfRule>
          <x14:cfRule type="expression" priority="5" id="{BC3B43D9-FBC1-4DBF-B98F-675FECE069B0}">
            <xm:f>$W30=Reference!$F$4</xm:f>
            <x14:dxf>
              <font>
                <color theme="1"/>
              </font>
              <fill>
                <patternFill>
                  <bgColor theme="6" tint="0.59996337778862885"/>
                </patternFill>
              </fill>
            </x14:dxf>
          </x14:cfRule>
          <xm:sqref>D30:E30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M28"/>
  <sheetViews>
    <sheetView topLeftCell="B1" workbookViewId="0">
      <selection activeCell="M6" sqref="M6"/>
    </sheetView>
  </sheetViews>
  <sheetFormatPr defaultColWidth="9.140625" defaultRowHeight="12.75" x14ac:dyDescent="0.2"/>
  <cols>
    <col min="1" max="1" width="27.140625" style="261" bestFit="1" customWidth="1"/>
    <col min="2" max="2" width="35.5703125" style="261" bestFit="1" customWidth="1"/>
    <col min="3" max="3" width="6.85546875" style="261" customWidth="1"/>
    <col min="4" max="4" width="10.5703125" style="261" bestFit="1" customWidth="1"/>
    <col min="5" max="6" width="8.85546875" style="261" customWidth="1"/>
    <col min="7" max="7" width="13.85546875" style="261" customWidth="1"/>
    <col min="8" max="8" width="18.140625" style="261" customWidth="1"/>
    <col min="9" max="9" width="13.5703125" style="261" customWidth="1"/>
    <col min="10" max="10" width="15.42578125" style="261" customWidth="1"/>
    <col min="11" max="11" width="12.7109375" style="261" customWidth="1"/>
    <col min="12" max="12" width="32.5703125" style="261" customWidth="1"/>
    <col min="13" max="13" width="37" style="264" customWidth="1"/>
    <col min="14" max="16384" width="9.140625" style="261"/>
  </cols>
  <sheetData>
    <row r="1" spans="1:13" ht="26.25" thickBot="1" x14ac:dyDescent="0.25">
      <c r="A1" s="256" t="s">
        <v>163</v>
      </c>
      <c r="B1" s="257" t="s">
        <v>4</v>
      </c>
      <c r="C1" s="257" t="s">
        <v>92</v>
      </c>
      <c r="D1" s="257" t="s">
        <v>10</v>
      </c>
      <c r="E1" s="258" t="s">
        <v>0</v>
      </c>
      <c r="F1" s="258" t="s">
        <v>1</v>
      </c>
      <c r="G1" s="258" t="s">
        <v>119</v>
      </c>
      <c r="H1" s="257" t="s">
        <v>2</v>
      </c>
      <c r="I1" s="259" t="s">
        <v>149</v>
      </c>
      <c r="J1" s="259" t="s">
        <v>172</v>
      </c>
      <c r="K1" s="257" t="s">
        <v>137</v>
      </c>
      <c r="L1" s="260" t="s">
        <v>3</v>
      </c>
      <c r="M1" s="260" t="s">
        <v>8</v>
      </c>
    </row>
    <row r="2" spans="1:13" ht="25.5" x14ac:dyDescent="0.2">
      <c r="A2" s="261" t="s">
        <v>7</v>
      </c>
      <c r="B2" s="261" t="s">
        <v>31</v>
      </c>
      <c r="C2" s="261" t="str">
        <f>IF(Table1[[#This Row],[Line Section]]="","",VLOOKUP(Table1[[#This Row],[Line Section]],Reference!A2:B47,2,FALSE))</f>
        <v>C138</v>
      </c>
      <c r="D2" s="261" t="s">
        <v>93</v>
      </c>
      <c r="E2" s="262">
        <v>33.85</v>
      </c>
      <c r="F2" s="262">
        <v>34.200000000000003</v>
      </c>
      <c r="G2" s="262">
        <f>IF(Table1[[#This Row],[End
(km)]]="","",Table1[[#This Row],[End
(km)]]-Table1[[#This Row],[Start
(km)]])</f>
        <v>0.35000000000000142</v>
      </c>
      <c r="H2" s="261" t="s">
        <v>113</v>
      </c>
      <c r="I2" s="263">
        <v>43349</v>
      </c>
      <c r="J2" s="263"/>
      <c r="M2" s="264" t="s">
        <v>545</v>
      </c>
    </row>
    <row r="3" spans="1:13" ht="25.5" x14ac:dyDescent="0.2">
      <c r="A3" s="261" t="s">
        <v>7</v>
      </c>
      <c r="B3" s="261" t="s">
        <v>31</v>
      </c>
      <c r="C3" s="261" t="str">
        <f>IF(Table1[[#This Row],[Line Section]]="","",VLOOKUP(Table1[[#This Row],[Line Section]],Reference!A3:B48,2,FALSE))</f>
        <v>C138</v>
      </c>
      <c r="D3" s="261" t="s">
        <v>93</v>
      </c>
      <c r="E3" s="262">
        <v>35.5</v>
      </c>
      <c r="F3" s="262">
        <v>35.6</v>
      </c>
      <c r="G3" s="262">
        <f>IF(Table1[[#This Row],[End
(km)]]="","",Table1[[#This Row],[End
(km)]]-Table1[[#This Row],[Start
(km)]])</f>
        <v>0.10000000000000142</v>
      </c>
      <c r="H3" s="261" t="s">
        <v>113</v>
      </c>
      <c r="I3" s="263">
        <v>43349</v>
      </c>
      <c r="J3" s="263"/>
      <c r="M3" s="264" t="s">
        <v>545</v>
      </c>
    </row>
    <row r="4" spans="1:13" ht="25.5" x14ac:dyDescent="0.2">
      <c r="A4" s="261" t="s">
        <v>7</v>
      </c>
      <c r="B4" s="261" t="s">
        <v>31</v>
      </c>
      <c r="C4" s="261" t="str">
        <f>IF(Table1[[#This Row],[Line Section]]="","",VLOOKUP(Table1[[#This Row],[Line Section]],Reference!A4:B49,2,FALSE))</f>
        <v>C138</v>
      </c>
      <c r="D4" s="261" t="s">
        <v>94</v>
      </c>
      <c r="E4" s="262">
        <v>35.93</v>
      </c>
      <c r="F4" s="262">
        <v>36.090000000000003</v>
      </c>
      <c r="G4" s="262">
        <f>IF(Table1[[#This Row],[End
(km)]]="","",Table1[[#This Row],[End
(km)]]-Table1[[#This Row],[Start
(km)]])</f>
        <v>0.16000000000000369</v>
      </c>
      <c r="H4" s="261" t="s">
        <v>113</v>
      </c>
      <c r="I4" s="263">
        <v>43349</v>
      </c>
      <c r="J4" s="263"/>
      <c r="M4" s="264" t="s">
        <v>545</v>
      </c>
    </row>
    <row r="5" spans="1:13" x14ac:dyDescent="0.2">
      <c r="A5" s="261" t="s">
        <v>7</v>
      </c>
      <c r="B5" s="261" t="s">
        <v>31</v>
      </c>
      <c r="C5" s="261" t="str">
        <f>IF(Table1[[#This Row],[Line Section]]="","",VLOOKUP(Table1[[#This Row],[Line Section]],Reference!A5:B50,2,FALSE))</f>
        <v>C138</v>
      </c>
      <c r="D5" s="54" t="s">
        <v>94</v>
      </c>
      <c r="E5" s="60">
        <v>29.2</v>
      </c>
      <c r="F5" s="60">
        <v>29.6</v>
      </c>
      <c r="G5" s="262">
        <f>IF(Table1[[#This Row],[End
(km)]]="","",Table1[[#This Row],[End
(km)]]-Table1[[#This Row],[Start
(km)]])</f>
        <v>0.40000000000000213</v>
      </c>
      <c r="H5" s="261" t="s">
        <v>113</v>
      </c>
      <c r="I5" s="263">
        <v>43375</v>
      </c>
      <c r="J5" s="263"/>
      <c r="M5" s="264" t="s">
        <v>560</v>
      </c>
    </row>
    <row r="6" spans="1:13" x14ac:dyDescent="0.2">
      <c r="A6" s="261" t="s">
        <v>7</v>
      </c>
      <c r="B6" s="261" t="s">
        <v>31</v>
      </c>
      <c r="C6" s="261" t="str">
        <f>IF(Table1[[#This Row],[Line Section]]="","",VLOOKUP(Table1[[#This Row],[Line Section]],Reference!A6:B51,2,FALSE))</f>
        <v>C138</v>
      </c>
      <c r="D6" s="54" t="s">
        <v>94</v>
      </c>
      <c r="E6" s="262">
        <v>29.6</v>
      </c>
      <c r="F6" s="262">
        <v>30.56</v>
      </c>
      <c r="G6" s="262">
        <f>IF(Table1[[#This Row],[End
(km)]]="","",Table1[[#This Row],[End
(km)]]-Table1[[#This Row],[Start
(km)]])</f>
        <v>0.9599999999999973</v>
      </c>
      <c r="H6" s="261" t="s">
        <v>113</v>
      </c>
      <c r="I6" s="263">
        <v>43375</v>
      </c>
      <c r="J6" s="263"/>
      <c r="M6" s="264" t="s">
        <v>560</v>
      </c>
    </row>
    <row r="7" spans="1:13" x14ac:dyDescent="0.2">
      <c r="C7" s="261" t="str">
        <f>IF(Table1[[#This Row],[Line Section]]="","",VLOOKUP(Table1[[#This Row],[Line Section]],Reference!A7:B52,2,FALSE))</f>
        <v/>
      </c>
      <c r="E7" s="262"/>
      <c r="F7" s="262"/>
      <c r="G7" s="262" t="str">
        <f>IF(Table1[[#This Row],[End
(km)]]="","",Table1[[#This Row],[End
(km)]]-Table1[[#This Row],[Start
(km)]])</f>
        <v/>
      </c>
      <c r="I7" s="263"/>
      <c r="J7" s="263"/>
    </row>
    <row r="8" spans="1:13" x14ac:dyDescent="0.2">
      <c r="C8" s="261" t="str">
        <f>IF(Table1[[#This Row],[Line Section]]="","",VLOOKUP(Table1[[#This Row],[Line Section]],Reference!A8:B53,2,FALSE))</f>
        <v/>
      </c>
      <c r="E8" s="262"/>
      <c r="F8" s="262"/>
      <c r="G8" s="262" t="str">
        <f>IF(Table1[[#This Row],[End
(km)]]="","",Table1[[#This Row],[End
(km)]]-Table1[[#This Row],[Start
(km)]])</f>
        <v/>
      </c>
      <c r="I8" s="263"/>
      <c r="J8" s="263"/>
    </row>
    <row r="9" spans="1:13" x14ac:dyDescent="0.2">
      <c r="C9" s="261" t="str">
        <f>IF(Table1[[#This Row],[Line Section]]="","",VLOOKUP(Table1[[#This Row],[Line Section]],Reference!A9:B54,2,FALSE))</f>
        <v/>
      </c>
      <c r="E9" s="262"/>
      <c r="F9" s="262"/>
      <c r="G9" s="262" t="str">
        <f>IF(Table1[[#This Row],[End
(km)]]="","",Table1[[#This Row],[End
(km)]]-Table1[[#This Row],[Start
(km)]])</f>
        <v/>
      </c>
      <c r="I9" s="263"/>
      <c r="J9" s="263"/>
    </row>
    <row r="10" spans="1:13" x14ac:dyDescent="0.2">
      <c r="C10" s="261" t="str">
        <f>IF(Table1[[#This Row],[Line Section]]="","",VLOOKUP(Table1[[#This Row],[Line Section]],Reference!A10:B55,2,FALSE))</f>
        <v/>
      </c>
      <c r="E10" s="262"/>
      <c r="F10" s="262"/>
      <c r="G10" s="262" t="str">
        <f>IF(Table1[[#This Row],[End
(km)]]="","",Table1[[#This Row],[End
(km)]]-Table1[[#This Row],[Start
(km)]])</f>
        <v/>
      </c>
      <c r="I10" s="263"/>
      <c r="J10" s="263"/>
    </row>
    <row r="11" spans="1:13" x14ac:dyDescent="0.2">
      <c r="C11" s="261" t="str">
        <f>IF(Table1[[#This Row],[Line Section]]="","",VLOOKUP(Table1[[#This Row],[Line Section]],Reference!A11:B56,2,FALSE))</f>
        <v/>
      </c>
      <c r="E11" s="262"/>
      <c r="F11" s="262"/>
      <c r="G11" s="262" t="str">
        <f>IF(Table1[[#This Row],[End
(km)]]="","",Table1[[#This Row],[End
(km)]]-Table1[[#This Row],[Start
(km)]])</f>
        <v/>
      </c>
      <c r="I11" s="263"/>
      <c r="J11" s="263"/>
    </row>
    <row r="12" spans="1:13" x14ac:dyDescent="0.2">
      <c r="C12" s="261" t="str">
        <f>IF(Table1[[#This Row],[Line Section]]="","",VLOOKUP(Table1[[#This Row],[Line Section]],Reference!A12:B57,2,FALSE))</f>
        <v/>
      </c>
      <c r="E12" s="262"/>
      <c r="F12" s="262"/>
      <c r="G12" s="262" t="str">
        <f>IF(Table1[[#This Row],[End
(km)]]="","",Table1[[#This Row],[End
(km)]]-Table1[[#This Row],[Start
(km)]])</f>
        <v/>
      </c>
      <c r="I12" s="263"/>
      <c r="J12" s="263"/>
    </row>
    <row r="13" spans="1:13" x14ac:dyDescent="0.2">
      <c r="C13" s="261" t="str">
        <f>IF(Table1[[#This Row],[Line Section]]="","",VLOOKUP(Table1[[#This Row],[Line Section]],Reference!A13:B58,2,FALSE))</f>
        <v/>
      </c>
      <c r="E13" s="262"/>
      <c r="F13" s="262"/>
      <c r="G13" s="262" t="str">
        <f>IF(Table1[[#This Row],[End
(km)]]="","",Table1[[#This Row],[End
(km)]]-Table1[[#This Row],[Start
(km)]])</f>
        <v/>
      </c>
      <c r="I13" s="263"/>
      <c r="J13" s="263"/>
    </row>
    <row r="14" spans="1:13" x14ac:dyDescent="0.2">
      <c r="C14" s="261" t="str">
        <f>IF(Table1[[#This Row],[Line Section]]="","",VLOOKUP(Table1[[#This Row],[Line Section]],Reference!A14:B59,2,FALSE))</f>
        <v/>
      </c>
      <c r="E14" s="262"/>
      <c r="F14" s="262"/>
      <c r="G14" s="262" t="str">
        <f>IF(Table1[[#This Row],[End
(km)]]="","",Table1[[#This Row],[End
(km)]]-Table1[[#This Row],[Start
(km)]])</f>
        <v/>
      </c>
      <c r="I14" s="263"/>
      <c r="J14" s="263"/>
    </row>
    <row r="15" spans="1:13" x14ac:dyDescent="0.2">
      <c r="C15" s="261" t="str">
        <f>IF(Table1[[#This Row],[Line Section]]="","",VLOOKUP(Table1[[#This Row],[Line Section]],Reference!A15:B60,2,FALSE))</f>
        <v/>
      </c>
      <c r="E15" s="262"/>
      <c r="F15" s="262"/>
      <c r="G15" s="262" t="str">
        <f>IF(Table1[[#This Row],[End
(km)]]="","",Table1[[#This Row],[End
(km)]]-Table1[[#This Row],[Start
(km)]])</f>
        <v/>
      </c>
      <c r="I15" s="263"/>
      <c r="J15" s="263"/>
    </row>
    <row r="16" spans="1:13" x14ac:dyDescent="0.2">
      <c r="C16" s="261" t="str">
        <f>IF(Table1[[#This Row],[Line Section]]="","",VLOOKUP(Table1[[#This Row],[Line Section]],Reference!A16:B61,2,FALSE))</f>
        <v/>
      </c>
      <c r="E16" s="262"/>
      <c r="F16" s="262"/>
      <c r="G16" s="262" t="str">
        <f>IF(Table1[[#This Row],[End
(km)]]="","",Table1[[#This Row],[End
(km)]]-Table1[[#This Row],[Start
(km)]])</f>
        <v/>
      </c>
      <c r="I16" s="263"/>
      <c r="J16" s="263"/>
    </row>
    <row r="17" spans="3:10" x14ac:dyDescent="0.2">
      <c r="C17" s="261" t="str">
        <f>IF(Table1[[#This Row],[Line Section]]="","",VLOOKUP(Table1[[#This Row],[Line Section]],Reference!A17:B62,2,FALSE))</f>
        <v/>
      </c>
      <c r="E17" s="262"/>
      <c r="F17" s="262"/>
      <c r="G17" s="262" t="str">
        <f>IF(Table1[[#This Row],[End
(km)]]="","",Table1[[#This Row],[End
(km)]]-Table1[[#This Row],[Start
(km)]])</f>
        <v/>
      </c>
      <c r="I17" s="263"/>
      <c r="J17" s="263"/>
    </row>
    <row r="18" spans="3:10" x14ac:dyDescent="0.2">
      <c r="C18" s="261" t="str">
        <f>IF(Table1[[#This Row],[Line Section]]="","",VLOOKUP(Table1[[#This Row],[Line Section]],Reference!A18:B63,2,FALSE))</f>
        <v/>
      </c>
      <c r="E18" s="262"/>
      <c r="F18" s="262"/>
      <c r="G18" s="262" t="str">
        <f>IF(Table1[[#This Row],[End
(km)]]="","",Table1[[#This Row],[End
(km)]]-Table1[[#This Row],[Start
(km)]])</f>
        <v/>
      </c>
      <c r="I18" s="263"/>
      <c r="J18" s="263"/>
    </row>
    <row r="19" spans="3:10" x14ac:dyDescent="0.2">
      <c r="C19" s="261" t="str">
        <f>IF(Table1[[#This Row],[Line Section]]="","",VLOOKUP(Table1[[#This Row],[Line Section]],Reference!A19:B64,2,FALSE))</f>
        <v/>
      </c>
      <c r="E19" s="262"/>
      <c r="F19" s="262"/>
      <c r="G19" s="262" t="str">
        <f>IF(Table1[[#This Row],[End
(km)]]="","",Table1[[#This Row],[End
(km)]]-Table1[[#This Row],[Start
(km)]])</f>
        <v/>
      </c>
      <c r="I19" s="263"/>
      <c r="J19" s="263"/>
    </row>
    <row r="20" spans="3:10" x14ac:dyDescent="0.2">
      <c r="C20" s="261" t="str">
        <f>IF(Table1[[#This Row],[Line Section]]="","",VLOOKUP(Table1[[#This Row],[Line Section]],Reference!A20:B65,2,FALSE))</f>
        <v/>
      </c>
      <c r="E20" s="262"/>
      <c r="F20" s="262"/>
      <c r="G20" s="262" t="str">
        <f>IF(Table1[[#This Row],[End
(km)]]="","",Table1[[#This Row],[End
(km)]]-Table1[[#This Row],[Start
(km)]])</f>
        <v/>
      </c>
      <c r="I20" s="263"/>
      <c r="J20" s="263"/>
    </row>
    <row r="21" spans="3:10" x14ac:dyDescent="0.2">
      <c r="C21" s="261" t="str">
        <f>IF(Table1[[#This Row],[Line Section]]="","",VLOOKUP(Table1[[#This Row],[Line Section]],Reference!A21:B66,2,FALSE))</f>
        <v/>
      </c>
      <c r="E21" s="262"/>
      <c r="F21" s="262"/>
      <c r="G21" s="262" t="str">
        <f>IF(Table1[[#This Row],[End
(km)]]="","",Table1[[#This Row],[End
(km)]]-Table1[[#This Row],[Start
(km)]])</f>
        <v/>
      </c>
      <c r="I21" s="263"/>
      <c r="J21" s="263"/>
    </row>
    <row r="22" spans="3:10" x14ac:dyDescent="0.2">
      <c r="C22" s="261" t="str">
        <f>IF(Table1[[#This Row],[Line Section]]="","",VLOOKUP(Table1[[#This Row],[Line Section]],Reference!A22:B67,2,FALSE))</f>
        <v/>
      </c>
      <c r="E22" s="262"/>
      <c r="F22" s="262"/>
      <c r="G22" s="262" t="str">
        <f>IF(Table1[[#This Row],[End
(km)]]="","",Table1[[#This Row],[End
(km)]]-Table1[[#This Row],[Start
(km)]])</f>
        <v/>
      </c>
      <c r="I22" s="263"/>
      <c r="J22" s="263"/>
    </row>
    <row r="23" spans="3:10" x14ac:dyDescent="0.2">
      <c r="C23" s="261" t="str">
        <f>IF(Table1[[#This Row],[Line Section]]="","",VLOOKUP(Table1[[#This Row],[Line Section]],Reference!A23:B68,2,FALSE))</f>
        <v/>
      </c>
      <c r="E23" s="262"/>
      <c r="F23" s="262"/>
      <c r="G23" s="262" t="str">
        <f>IF(Table1[[#This Row],[End
(km)]]="","",Table1[[#This Row],[End
(km)]]-Table1[[#This Row],[Start
(km)]])</f>
        <v/>
      </c>
      <c r="I23" s="263"/>
      <c r="J23" s="263"/>
    </row>
    <row r="24" spans="3:10" x14ac:dyDescent="0.2">
      <c r="C24" s="261" t="str">
        <f>IF(Table1[[#This Row],[Line Section]]="","",VLOOKUP(Table1[[#This Row],[Line Section]],Reference!A24:B69,2,FALSE))</f>
        <v/>
      </c>
      <c r="E24" s="262"/>
      <c r="F24" s="262"/>
      <c r="G24" s="262" t="str">
        <f>IF(Table1[[#This Row],[End
(km)]]="","",Table1[[#This Row],[End
(km)]]-Table1[[#This Row],[Start
(km)]])</f>
        <v/>
      </c>
      <c r="I24" s="263"/>
      <c r="J24" s="263"/>
    </row>
    <row r="25" spans="3:10" x14ac:dyDescent="0.2">
      <c r="C25" s="261" t="str">
        <f>IF(Table1[[#This Row],[Line Section]]="","",VLOOKUP(Table1[[#This Row],[Line Section]],Reference!A25:B70,2,FALSE))</f>
        <v/>
      </c>
      <c r="E25" s="262"/>
      <c r="F25" s="262"/>
      <c r="G25" s="262" t="str">
        <f>IF(Table1[[#This Row],[End
(km)]]="","",Table1[[#This Row],[End
(km)]]-Table1[[#This Row],[Start
(km)]])</f>
        <v/>
      </c>
      <c r="I25" s="263"/>
      <c r="J25" s="263"/>
    </row>
    <row r="26" spans="3:10" x14ac:dyDescent="0.2">
      <c r="C26" s="261" t="str">
        <f>IF(Table1[[#This Row],[Line Section]]="","",VLOOKUP(Table1[[#This Row],[Line Section]],Reference!A26:B71,2,FALSE))</f>
        <v/>
      </c>
      <c r="E26" s="262"/>
      <c r="F26" s="262"/>
      <c r="G26" s="262" t="str">
        <f>IF(Table1[[#This Row],[End
(km)]]="","",Table1[[#This Row],[End
(km)]]-Table1[[#This Row],[Start
(km)]])</f>
        <v/>
      </c>
      <c r="I26" s="263"/>
      <c r="J26" s="263"/>
    </row>
    <row r="27" spans="3:10" x14ac:dyDescent="0.2">
      <c r="C27" s="261" t="str">
        <f>IF(Table1[[#This Row],[Line Section]]="","",VLOOKUP(Table1[[#This Row],[Line Section]],Reference!A27:B72,2,FALSE))</f>
        <v/>
      </c>
      <c r="E27" s="262"/>
      <c r="F27" s="262"/>
      <c r="G27" s="262" t="str">
        <f>IF(Table1[[#This Row],[End
(km)]]="","",Table1[[#This Row],[End
(km)]]-Table1[[#This Row],[Start
(km)]])</f>
        <v/>
      </c>
      <c r="I27" s="263"/>
      <c r="J27" s="263"/>
    </row>
    <row r="28" spans="3:10" x14ac:dyDescent="0.2">
      <c r="C28" s="261" t="str">
        <f>IF(Table1[[#This Row],[Line Section]]="","",VLOOKUP(Table1[[#This Row],[Line Section]],Reference!A28:B73,2,FALSE))</f>
        <v/>
      </c>
      <c r="E28" s="262"/>
      <c r="F28" s="262"/>
      <c r="G28" s="262" t="str">
        <f>IF(Table1[[#This Row],[End
(km)]]="","",Table1[[#This Row],[End
(km)]]-Table1[[#This Row],[Start
(km)]])</f>
        <v/>
      </c>
      <c r="I28" s="263"/>
      <c r="J28" s="263"/>
    </row>
  </sheetData>
  <pageMargins left="0.7" right="0.7" top="0.75" bottom="0.75" header="0.3" footer="0.3"/>
  <pageSetup paperSize="9"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7" operator="containsText" id="{1ED44312-BAFD-44DE-9EFC-86E30371AE7F}">
            <xm:f>NOT(ISERROR(SEARCH(Reference!$E$7,H2)))</xm:f>
            <xm:f>Reference!$E$7</xm:f>
            <x14:dxf>
              <font>
                <color theme="0"/>
              </font>
              <fill>
                <patternFill>
                  <bgColor rgb="FF9933FF"/>
                </patternFill>
              </fill>
            </x14:dxf>
          </x14:cfRule>
          <x14:cfRule type="containsText" priority="8" operator="containsText" id="{C182C7F9-2B97-4D25-A0B2-473EE10FBB04}">
            <xm:f>NOT(ISERROR(SEARCH(Reference!$E$6,H2)))</xm:f>
            <xm:f>Reference!$E$6</xm:f>
            <x14:dxf>
              <fill>
                <patternFill>
                  <bgColor rgb="FFFF66FF"/>
                </patternFill>
              </fill>
            </x14:dxf>
          </x14:cfRule>
          <x14:cfRule type="containsText" priority="9" operator="containsText" id="{C007AFF0-EC5F-4F81-A8C1-039C87B9FF55}">
            <xm:f>NOT(ISERROR(SEARCH(Reference!$E$4,H2)))</xm:f>
            <xm:f>Reference!$E$4</xm:f>
            <x14:dxf>
              <font>
                <color auto="1"/>
              </font>
              <fill>
                <patternFill>
                  <bgColor theme="9"/>
                </patternFill>
              </fill>
            </x14:dxf>
          </x14:cfRule>
          <x14:cfRule type="containsText" priority="10" operator="containsText" id="{3AA725CD-DE4C-42DE-B591-621C9545AAB0}">
            <xm:f>NOT(ISERROR(SEARCH(Reference!$E$5,H2)))</xm:f>
            <xm:f>Reference!$E$5</xm:f>
            <x14:dxf>
              <font>
                <color auto="1"/>
              </font>
              <fill>
                <patternFill>
                  <bgColor rgb="FFFF0000"/>
                </patternFill>
              </fill>
            </x14:dxf>
          </x14:cfRule>
          <x14:cfRule type="containsText" priority="11" operator="containsText" id="{A462D577-33B7-4E36-8FFB-41311C081F53}">
            <xm:f>NOT(ISERROR(SEARCH(Reference!$E$3,H2)))</xm:f>
            <xm:f>Reference!$E$3</xm:f>
            <x14:dxf>
              <fill>
                <patternFill>
                  <bgColor rgb="FFFFFF00"/>
                </patternFill>
              </fill>
            </x14:dxf>
          </x14:cfRule>
          <x14:cfRule type="containsText" priority="12" operator="containsText" id="{DA6130D1-4FA4-4A3E-9682-F4F127406004}">
            <xm:f>NOT(ISERROR(SEARCH(Reference!$E$2,H2)))</xm:f>
            <xm:f>Reference!$E$2</xm:f>
            <x14:dxf>
              <fill>
                <patternFill>
                  <bgColor rgb="FF92D050"/>
                </patternFill>
              </fill>
            </x14:dxf>
          </x14:cfRule>
          <xm:sqref>H2:H28</xm:sqref>
        </x14:conditionalFormatting>
        <x14:conditionalFormatting xmlns:xm="http://schemas.microsoft.com/office/excel/2006/main">
          <x14:cfRule type="expression" priority="4" id="{45A03B21-E7EF-4B85-851C-E8961E4E655E}">
            <xm:f>$X5=Reference!$F$2</xm:f>
            <x14:dxf>
              <font>
                <color theme="1"/>
              </font>
              <fill>
                <patternFill>
                  <bgColor rgb="FF92D050"/>
                </patternFill>
              </fill>
            </x14:dxf>
          </x14:cfRule>
          <x14:cfRule type="expression" priority="6" id="{CDF21B72-3855-4861-895D-9BDA627E1B43}">
            <xm:f>$X5=Reference!$F$4</xm:f>
            <x14:dxf>
              <font>
                <color theme="1"/>
              </font>
              <fill>
                <patternFill>
                  <bgColor theme="6" tint="0.59996337778862885"/>
                </patternFill>
              </fill>
            </x14:dxf>
          </x14:cfRule>
          <xm:sqref>D5:F5</xm:sqref>
        </x14:conditionalFormatting>
        <x14:conditionalFormatting xmlns:xm="http://schemas.microsoft.com/office/excel/2006/main">
          <x14:cfRule type="expression" priority="5" id="{11E6F4DB-82B3-4A1E-AC66-D5D8793CF50B}">
            <xm:f>$X5=Reference!$F$5</xm:f>
            <x14:dxf>
              <font>
                <color auto="1"/>
              </font>
              <fill>
                <patternFill>
                  <bgColor theme="0" tint="-0.34998626667073579"/>
                </patternFill>
              </fill>
            </x14:dxf>
          </x14:cfRule>
          <xm:sqref>D5:F5</xm:sqref>
        </x14:conditionalFormatting>
        <x14:conditionalFormatting xmlns:xm="http://schemas.microsoft.com/office/excel/2006/main">
          <x14:cfRule type="expression" priority="1" id="{E393AA50-AB02-4731-ABC0-7A4FB736EC25}">
            <xm:f>$X6=Reference!$F$2</xm:f>
            <x14:dxf>
              <font>
                <color theme="1"/>
              </font>
              <fill>
                <patternFill>
                  <bgColor rgb="FF92D050"/>
                </patternFill>
              </fill>
            </x14:dxf>
          </x14:cfRule>
          <x14:cfRule type="expression" priority="3" id="{E2CF6CC9-E6F9-4420-BA5F-A4226D0021B7}">
            <xm:f>$X6=Reference!$F$4</xm:f>
            <x14:dxf>
              <font>
                <color theme="1"/>
              </font>
              <fill>
                <patternFill>
                  <bgColor theme="6" tint="0.59996337778862885"/>
                </patternFill>
              </fill>
            </x14:dxf>
          </x14:cfRule>
          <xm:sqref>D6</xm:sqref>
        </x14:conditionalFormatting>
        <x14:conditionalFormatting xmlns:xm="http://schemas.microsoft.com/office/excel/2006/main">
          <x14:cfRule type="expression" priority="2" id="{0CA1A366-DAFA-4AE3-B512-231CF1486936}">
            <xm:f>$X6=Reference!$F$5</xm:f>
            <x14:dxf>
              <font>
                <color auto="1"/>
              </font>
              <fill>
                <patternFill>
                  <bgColor theme="0" tint="-0.34998626667073579"/>
                </patternFill>
              </fill>
            </x14:dxf>
          </x14:cfRule>
          <xm:sqref>D6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800-000000000000}">
          <x14:formula1>
            <xm:f>Reference!$K$25:$K$57</xm:f>
          </x14:formula1>
          <xm:sqref>B1</xm:sqref>
        </x14:dataValidation>
        <x14:dataValidation type="list" allowBlank="1" showInputMessage="1" showErrorMessage="1" xr:uid="{00000000-0002-0000-0800-000001000000}">
          <x14:formula1>
            <xm:f>Reference!$E$2:$E$7</xm:f>
          </x14:formula1>
          <xm:sqref>H1</xm:sqref>
        </x14:dataValidation>
        <x14:dataValidation type="list" allowBlank="1" showInputMessage="1" showErrorMessage="1" xr:uid="{00000000-0002-0000-0800-000002000000}">
          <x14:formula1>
            <xm:f>Reference!$I$2:$I$15</xm:f>
          </x14:formula1>
          <xm:sqref>A2:A28</xm:sqref>
        </x14:dataValidation>
        <x14:dataValidation type="list" allowBlank="1" showInputMessage="1" showErrorMessage="1" xr:uid="{00000000-0002-0000-0800-000003000000}">
          <x14:formula1>
            <xm:f>Reference!$A$2:$A$47</xm:f>
          </x14:formula1>
          <xm:sqref>B2:B28</xm:sqref>
        </x14:dataValidation>
        <x14:dataValidation type="list" allowBlank="1" showInputMessage="1" showErrorMessage="1" xr:uid="{00000000-0002-0000-0800-000004000000}">
          <x14:formula1>
            <xm:f>Reference!$D$2:$D$15</xm:f>
          </x14:formula1>
          <xm:sqref>D2:D28</xm:sqref>
        </x14:dataValidation>
        <x14:dataValidation type="list" allowBlank="1" showInputMessage="1" showErrorMessage="1" xr:uid="{00000000-0002-0000-0800-000005000000}">
          <x14:formula1>
            <xm:f>Reference!$E$2:$E$8</xm:f>
          </x14:formula1>
          <xm:sqref>H2:H28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3C697-96DD-4CAB-98DF-27C61B763BF1}">
  <sheetPr codeName="Sheet7"/>
  <dimension ref="A1:L71"/>
  <sheetViews>
    <sheetView workbookViewId="0">
      <selection activeCell="B37" sqref="B37"/>
    </sheetView>
  </sheetViews>
  <sheetFormatPr defaultRowHeight="12.75" x14ac:dyDescent="0.2"/>
  <cols>
    <col min="1" max="1" width="23.28515625" customWidth="1"/>
    <col min="2" max="2" width="44.85546875" customWidth="1"/>
    <col min="3" max="3" width="10.28515625" style="52" bestFit="1" customWidth="1"/>
    <col min="4" max="5" width="11.85546875" customWidth="1"/>
    <col min="6" max="6" width="11.85546875" style="52" customWidth="1"/>
    <col min="7" max="9" width="11.85546875" customWidth="1"/>
    <col min="10" max="10" width="10.85546875" style="52" customWidth="1"/>
    <col min="11" max="11" width="37.5703125" style="52" customWidth="1"/>
    <col min="12" max="12" width="14.85546875" customWidth="1"/>
  </cols>
  <sheetData>
    <row r="1" spans="1:12" s="362" customFormat="1" ht="25.5" x14ac:dyDescent="0.2">
      <c r="A1" s="362" t="s">
        <v>381</v>
      </c>
      <c r="B1" s="362" t="s">
        <v>805</v>
      </c>
      <c r="C1" s="362" t="s">
        <v>382</v>
      </c>
      <c r="D1" s="362" t="s">
        <v>806</v>
      </c>
      <c r="E1" s="362" t="s">
        <v>807</v>
      </c>
      <c r="F1" s="362" t="s">
        <v>815</v>
      </c>
      <c r="G1" s="362" t="s">
        <v>808</v>
      </c>
      <c r="H1" s="362" t="s">
        <v>809</v>
      </c>
      <c r="I1" s="362" t="s">
        <v>810</v>
      </c>
      <c r="J1" s="362" t="s">
        <v>816</v>
      </c>
      <c r="K1" s="362" t="s">
        <v>8</v>
      </c>
      <c r="L1" s="362" t="s">
        <v>811</v>
      </c>
    </row>
    <row r="2" spans="1:12" s="422" customFormat="1" x14ac:dyDescent="0.2">
      <c r="A2" s="423" t="s">
        <v>392</v>
      </c>
      <c r="B2" s="423" t="s">
        <v>261</v>
      </c>
      <c r="C2" s="423" t="s">
        <v>93</v>
      </c>
      <c r="D2" s="424">
        <v>4.4800000000000004</v>
      </c>
      <c r="E2" s="424">
        <v>5.87</v>
      </c>
      <c r="F2" s="425">
        <v>690</v>
      </c>
      <c r="G2" s="426">
        <v>43653</v>
      </c>
      <c r="H2" s="424">
        <v>5.6</v>
      </c>
      <c r="I2" s="424">
        <v>5.87</v>
      </c>
      <c r="J2" s="425">
        <f>(Table2[[#This Row],[Actual End km]]-Table2[[#This Row],[Actual Start km]])*1000</f>
        <v>270.00000000000045</v>
      </c>
      <c r="K2" s="425" t="s">
        <v>817</v>
      </c>
      <c r="L2" s="425"/>
    </row>
    <row r="3" spans="1:12" s="422" customFormat="1" x14ac:dyDescent="0.2">
      <c r="A3" s="423" t="s">
        <v>387</v>
      </c>
      <c r="B3" s="423" t="s">
        <v>15</v>
      </c>
      <c r="C3" s="423" t="s">
        <v>93</v>
      </c>
      <c r="D3" s="424">
        <v>1.5</v>
      </c>
      <c r="E3" s="424">
        <v>2.1</v>
      </c>
      <c r="F3" s="425">
        <f>(Table2[[#This Row],[Planned End km]]-Table2[[#This Row],[Planned Start km]])*1000</f>
        <v>600.00000000000011</v>
      </c>
      <c r="G3" s="426">
        <v>43660</v>
      </c>
      <c r="H3" s="425"/>
      <c r="I3" s="425"/>
      <c r="J3" s="425">
        <f>(Table2[[#This Row],[Actual End km]]-Table2[[#This Row],[Actual Start km]])*1000</f>
        <v>0</v>
      </c>
      <c r="K3" s="425"/>
      <c r="L3" s="425"/>
    </row>
    <row r="4" spans="1:12" s="422" customFormat="1" x14ac:dyDescent="0.2">
      <c r="A4" s="423" t="s">
        <v>812</v>
      </c>
      <c r="B4" s="423" t="s">
        <v>27</v>
      </c>
      <c r="C4" s="423" t="s">
        <v>93</v>
      </c>
      <c r="D4" s="424">
        <v>46.4</v>
      </c>
      <c r="E4" s="424">
        <v>47</v>
      </c>
      <c r="F4" s="425">
        <f>(Table2[[#This Row],[Planned End km]]-Table2[[#This Row],[Planned Start km]])*1000</f>
        <v>600.00000000000136</v>
      </c>
      <c r="G4" s="426">
        <v>43681</v>
      </c>
      <c r="H4" s="425"/>
      <c r="I4" s="425"/>
      <c r="J4" s="425">
        <f>(Table2[[#This Row],[Actual End km]]-Table2[[#This Row],[Actual Start km]])*1000</f>
        <v>0</v>
      </c>
      <c r="K4" s="425"/>
      <c r="L4" s="425"/>
    </row>
    <row r="5" spans="1:12" s="37" customFormat="1" x14ac:dyDescent="0.2">
      <c r="A5" s="363" t="s">
        <v>813</v>
      </c>
      <c r="B5" s="363" t="s">
        <v>31</v>
      </c>
      <c r="C5" s="363" t="s">
        <v>93</v>
      </c>
      <c r="D5" s="365">
        <v>41</v>
      </c>
      <c r="E5" s="365">
        <v>41.45</v>
      </c>
      <c r="F5" s="364">
        <f>(Table2[[#This Row],[Planned End km]]-Table2[[#This Row],[Planned Start km]])*1000</f>
        <v>450.00000000000284</v>
      </c>
      <c r="G5" s="367">
        <v>43702</v>
      </c>
      <c r="H5" s="364"/>
      <c r="I5" s="364"/>
      <c r="J5" s="364">
        <f>(Table2[[#This Row],[Actual End km]]-Table2[[#This Row],[Actual Start km]])*1000</f>
        <v>0</v>
      </c>
      <c r="K5" s="364"/>
      <c r="L5" s="364"/>
    </row>
    <row r="6" spans="1:12" s="37" customFormat="1" x14ac:dyDescent="0.2">
      <c r="A6" s="363" t="s">
        <v>812</v>
      </c>
      <c r="B6" s="363" t="s">
        <v>24</v>
      </c>
      <c r="C6" s="363" t="s">
        <v>94</v>
      </c>
      <c r="D6" s="365">
        <v>11.34</v>
      </c>
      <c r="E6" s="365">
        <v>11.9</v>
      </c>
      <c r="F6" s="364">
        <f>(Table2[[#This Row],[Planned End km]]-Table2[[#This Row],[Planned Start km]])*1000</f>
        <v>560.00000000000045</v>
      </c>
      <c r="G6" s="367">
        <v>43751</v>
      </c>
      <c r="H6" s="364"/>
      <c r="I6" s="364"/>
      <c r="J6" s="364">
        <f>(Table2[[#This Row],[Actual End km]]-Table2[[#This Row],[Actual Start km]])*1000</f>
        <v>0</v>
      </c>
      <c r="K6" s="364"/>
      <c r="L6" s="364"/>
    </row>
    <row r="7" spans="1:12" s="37" customFormat="1" x14ac:dyDescent="0.2">
      <c r="A7" s="363" t="s">
        <v>392</v>
      </c>
      <c r="B7" s="363" t="s">
        <v>261</v>
      </c>
      <c r="C7" s="363" t="s">
        <v>93</v>
      </c>
      <c r="D7" s="365">
        <v>6.4</v>
      </c>
      <c r="E7" s="365">
        <v>6.9</v>
      </c>
      <c r="F7" s="364">
        <f>(Table2[[#This Row],[Planned End km]]-Table2[[#This Row],[Planned Start km]])*1000</f>
        <v>500</v>
      </c>
      <c r="G7" s="367">
        <v>43779</v>
      </c>
      <c r="H7" s="364"/>
      <c r="I7" s="364"/>
      <c r="J7" s="364">
        <f>(Table2[[#This Row],[Actual End km]]-Table2[[#This Row],[Actual Start km]])*1000</f>
        <v>0</v>
      </c>
      <c r="K7" s="364"/>
      <c r="L7" s="364"/>
    </row>
    <row r="8" spans="1:12" s="37" customFormat="1" x14ac:dyDescent="0.2">
      <c r="A8" s="363" t="s">
        <v>388</v>
      </c>
      <c r="B8" s="363" t="s">
        <v>209</v>
      </c>
      <c r="C8" s="363" t="s">
        <v>97</v>
      </c>
      <c r="D8" s="365">
        <v>3.25</v>
      </c>
      <c r="E8" s="365">
        <v>3.75</v>
      </c>
      <c r="F8" s="364">
        <f>(Table2[[#This Row],[Planned End km]]-Table2[[#This Row],[Planned Start km]])*1000</f>
        <v>500</v>
      </c>
      <c r="G8" s="367">
        <v>43793</v>
      </c>
      <c r="H8" s="364"/>
      <c r="I8" s="364"/>
      <c r="J8" s="364">
        <f>(Table2[[#This Row],[Actual End km]]-Table2[[#This Row],[Actual Start km]])*1000</f>
        <v>0</v>
      </c>
      <c r="K8" s="364"/>
      <c r="L8" s="364"/>
    </row>
    <row r="9" spans="1:12" s="37" customFormat="1" x14ac:dyDescent="0.2">
      <c r="A9" s="363" t="s">
        <v>814</v>
      </c>
      <c r="B9" s="363" t="s">
        <v>130</v>
      </c>
      <c r="C9" s="363" t="s">
        <v>93</v>
      </c>
      <c r="D9" s="365">
        <v>8.48</v>
      </c>
      <c r="E9" s="365">
        <v>9.0500000000000007</v>
      </c>
      <c r="F9" s="364">
        <f>(Table2[[#This Row],[Planned End km]]-Table2[[#This Row],[Planned Start km]])*1000</f>
        <v>570.00000000000023</v>
      </c>
      <c r="G9" s="367">
        <v>43814</v>
      </c>
      <c r="H9" s="364"/>
      <c r="I9" s="364"/>
      <c r="J9" s="364">
        <f>(Table2[[#This Row],[Actual End km]]-Table2[[#This Row],[Actual Start km]])*1000</f>
        <v>0</v>
      </c>
      <c r="K9" s="438" t="s">
        <v>573</v>
      </c>
      <c r="L9" s="364"/>
    </row>
    <row r="10" spans="1:12" s="37" customFormat="1" x14ac:dyDescent="0.2">
      <c r="A10" s="363" t="s">
        <v>812</v>
      </c>
      <c r="B10" s="363" t="s">
        <v>27</v>
      </c>
      <c r="C10" s="363" t="s">
        <v>93</v>
      </c>
      <c r="D10" s="365">
        <v>51</v>
      </c>
      <c r="E10" s="365">
        <v>51.81</v>
      </c>
      <c r="F10" s="364">
        <f>(Table2[[#This Row],[Planned End km]]-Table2[[#This Row],[Planned Start km]])*1000</f>
        <v>810.00000000000227</v>
      </c>
      <c r="G10" s="367">
        <v>43849</v>
      </c>
      <c r="H10" s="364"/>
      <c r="I10" s="364"/>
      <c r="J10" s="364">
        <f>(Table2[[#This Row],[Actual End km]]-Table2[[#This Row],[Actual Start km]])*1000</f>
        <v>0</v>
      </c>
      <c r="K10" s="364"/>
      <c r="L10" s="364"/>
    </row>
    <row r="11" spans="1:12" s="37" customFormat="1" x14ac:dyDescent="0.2">
      <c r="A11" s="363" t="s">
        <v>813</v>
      </c>
      <c r="B11" s="363" t="s">
        <v>31</v>
      </c>
      <c r="C11" s="363" t="s">
        <v>94</v>
      </c>
      <c r="D11" s="365">
        <v>38.200000000000003</v>
      </c>
      <c r="E11" s="365">
        <v>39.25</v>
      </c>
      <c r="F11" s="364">
        <v>950</v>
      </c>
      <c r="G11" s="367">
        <v>43926</v>
      </c>
      <c r="H11" s="364"/>
      <c r="I11" s="364"/>
      <c r="J11" s="364">
        <f>(Table2[[#This Row],[Actual End km]]-Table2[[#This Row],[Actual Start km]])*1000</f>
        <v>0</v>
      </c>
      <c r="K11" s="364" t="s">
        <v>818</v>
      </c>
      <c r="L11" s="364"/>
    </row>
    <row r="12" spans="1:12" s="37" customFormat="1" x14ac:dyDescent="0.2">
      <c r="A12" s="363" t="s">
        <v>812</v>
      </c>
      <c r="B12" s="363" t="s">
        <v>24</v>
      </c>
      <c r="C12" s="363" t="s">
        <v>94</v>
      </c>
      <c r="D12" s="365">
        <v>19</v>
      </c>
      <c r="E12" s="365">
        <v>19.5</v>
      </c>
      <c r="F12" s="364">
        <f>(Table2[[#This Row],[Planned End km]]-Table2[[#This Row],[Planned Start km]])*1000</f>
        <v>500</v>
      </c>
      <c r="G12" s="367">
        <v>43961</v>
      </c>
      <c r="H12" s="364"/>
      <c r="I12" s="364"/>
      <c r="J12" s="364">
        <f>(Table2[[#This Row],[Actual End km]]-Table2[[#This Row],[Actual Start km]])*1000</f>
        <v>0</v>
      </c>
      <c r="K12" s="364"/>
      <c r="L12" s="364"/>
    </row>
    <row r="13" spans="1:12" s="37" customFormat="1" x14ac:dyDescent="0.2">
      <c r="A13" s="363" t="s">
        <v>813</v>
      </c>
      <c r="B13" s="363" t="s">
        <v>31</v>
      </c>
      <c r="C13" s="363" t="s">
        <v>93</v>
      </c>
      <c r="D13" s="365">
        <v>41.45</v>
      </c>
      <c r="E13" s="365">
        <v>42.1</v>
      </c>
      <c r="F13" s="364">
        <f>(Table2[[#This Row],[Planned End km]]-Table2[[#This Row],[Planned Start km]])*1000</f>
        <v>649.99999999999864</v>
      </c>
      <c r="G13" s="367">
        <v>43982</v>
      </c>
      <c r="H13" s="364"/>
      <c r="I13" s="364"/>
      <c r="J13" s="364">
        <f>(Table2[[#This Row],[Actual End km]]-Table2[[#This Row],[Actual Start km]])*1000</f>
        <v>0</v>
      </c>
      <c r="K13" s="364"/>
      <c r="L13" s="364"/>
    </row>
    <row r="14" spans="1:12" s="37" customFormat="1" x14ac:dyDescent="0.2">
      <c r="A14" s="363" t="s">
        <v>388</v>
      </c>
      <c r="B14" s="363" t="s">
        <v>141</v>
      </c>
      <c r="C14" s="363" t="s">
        <v>94</v>
      </c>
      <c r="D14" s="365">
        <v>8.76</v>
      </c>
      <c r="E14" s="365">
        <v>9.9600000000000009</v>
      </c>
      <c r="F14" s="364">
        <v>640</v>
      </c>
      <c r="G14" s="367">
        <v>43996</v>
      </c>
      <c r="H14" s="364"/>
      <c r="I14" s="364"/>
      <c r="J14" s="364">
        <f>(Table2[[#This Row],[Actual End km]]-Table2[[#This Row],[Actual Start km]])*1000</f>
        <v>0</v>
      </c>
      <c r="K14" s="364" t="s">
        <v>819</v>
      </c>
      <c r="L14" s="364"/>
    </row>
    <row r="15" spans="1:12" s="37" customFormat="1" x14ac:dyDescent="0.2">
      <c r="A15" s="363" t="s">
        <v>387</v>
      </c>
      <c r="B15" s="363" t="s">
        <v>15</v>
      </c>
      <c r="C15" s="363" t="s">
        <v>95</v>
      </c>
      <c r="D15" s="365">
        <v>0</v>
      </c>
      <c r="E15" s="365">
        <v>0.87</v>
      </c>
      <c r="F15" s="364">
        <f>(Table2[[#This Row],[Planned End km]]-Table2[[#This Row],[Planned Start km]])*1000</f>
        <v>870</v>
      </c>
      <c r="G15" s="367">
        <v>44024</v>
      </c>
      <c r="H15" s="364"/>
      <c r="I15" s="364"/>
      <c r="J15" s="364">
        <f>(Table2[[#This Row],[Actual End km]]-Table2[[#This Row],[Actual Start km]])*1000</f>
        <v>0</v>
      </c>
      <c r="K15" s="364"/>
      <c r="L15" s="364"/>
    </row>
    <row r="16" spans="1:12" s="37" customFormat="1" x14ac:dyDescent="0.2">
      <c r="A16" s="363" t="s">
        <v>392</v>
      </c>
      <c r="B16" s="363" t="s">
        <v>141</v>
      </c>
      <c r="C16" s="363" t="s">
        <v>93</v>
      </c>
      <c r="D16" s="365">
        <v>0.9</v>
      </c>
      <c r="E16" s="365">
        <v>1.3</v>
      </c>
      <c r="F16" s="364">
        <f>(Table2[[#This Row],[Planned End km]]-Table2[[#This Row],[Planned Start km]])*1000</f>
        <v>400</v>
      </c>
      <c r="G16" s="367">
        <v>44031</v>
      </c>
      <c r="H16" s="364"/>
      <c r="I16" s="364"/>
      <c r="J16" s="364">
        <f>(Table2[[#This Row],[Actual End km]]-Table2[[#This Row],[Actual Start km]])*1000</f>
        <v>0</v>
      </c>
      <c r="K16" s="364"/>
      <c r="L16" s="364"/>
    </row>
    <row r="17" spans="1:12" s="37" customFormat="1" x14ac:dyDescent="0.2">
      <c r="A17" s="363" t="s">
        <v>812</v>
      </c>
      <c r="B17" s="363" t="s">
        <v>24</v>
      </c>
      <c r="C17" s="363" t="s">
        <v>93</v>
      </c>
      <c r="D17" s="365">
        <v>20.9</v>
      </c>
      <c r="E17" s="365">
        <v>21.86</v>
      </c>
      <c r="F17" s="364">
        <v>710</v>
      </c>
      <c r="G17" s="367">
        <v>44045</v>
      </c>
      <c r="H17" s="364"/>
      <c r="I17" s="364"/>
      <c r="J17" s="364">
        <f>(Table2[[#This Row],[Actual End km]]-Table2[[#This Row],[Actual Start km]])*1000</f>
        <v>0</v>
      </c>
      <c r="K17" s="364" t="s">
        <v>825</v>
      </c>
      <c r="L17" s="364"/>
    </row>
    <row r="18" spans="1:12" s="37" customFormat="1" x14ac:dyDescent="0.2">
      <c r="A18" s="363" t="s">
        <v>813</v>
      </c>
      <c r="B18" s="363" t="s">
        <v>31</v>
      </c>
      <c r="C18" s="363" t="s">
        <v>94</v>
      </c>
      <c r="D18" s="365">
        <v>50.2</v>
      </c>
      <c r="E18" s="365">
        <v>50.75</v>
      </c>
      <c r="F18" s="364">
        <f>(Table2[[#This Row],[Planned End km]]-Table2[[#This Row],[Planned Start km]])*1000</f>
        <v>549.99999999999716</v>
      </c>
      <c r="G18" s="367">
        <v>44073</v>
      </c>
      <c r="H18" s="364"/>
      <c r="I18" s="364"/>
      <c r="J18" s="364">
        <f>(Table2[[#This Row],[Actual End km]]-Table2[[#This Row],[Actual Start km]])*1000</f>
        <v>0</v>
      </c>
      <c r="K18" s="364"/>
      <c r="L18" s="364"/>
    </row>
    <row r="19" spans="1:12" s="37" customFormat="1" x14ac:dyDescent="0.2">
      <c r="A19" s="363" t="s">
        <v>812</v>
      </c>
      <c r="B19" s="363" t="s">
        <v>27</v>
      </c>
      <c r="C19" s="363" t="s">
        <v>94</v>
      </c>
      <c r="D19" s="365">
        <v>43.3</v>
      </c>
      <c r="E19" s="365">
        <v>44.1</v>
      </c>
      <c r="F19" s="364">
        <f>(Table2[[#This Row],[Planned End km]]-Table2[[#This Row],[Planned Start km]])*1000</f>
        <v>800.00000000000432</v>
      </c>
      <c r="G19" s="367">
        <v>44129</v>
      </c>
      <c r="H19" s="364"/>
      <c r="I19" s="364"/>
      <c r="J19" s="364">
        <f>(Table2[[#This Row],[Actual End km]]-Table2[[#This Row],[Actual Start km]])*1000</f>
        <v>0</v>
      </c>
      <c r="K19" s="364"/>
      <c r="L19" s="364"/>
    </row>
    <row r="20" spans="1:12" s="37" customFormat="1" x14ac:dyDescent="0.2">
      <c r="A20" s="363" t="s">
        <v>392</v>
      </c>
      <c r="B20" s="363" t="s">
        <v>33</v>
      </c>
      <c r="C20" s="363" t="s">
        <v>93</v>
      </c>
      <c r="D20" s="365">
        <v>1.3</v>
      </c>
      <c r="E20" s="365">
        <v>1.6</v>
      </c>
      <c r="F20" s="364">
        <f>(Table2[[#This Row],[Planned End km]]-Table2[[#This Row],[Planned Start km]])*1000</f>
        <v>300.00000000000006</v>
      </c>
      <c r="G20" s="367">
        <v>44143</v>
      </c>
      <c r="H20" s="364"/>
      <c r="I20" s="364"/>
      <c r="J20" s="364">
        <f>(Table2[[#This Row],[Actual End km]]-Table2[[#This Row],[Actual Start km]])*1000</f>
        <v>0</v>
      </c>
      <c r="K20" s="364"/>
      <c r="L20" s="364"/>
    </row>
    <row r="21" spans="1:12" s="37" customFormat="1" x14ac:dyDescent="0.2">
      <c r="A21" s="363" t="s">
        <v>388</v>
      </c>
      <c r="B21" s="363" t="s">
        <v>209</v>
      </c>
      <c r="C21" s="363" t="s">
        <v>97</v>
      </c>
      <c r="D21" s="365">
        <v>4.25</v>
      </c>
      <c r="E21" s="365">
        <v>5.46</v>
      </c>
      <c r="F21" s="364">
        <v>660</v>
      </c>
      <c r="G21" s="367">
        <v>44157</v>
      </c>
      <c r="H21" s="364"/>
      <c r="I21" s="364"/>
      <c r="J21" s="364">
        <f>(Table2[[#This Row],[Actual End km]]-Table2[[#This Row],[Actual Start km]])*1000</f>
        <v>0</v>
      </c>
      <c r="K21" s="364" t="s">
        <v>820</v>
      </c>
      <c r="L21" s="364"/>
    </row>
    <row r="22" spans="1:12" s="37" customFormat="1" x14ac:dyDescent="0.2">
      <c r="A22" s="363" t="s">
        <v>813</v>
      </c>
      <c r="B22" s="363" t="s">
        <v>31</v>
      </c>
      <c r="C22" s="363" t="s">
        <v>93</v>
      </c>
      <c r="D22" s="365">
        <v>43.06</v>
      </c>
      <c r="E22" s="365">
        <v>44.1</v>
      </c>
      <c r="F22" s="364">
        <f>(Table2[[#This Row],[Planned End km]]-Table2[[#This Row],[Planned Start km]])*1000</f>
        <v>1039.9999999999991</v>
      </c>
      <c r="G22" s="367">
        <v>44227</v>
      </c>
      <c r="H22" s="364"/>
      <c r="I22" s="364"/>
      <c r="J22" s="364">
        <f>(Table2[[#This Row],[Actual End km]]-Table2[[#This Row],[Actual Start km]])*1000</f>
        <v>0</v>
      </c>
      <c r="K22" s="364"/>
      <c r="L22" s="364"/>
    </row>
    <row r="23" spans="1:12" s="37" customFormat="1" x14ac:dyDescent="0.2">
      <c r="A23" s="363" t="s">
        <v>392</v>
      </c>
      <c r="B23" s="363" t="s">
        <v>33</v>
      </c>
      <c r="C23" s="363" t="s">
        <v>93</v>
      </c>
      <c r="D23" s="365">
        <v>0.61</v>
      </c>
      <c r="E23" s="365">
        <v>0.88</v>
      </c>
      <c r="F23" s="364">
        <f>(Table2[[#This Row],[Planned End km]]-Table2[[#This Row],[Planned Start km]])*1000</f>
        <v>270</v>
      </c>
      <c r="G23" s="367">
        <v>44241</v>
      </c>
      <c r="H23" s="364"/>
      <c r="I23" s="364"/>
      <c r="J23" s="364">
        <f>(Table2[[#This Row],[Actual End km]]-Table2[[#This Row],[Actual Start km]])*1000</f>
        <v>0</v>
      </c>
      <c r="K23" s="364"/>
      <c r="L23" s="364"/>
    </row>
    <row r="24" spans="1:12" s="37" customFormat="1" x14ac:dyDescent="0.2">
      <c r="A24" s="363" t="s">
        <v>813</v>
      </c>
      <c r="B24" s="363" t="s">
        <v>31</v>
      </c>
      <c r="C24" s="363" t="s">
        <v>94</v>
      </c>
      <c r="D24" s="365">
        <v>16.05</v>
      </c>
      <c r="E24" s="365">
        <v>16.739999999999998</v>
      </c>
      <c r="F24" s="364">
        <f>(Table2[[#This Row],[Planned End km]]-Table2[[#This Row],[Planned Start km]])*1000</f>
        <v>689.99999999999773</v>
      </c>
      <c r="G24" s="367">
        <v>44283</v>
      </c>
      <c r="H24" s="364"/>
      <c r="I24" s="364"/>
      <c r="J24" s="364">
        <f>(Table2[[#This Row],[Actual End km]]-Table2[[#This Row],[Actual Start km]])*1000</f>
        <v>0</v>
      </c>
      <c r="K24" s="364"/>
      <c r="L24" s="364"/>
    </row>
    <row r="25" spans="1:12" s="37" customFormat="1" x14ac:dyDescent="0.2">
      <c r="A25" s="363" t="s">
        <v>812</v>
      </c>
      <c r="B25" s="363" t="s">
        <v>24</v>
      </c>
      <c r="C25" s="363" t="s">
        <v>93</v>
      </c>
      <c r="D25" s="365">
        <v>31.6</v>
      </c>
      <c r="E25" s="365">
        <v>32.4</v>
      </c>
      <c r="F25" s="364">
        <f>(Table2[[#This Row],[Planned End km]]-Table2[[#This Row],[Planned Start km]])*1000</f>
        <v>799.99999999999716</v>
      </c>
      <c r="G25" s="367">
        <v>44311</v>
      </c>
      <c r="H25" s="364"/>
      <c r="I25" s="364"/>
      <c r="J25" s="364">
        <f>(Table2[[#This Row],[Actual End km]]-Table2[[#This Row],[Actual Start km]])*1000</f>
        <v>0</v>
      </c>
      <c r="K25" s="364"/>
      <c r="L25" s="364"/>
    </row>
    <row r="26" spans="1:12" s="37" customFormat="1" x14ac:dyDescent="0.2">
      <c r="A26" s="363" t="s">
        <v>392</v>
      </c>
      <c r="B26" s="363" t="s">
        <v>33</v>
      </c>
      <c r="C26" s="363" t="s">
        <v>93</v>
      </c>
      <c r="D26" s="365">
        <v>7.88</v>
      </c>
      <c r="E26" s="365">
        <v>8.64</v>
      </c>
      <c r="F26" s="364">
        <f>(Table2[[#This Row],[Planned End km]]-Table2[[#This Row],[Planned Start km]])*1000</f>
        <v>760.00000000000068</v>
      </c>
      <c r="G26" s="367">
        <v>44332</v>
      </c>
      <c r="H26" s="364"/>
      <c r="I26" s="364"/>
      <c r="J26" s="364">
        <f>(Table2[[#This Row],[Actual End km]]-Table2[[#This Row],[Actual Start km]])*1000</f>
        <v>0</v>
      </c>
      <c r="K26" s="364"/>
      <c r="L26" s="364"/>
    </row>
    <row r="27" spans="1:12" s="37" customFormat="1" x14ac:dyDescent="0.2">
      <c r="A27" s="363" t="s">
        <v>813</v>
      </c>
      <c r="B27" s="363" t="s">
        <v>31</v>
      </c>
      <c r="C27" s="363" t="s">
        <v>93</v>
      </c>
      <c r="D27" s="365">
        <v>44.85</v>
      </c>
      <c r="E27" s="365">
        <v>45.86</v>
      </c>
      <c r="F27" s="364">
        <f>(Table2[[#This Row],[Planned End km]]-Table2[[#This Row],[Planned Start km]])*1000</f>
        <v>1009.999999999998</v>
      </c>
      <c r="G27" s="367">
        <v>44353</v>
      </c>
      <c r="H27" s="364"/>
      <c r="I27" s="364"/>
      <c r="J27" s="364">
        <f>(Table2[[#This Row],[Actual End km]]-Table2[[#This Row],[Actual Start km]])*1000</f>
        <v>0</v>
      </c>
      <c r="K27" s="364"/>
      <c r="L27" s="364"/>
    </row>
    <row r="28" spans="1:12" s="37" customFormat="1" x14ac:dyDescent="0.2">
      <c r="A28" s="363" t="s">
        <v>388</v>
      </c>
      <c r="B28" s="363" t="s">
        <v>141</v>
      </c>
      <c r="C28" s="363" t="s">
        <v>93</v>
      </c>
      <c r="D28" s="365">
        <v>8.76</v>
      </c>
      <c r="E28" s="365">
        <v>9</v>
      </c>
      <c r="F28" s="364">
        <f>(Table2[[#This Row],[Planned End km]]-Table2[[#This Row],[Planned Start km]])*1000</f>
        <v>240.00000000000023</v>
      </c>
      <c r="G28" s="367">
        <v>44367</v>
      </c>
      <c r="H28" s="364"/>
      <c r="I28" s="364"/>
      <c r="J28" s="364">
        <f>(Table2[[#This Row],[Actual End km]]-Table2[[#This Row],[Actual Start km]])*1000</f>
        <v>0</v>
      </c>
      <c r="K28" s="364"/>
      <c r="L28" s="364"/>
    </row>
    <row r="29" spans="1:12" x14ac:dyDescent="0.2">
      <c r="F29" s="204">
        <f>SUM(Table2[Planned length (m)])</f>
        <v>17119.999999999996</v>
      </c>
    </row>
    <row r="31" spans="1:12" ht="15" x14ac:dyDescent="0.25">
      <c r="B31" s="395"/>
    </row>
    <row r="32" spans="1:12" ht="15" x14ac:dyDescent="0.25">
      <c r="B32" s="395"/>
    </row>
    <row r="33" spans="2:2" ht="15" x14ac:dyDescent="0.25">
      <c r="B33" s="395"/>
    </row>
    <row r="34" spans="2:2" x14ac:dyDescent="0.2">
      <c r="B34" s="52"/>
    </row>
    <row r="35" spans="2:2" x14ac:dyDescent="0.2">
      <c r="B35" s="52"/>
    </row>
    <row r="36" spans="2:2" ht="15" x14ac:dyDescent="0.25">
      <c r="B36" s="395"/>
    </row>
    <row r="37" spans="2:2" ht="15" x14ac:dyDescent="0.25">
      <c r="B37" s="395"/>
    </row>
    <row r="38" spans="2:2" x14ac:dyDescent="0.2">
      <c r="B38" s="52"/>
    </row>
    <row r="39" spans="2:2" x14ac:dyDescent="0.2">
      <c r="B39" s="52"/>
    </row>
    <row r="40" spans="2:2" ht="15" x14ac:dyDescent="0.25">
      <c r="B40" s="395"/>
    </row>
    <row r="41" spans="2:2" x14ac:dyDescent="0.2">
      <c r="B41" s="52"/>
    </row>
    <row r="42" spans="2:2" x14ac:dyDescent="0.2">
      <c r="B42" s="52"/>
    </row>
    <row r="43" spans="2:2" x14ac:dyDescent="0.2">
      <c r="B43" s="52"/>
    </row>
    <row r="44" spans="2:2" x14ac:dyDescent="0.2">
      <c r="B44" s="52"/>
    </row>
    <row r="45" spans="2:2" x14ac:dyDescent="0.2">
      <c r="B45" s="52"/>
    </row>
    <row r="46" spans="2:2" x14ac:dyDescent="0.2">
      <c r="B46" s="52"/>
    </row>
    <row r="47" spans="2:2" x14ac:dyDescent="0.2">
      <c r="B47" s="52"/>
    </row>
    <row r="48" spans="2:2" x14ac:dyDescent="0.2">
      <c r="B48" s="52"/>
    </row>
    <row r="49" spans="2:2" x14ac:dyDescent="0.2">
      <c r="B49" s="52"/>
    </row>
    <row r="50" spans="2:2" x14ac:dyDescent="0.2">
      <c r="B50" s="52"/>
    </row>
    <row r="51" spans="2:2" x14ac:dyDescent="0.2">
      <c r="B51" s="52"/>
    </row>
    <row r="52" spans="2:2" ht="15" x14ac:dyDescent="0.25">
      <c r="B52" s="395"/>
    </row>
    <row r="53" spans="2:2" x14ac:dyDescent="0.2">
      <c r="B53" s="52"/>
    </row>
    <row r="54" spans="2:2" x14ac:dyDescent="0.2">
      <c r="B54" s="52"/>
    </row>
    <row r="55" spans="2:2" x14ac:dyDescent="0.2">
      <c r="B55" s="52"/>
    </row>
    <row r="56" spans="2:2" x14ac:dyDescent="0.2">
      <c r="B56" s="52"/>
    </row>
    <row r="57" spans="2:2" x14ac:dyDescent="0.2">
      <c r="B57" s="52"/>
    </row>
    <row r="58" spans="2:2" x14ac:dyDescent="0.2">
      <c r="B58" s="52"/>
    </row>
    <row r="59" spans="2:2" ht="15" x14ac:dyDescent="0.25">
      <c r="B59" s="395"/>
    </row>
    <row r="60" spans="2:2" x14ac:dyDescent="0.2">
      <c r="B60" s="52"/>
    </row>
    <row r="61" spans="2:2" ht="15" x14ac:dyDescent="0.25">
      <c r="B61" s="395"/>
    </row>
    <row r="62" spans="2:2" x14ac:dyDescent="0.2">
      <c r="B62" s="52"/>
    </row>
    <row r="63" spans="2:2" x14ac:dyDescent="0.2">
      <c r="B63" s="52"/>
    </row>
    <row r="64" spans="2:2" x14ac:dyDescent="0.2">
      <c r="B64" s="52"/>
    </row>
    <row r="65" spans="2:2" x14ac:dyDescent="0.2">
      <c r="B65" s="52"/>
    </row>
    <row r="66" spans="2:2" x14ac:dyDescent="0.2">
      <c r="B66" s="52"/>
    </row>
    <row r="67" spans="2:2" x14ac:dyDescent="0.2">
      <c r="B67" s="52"/>
    </row>
    <row r="68" spans="2:2" ht="15" x14ac:dyDescent="0.25">
      <c r="B68" s="395"/>
    </row>
    <row r="69" spans="2:2" x14ac:dyDescent="0.2">
      <c r="B69" s="52"/>
    </row>
    <row r="70" spans="2:2" ht="15" x14ac:dyDescent="0.25">
      <c r="B70" s="395"/>
    </row>
    <row r="71" spans="2:2" x14ac:dyDescent="0.2">
      <c r="B71" s="52"/>
    </row>
  </sheetData>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D2E327BE-91F5-468E-85BF-D8C9EAE243A3}">
          <x14:formula1>
            <xm:f>Reference!$A$2:$A$47</xm:f>
          </x14:formula1>
          <xm:sqref>B2:B28</xm:sqref>
        </x14:dataValidation>
        <x14:dataValidation type="list" allowBlank="1" showInputMessage="1" showErrorMessage="1" xr:uid="{F239B00F-B772-4FCA-BFF9-F0C9D1328E28}">
          <x14:formula1>
            <xm:f>Reference!$D$2:$D$15</xm:f>
          </x14:formula1>
          <xm:sqref>C2:C28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List</vt:lpstr>
      <vt:lpstr>Summary</vt:lpstr>
      <vt:lpstr>Programme</vt:lpstr>
      <vt:lpstr>Calcs</vt:lpstr>
      <vt:lpstr>Pivot Tables</vt:lpstr>
      <vt:lpstr>Reference</vt:lpstr>
      <vt:lpstr>18-19 Undercutting Priority</vt:lpstr>
      <vt:lpstr>Areas to monitor</vt:lpstr>
      <vt:lpstr>Capital Works Plan</vt:lpstr>
      <vt:lpstr>'18-19 Undercutting Priority'!Print_Area</vt:lpstr>
    </vt:vector>
  </TitlesOfParts>
  <Company>Queensland Rail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Clarke, Connor</dc:creator>
  <cp:lastModifiedBy>Clarke, Connor</cp:lastModifiedBy>
  <cp:lastPrinted>2018-05-23T22:17:41Z</cp:lastPrinted>
  <dcterms:created xsi:type="dcterms:W3CDTF">2018-04-17T04:42:06Z</dcterms:created>
  <dcterms:modified xsi:type="dcterms:W3CDTF">2019-09-09T03:00:24Z</dcterms:modified>
</cp:coreProperties>
</file>